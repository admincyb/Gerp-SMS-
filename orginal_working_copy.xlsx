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eenuG\Downloads\"/>
    </mc:Choice>
  </mc:AlternateContent>
  <xr:revisionPtr revIDLastSave="0" documentId="13_ncr:1_{FD67FAA6-4285-4F2F-878D-622A1DF3C1C6}" xr6:coauthVersionLast="47" xr6:coauthVersionMax="47" xr10:uidLastSave="{00000000-0000-0000-0000-000000000000}"/>
  <bookViews>
    <workbookView xWindow="-120" yWindow="-120" windowWidth="29040" windowHeight="15840" tabRatio="856" firstSheet="15" activeTab="15" xr2:uid="{00000000-000D-0000-FFFF-FFFF00000000}"/>
  </bookViews>
  <sheets>
    <sheet name="1008-403" sheetId="23" r:id="rId1"/>
    <sheet name="7000-131" sheetId="37" state="hidden" r:id="rId2"/>
    <sheet name="1008-402" sheetId="24" r:id="rId3"/>
    <sheet name="7000-122" sheetId="36" state="hidden" r:id="rId4"/>
    <sheet name="CHE-last month" sheetId="5" r:id="rId5"/>
    <sheet name="NBR Latex-Store" sheetId="29" r:id="rId6"/>
    <sheet name="NBR Latex-Comp" sheetId="16" r:id="rId7"/>
    <sheet name="Che-Store" sheetId="1" r:id="rId8"/>
    <sheet name="Che-Comp" sheetId="15" r:id="rId9"/>
    <sheet name="Che.-Prod" sheetId="4" r:id="rId10"/>
    <sheet name="BalCom" sheetId="17" r:id="rId11"/>
    <sheet name="BalDis" sheetId="20" r:id="rId12"/>
    <sheet name="BalDip" sheetId="22" r:id="rId13"/>
    <sheet name="Used_before_Trf" sheetId="3" r:id="rId14"/>
    <sheet name="Sum" sheetId="32" r:id="rId15"/>
    <sheet name="Transactions1" sheetId="25" r:id="rId16"/>
    <sheet name="Transactions3" sheetId="35" r:id="rId17"/>
    <sheet name="Transactions" sheetId="34" r:id="rId18"/>
    <sheet name="Info" sheetId="19" r:id="rId19"/>
    <sheet name="Code" sheetId="26" r:id="rId20"/>
  </sheets>
  <definedNames>
    <definedName name="_xlnm._FilterDatabase" localSheetId="19" hidden="1">Code!$A$4:$J$2211</definedName>
    <definedName name="_xlnm._FilterDatabase" localSheetId="13" hidden="1">Used_before_Trf!$A$4:$AN$183</definedName>
    <definedName name="_xlnm.Print_Area" localSheetId="9">'Che.-Prod'!$A$1:$Y$23</definedName>
    <definedName name="_xlnm.Print_Area" localSheetId="13">Used_before_Trf!$A$1:$AN$187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4" l="1"/>
  <c r="G16" i="1"/>
  <c r="F38" i="24"/>
  <c r="H26" i="23"/>
  <c r="AB174" i="3"/>
  <c r="AK174" i="3"/>
  <c r="AN177" i="3"/>
  <c r="AN178" i="3"/>
  <c r="AN179" i="3"/>
  <c r="AN180" i="3"/>
  <c r="AN181" i="3"/>
  <c r="AN182" i="3"/>
  <c r="AN183" i="3"/>
  <c r="AL177" i="3"/>
  <c r="AL178" i="3"/>
  <c r="AL179" i="3"/>
  <c r="AL180" i="3"/>
  <c r="AL181" i="3"/>
  <c r="AL182" i="3"/>
  <c r="AL183" i="3"/>
  <c r="AD192" i="3" l="1"/>
  <c r="AE176" i="3"/>
  <c r="AC176" i="3"/>
  <c r="AE180" i="3"/>
  <c r="AC180" i="3"/>
  <c r="C90" i="22"/>
  <c r="AM9" i="3" l="1"/>
  <c r="A181" i="22" l="1"/>
  <c r="K5" i="17"/>
  <c r="N5" i="17"/>
  <c r="K6" i="17"/>
  <c r="N6" i="17"/>
  <c r="K7" i="17"/>
  <c r="N7" i="17"/>
  <c r="K8" i="17"/>
  <c r="N8" i="17"/>
  <c r="K9" i="17"/>
  <c r="N9" i="17"/>
  <c r="K10" i="17"/>
  <c r="N10" i="17"/>
  <c r="K11" i="17"/>
  <c r="L11" i="17"/>
  <c r="M11" i="17"/>
  <c r="N11" i="17"/>
  <c r="K12" i="17"/>
  <c r="N12" i="17"/>
  <c r="K13" i="17"/>
  <c r="N13" i="17"/>
  <c r="K14" i="17"/>
  <c r="N14" i="17"/>
  <c r="K15" i="17"/>
  <c r="L15" i="17"/>
  <c r="M15" i="17"/>
  <c r="N15" i="17"/>
  <c r="K16" i="17"/>
  <c r="L16" i="17"/>
  <c r="M16" i="17"/>
  <c r="N16" i="17"/>
  <c r="K17" i="17"/>
  <c r="L17" i="17"/>
  <c r="M17" i="17"/>
  <c r="N17" i="17"/>
  <c r="K18" i="17"/>
  <c r="L18" i="17"/>
  <c r="M18" i="17"/>
  <c r="N18" i="17"/>
  <c r="K19" i="17"/>
  <c r="L19" i="17"/>
  <c r="M19" i="17"/>
  <c r="N19" i="17"/>
  <c r="K20" i="17"/>
  <c r="L20" i="17"/>
  <c r="M20" i="17"/>
  <c r="N20" i="17"/>
  <c r="K21" i="17"/>
  <c r="L21" i="17"/>
  <c r="M21" i="17"/>
  <c r="N21" i="17"/>
  <c r="K22" i="17"/>
  <c r="L22" i="17"/>
  <c r="M22" i="17"/>
  <c r="N22" i="17"/>
  <c r="K23" i="17"/>
  <c r="L23" i="17"/>
  <c r="M23" i="17"/>
  <c r="N23" i="17"/>
  <c r="K24" i="17"/>
  <c r="L24" i="17"/>
  <c r="M24" i="17"/>
  <c r="N24" i="17"/>
  <c r="K25" i="17"/>
  <c r="L25" i="17"/>
  <c r="M25" i="17"/>
  <c r="N25" i="17"/>
  <c r="K26" i="17"/>
  <c r="L26" i="17"/>
  <c r="M26" i="17"/>
  <c r="N26" i="17"/>
  <c r="K27" i="17"/>
  <c r="L27" i="17"/>
  <c r="M27" i="17"/>
  <c r="N27" i="17"/>
  <c r="K28" i="17"/>
  <c r="L28" i="17"/>
  <c r="M28" i="17"/>
  <c r="N28" i="17"/>
  <c r="K29" i="17"/>
  <c r="L29" i="17"/>
  <c r="M29" i="17"/>
  <c r="N29" i="17"/>
  <c r="K30" i="17"/>
  <c r="L30" i="17"/>
  <c r="M30" i="17"/>
  <c r="N30" i="17"/>
  <c r="K31" i="17"/>
  <c r="L31" i="17"/>
  <c r="M31" i="17"/>
  <c r="N31" i="17"/>
  <c r="K32" i="17"/>
  <c r="L32" i="17"/>
  <c r="M32" i="17"/>
  <c r="N32" i="17"/>
  <c r="K33" i="17"/>
  <c r="L33" i="17"/>
  <c r="M33" i="17"/>
  <c r="N33" i="17"/>
  <c r="K34" i="17"/>
  <c r="L34" i="17"/>
  <c r="M34" i="17"/>
  <c r="N34" i="17"/>
  <c r="K35" i="17"/>
  <c r="N35" i="17"/>
  <c r="K36" i="17"/>
  <c r="N36" i="17"/>
  <c r="K37" i="17"/>
  <c r="L37" i="17"/>
  <c r="M37" i="17"/>
  <c r="N37" i="17"/>
  <c r="K38" i="17"/>
  <c r="N38" i="17"/>
  <c r="K39" i="17"/>
  <c r="L39" i="17"/>
  <c r="M39" i="17"/>
  <c r="N39" i="17"/>
  <c r="K40" i="17"/>
  <c r="L40" i="17"/>
  <c r="M40" i="17"/>
  <c r="N40" i="17"/>
  <c r="K41" i="17"/>
  <c r="L41" i="17"/>
  <c r="M41" i="17"/>
  <c r="N41" i="17"/>
  <c r="K42" i="17"/>
  <c r="L42" i="17"/>
  <c r="M42" i="17"/>
  <c r="N42" i="17"/>
  <c r="K43" i="17"/>
  <c r="L43" i="17"/>
  <c r="M43" i="17"/>
  <c r="N43" i="17"/>
  <c r="K44" i="17"/>
  <c r="L44" i="17"/>
  <c r="M44" i="17"/>
  <c r="N44" i="17"/>
  <c r="K45" i="17"/>
  <c r="L45" i="17"/>
  <c r="M45" i="17"/>
  <c r="N45" i="17"/>
  <c r="K46" i="17"/>
  <c r="L46" i="17"/>
  <c r="M46" i="17"/>
  <c r="N46" i="17"/>
  <c r="K47" i="17"/>
  <c r="N47" i="17"/>
  <c r="K48" i="17"/>
  <c r="L48" i="17"/>
  <c r="M48" i="17"/>
  <c r="N48" i="17"/>
  <c r="K49" i="17"/>
  <c r="L49" i="17"/>
  <c r="M49" i="17"/>
  <c r="N49" i="17"/>
  <c r="K50" i="17"/>
  <c r="N50" i="17"/>
  <c r="K51" i="17"/>
  <c r="L51" i="17"/>
  <c r="M51" i="17"/>
  <c r="N51" i="17"/>
  <c r="K52" i="17"/>
  <c r="L52" i="17"/>
  <c r="M52" i="17"/>
  <c r="N52" i="17"/>
  <c r="K53" i="17"/>
  <c r="L53" i="17"/>
  <c r="M53" i="17"/>
  <c r="N53" i="17"/>
  <c r="K54" i="17"/>
  <c r="N54" i="17"/>
  <c r="K55" i="17"/>
  <c r="L55" i="17"/>
  <c r="M55" i="17"/>
  <c r="N55" i="17"/>
  <c r="K56" i="17"/>
  <c r="L56" i="17"/>
  <c r="M56" i="17"/>
  <c r="N56" i="17"/>
  <c r="K57" i="17"/>
  <c r="L57" i="17"/>
  <c r="M57" i="17"/>
  <c r="N57" i="17"/>
  <c r="K58" i="17"/>
  <c r="L58" i="17"/>
  <c r="M58" i="17"/>
  <c r="N58" i="17"/>
  <c r="K59" i="17"/>
  <c r="L59" i="17"/>
  <c r="M59" i="17"/>
  <c r="N59" i="17"/>
  <c r="K60" i="17"/>
  <c r="L60" i="17"/>
  <c r="M60" i="17"/>
  <c r="N60" i="17"/>
  <c r="K61" i="17"/>
  <c r="L61" i="17"/>
  <c r="M61" i="17"/>
  <c r="N61" i="17"/>
  <c r="K62" i="17"/>
  <c r="L62" i="17"/>
  <c r="M62" i="17"/>
  <c r="N62" i="17"/>
  <c r="K63" i="17"/>
  <c r="N63" i="17"/>
  <c r="K64" i="17"/>
  <c r="N64" i="17"/>
  <c r="K65" i="17"/>
  <c r="L65" i="17"/>
  <c r="N65" i="17"/>
  <c r="K66" i="17"/>
  <c r="L66" i="17"/>
  <c r="M66" i="17"/>
  <c r="N66" i="17"/>
  <c r="K67" i="17"/>
  <c r="L67" i="17"/>
  <c r="M67" i="17"/>
  <c r="N67" i="17"/>
  <c r="K68" i="17"/>
  <c r="L68" i="17"/>
  <c r="M68" i="17"/>
  <c r="N68" i="17"/>
  <c r="K69" i="17"/>
  <c r="L69" i="17"/>
  <c r="M69" i="17"/>
  <c r="N69" i="17"/>
  <c r="K70" i="17"/>
  <c r="L70" i="17"/>
  <c r="M70" i="17"/>
  <c r="N70" i="17"/>
  <c r="K71" i="17"/>
  <c r="L71" i="17"/>
  <c r="M71" i="17"/>
  <c r="N71" i="17"/>
  <c r="K72" i="17"/>
  <c r="L72" i="17"/>
  <c r="M72" i="17"/>
  <c r="N72" i="17"/>
  <c r="K73" i="17"/>
  <c r="L73" i="17"/>
  <c r="M73" i="17"/>
  <c r="N73" i="17"/>
  <c r="K74" i="17"/>
  <c r="L74" i="17"/>
  <c r="M74" i="17"/>
  <c r="N74" i="17"/>
  <c r="K75" i="17"/>
  <c r="N75" i="17"/>
  <c r="K76" i="17"/>
  <c r="L76" i="17"/>
  <c r="M76" i="17"/>
  <c r="N76" i="17"/>
  <c r="K77" i="17"/>
  <c r="L77" i="17"/>
  <c r="M77" i="17"/>
  <c r="N77" i="17"/>
  <c r="K78" i="17"/>
  <c r="L78" i="17"/>
  <c r="M78" i="17"/>
  <c r="N78" i="17"/>
  <c r="K79" i="17"/>
  <c r="L79" i="17"/>
  <c r="M79" i="17"/>
  <c r="N79" i="17"/>
  <c r="K80" i="17"/>
  <c r="N80" i="17"/>
  <c r="K81" i="17"/>
  <c r="L81" i="17"/>
  <c r="M81" i="17"/>
  <c r="N81" i="17"/>
  <c r="K82" i="17"/>
  <c r="L82" i="17"/>
  <c r="M82" i="17"/>
  <c r="N82" i="17"/>
  <c r="K83" i="17"/>
  <c r="L83" i="17"/>
  <c r="M83" i="17"/>
  <c r="N83" i="17"/>
  <c r="K84" i="17"/>
  <c r="L84" i="17"/>
  <c r="M84" i="17"/>
  <c r="N84" i="17"/>
  <c r="K85" i="17"/>
  <c r="L85" i="17"/>
  <c r="M85" i="17"/>
  <c r="N85" i="17"/>
  <c r="K86" i="17"/>
  <c r="L86" i="17"/>
  <c r="M86" i="17"/>
  <c r="N86" i="17"/>
  <c r="K87" i="17"/>
  <c r="L87" i="17"/>
  <c r="M87" i="17"/>
  <c r="N87" i="17"/>
  <c r="K88" i="17"/>
  <c r="L88" i="17"/>
  <c r="M88" i="17"/>
  <c r="N88" i="17"/>
  <c r="K89" i="17"/>
  <c r="L89" i="17"/>
  <c r="M89" i="17"/>
  <c r="N89" i="17"/>
  <c r="K90" i="17"/>
  <c r="L90" i="17"/>
  <c r="M90" i="17"/>
  <c r="N90" i="17"/>
  <c r="K91" i="17"/>
  <c r="L91" i="17"/>
  <c r="M91" i="17"/>
  <c r="N91" i="17"/>
  <c r="K92" i="17"/>
  <c r="L92" i="17"/>
  <c r="M92" i="17"/>
  <c r="N92" i="17"/>
  <c r="K93" i="17"/>
  <c r="L93" i="17"/>
  <c r="M93" i="17"/>
  <c r="N93" i="17"/>
  <c r="K94" i="17"/>
  <c r="L94" i="17"/>
  <c r="M94" i="17"/>
  <c r="N94" i="17"/>
  <c r="K95" i="17"/>
  <c r="L95" i="17"/>
  <c r="M95" i="17"/>
  <c r="N95" i="17"/>
  <c r="K96" i="17"/>
  <c r="L96" i="17"/>
  <c r="M96" i="17"/>
  <c r="N96" i="17"/>
  <c r="K97" i="17"/>
  <c r="L97" i="17"/>
  <c r="M97" i="17"/>
  <c r="N97" i="17"/>
  <c r="K98" i="17"/>
  <c r="L98" i="17"/>
  <c r="M98" i="17"/>
  <c r="N98" i="17"/>
  <c r="K99" i="17"/>
  <c r="L99" i="17"/>
  <c r="M99" i="17"/>
  <c r="N99" i="17"/>
  <c r="K100" i="17"/>
  <c r="L100" i="17"/>
  <c r="M100" i="17"/>
  <c r="N100" i="17"/>
  <c r="K101" i="17"/>
  <c r="L101" i="17"/>
  <c r="M101" i="17"/>
  <c r="N101" i="17"/>
  <c r="K102" i="17"/>
  <c r="L102" i="17"/>
  <c r="M102" i="17"/>
  <c r="N102" i="17"/>
  <c r="K103" i="17"/>
  <c r="L103" i="17"/>
  <c r="M103" i="17"/>
  <c r="N103" i="17"/>
  <c r="K104" i="17"/>
  <c r="L104" i="17"/>
  <c r="M104" i="17"/>
  <c r="N104" i="17"/>
  <c r="K105" i="17"/>
  <c r="L105" i="17"/>
  <c r="M105" i="17"/>
  <c r="N105" i="17"/>
  <c r="K106" i="17"/>
  <c r="L106" i="17"/>
  <c r="M106" i="17"/>
  <c r="N106" i="17"/>
  <c r="K107" i="17"/>
  <c r="L107" i="17"/>
  <c r="M107" i="17"/>
  <c r="N107" i="17"/>
  <c r="K108" i="17"/>
  <c r="L108" i="17"/>
  <c r="N108" i="17"/>
  <c r="K109" i="17"/>
  <c r="L109" i="17"/>
  <c r="M109" i="17"/>
  <c r="N109" i="17"/>
  <c r="K110" i="17"/>
  <c r="L110" i="17"/>
  <c r="M110" i="17"/>
  <c r="N110" i="17"/>
  <c r="K111" i="17"/>
  <c r="L111" i="17"/>
  <c r="M111" i="17"/>
  <c r="N111" i="17"/>
  <c r="K112" i="17"/>
  <c r="L112" i="17"/>
  <c r="M112" i="17"/>
  <c r="N112" i="17"/>
  <c r="K113" i="17"/>
  <c r="L113" i="17"/>
  <c r="M113" i="17"/>
  <c r="N113" i="17"/>
  <c r="K114" i="17"/>
  <c r="L114" i="17"/>
  <c r="M114" i="17"/>
  <c r="N114" i="17"/>
  <c r="K115" i="17"/>
  <c r="L115" i="17"/>
  <c r="M115" i="17"/>
  <c r="N115" i="17"/>
  <c r="K116" i="17"/>
  <c r="L116" i="17"/>
  <c r="M116" i="17"/>
  <c r="N116" i="17"/>
  <c r="O116" i="17"/>
  <c r="P116" i="17"/>
  <c r="Q116" i="17"/>
  <c r="K117" i="17"/>
  <c r="L117" i="17"/>
  <c r="M117" i="17"/>
  <c r="N117" i="17"/>
  <c r="O117" i="17"/>
  <c r="P117" i="17"/>
  <c r="Q117" i="17"/>
  <c r="K118" i="17"/>
  <c r="N118" i="17"/>
  <c r="O118" i="17"/>
  <c r="K119" i="17"/>
  <c r="L119" i="17"/>
  <c r="M119" i="17"/>
  <c r="N119" i="17"/>
  <c r="O119" i="17"/>
  <c r="P119" i="17"/>
  <c r="Q119" i="17"/>
  <c r="K120" i="17"/>
  <c r="L120" i="17"/>
  <c r="M120" i="17"/>
  <c r="N120" i="17"/>
  <c r="K121" i="17"/>
  <c r="L121" i="17"/>
  <c r="M121" i="17"/>
  <c r="N121" i="17"/>
  <c r="O121" i="17"/>
  <c r="P121" i="17"/>
  <c r="Q121" i="17"/>
  <c r="K122" i="17"/>
  <c r="L122" i="17"/>
  <c r="M122" i="17"/>
  <c r="N122" i="17"/>
  <c r="O122" i="17"/>
  <c r="P122" i="17"/>
  <c r="Q122" i="17"/>
  <c r="K123" i="17"/>
  <c r="L123" i="17"/>
  <c r="M123" i="17"/>
  <c r="N123" i="17"/>
  <c r="O123" i="17"/>
  <c r="P123" i="17"/>
  <c r="Q123" i="17"/>
  <c r="K124" i="17"/>
  <c r="L124" i="17"/>
  <c r="M124" i="17"/>
  <c r="N124" i="17"/>
  <c r="O124" i="17"/>
  <c r="P124" i="17"/>
  <c r="Q124" i="17"/>
  <c r="K125" i="17"/>
  <c r="L125" i="17"/>
  <c r="N125" i="17"/>
  <c r="K126" i="17"/>
  <c r="L126" i="17"/>
  <c r="N126" i="17"/>
  <c r="O126" i="17"/>
  <c r="K127" i="17"/>
  <c r="L127" i="17"/>
  <c r="N127" i="17"/>
  <c r="K128" i="17"/>
  <c r="L128" i="17"/>
  <c r="M128" i="17"/>
  <c r="N128" i="17"/>
  <c r="O128" i="17"/>
  <c r="Q128" i="17"/>
  <c r="K129" i="17"/>
  <c r="L129" i="17"/>
  <c r="M129" i="17"/>
  <c r="N129" i="17"/>
  <c r="O129" i="17"/>
  <c r="P129" i="17"/>
  <c r="Q129" i="17"/>
  <c r="K130" i="17"/>
  <c r="L130" i="17"/>
  <c r="M130" i="17"/>
  <c r="N130" i="17"/>
  <c r="O130" i="17"/>
  <c r="P130" i="17"/>
  <c r="Q130" i="17"/>
  <c r="K131" i="17"/>
  <c r="L131" i="17"/>
  <c r="M131" i="17"/>
  <c r="N131" i="17"/>
  <c r="O131" i="17"/>
  <c r="P131" i="17"/>
  <c r="Q131" i="17"/>
  <c r="K132" i="17"/>
  <c r="L132" i="17"/>
  <c r="M132" i="17"/>
  <c r="N132" i="17"/>
  <c r="O132" i="17"/>
  <c r="P132" i="17"/>
  <c r="Q132" i="17"/>
  <c r="K133" i="17"/>
  <c r="L133" i="17"/>
  <c r="M133" i="17"/>
  <c r="N133" i="17"/>
  <c r="K134" i="17"/>
  <c r="L134" i="17"/>
  <c r="M134" i="17"/>
  <c r="N134" i="17"/>
  <c r="O134" i="17"/>
  <c r="P134" i="17"/>
  <c r="Q134" i="17"/>
  <c r="K135" i="17"/>
  <c r="L135" i="17"/>
  <c r="M135" i="17"/>
  <c r="N135" i="17"/>
  <c r="O135" i="17"/>
  <c r="P135" i="17"/>
  <c r="Q135" i="17"/>
  <c r="K136" i="17"/>
  <c r="L136" i="17"/>
  <c r="M136" i="17"/>
  <c r="N136" i="17"/>
  <c r="O136" i="17"/>
  <c r="P136" i="17"/>
  <c r="Q136" i="17"/>
  <c r="K137" i="17"/>
  <c r="L137" i="17"/>
  <c r="M137" i="17"/>
  <c r="N137" i="17"/>
  <c r="K138" i="17"/>
  <c r="L138" i="17"/>
  <c r="M138" i="17"/>
  <c r="N138" i="17"/>
  <c r="O138" i="17"/>
  <c r="P138" i="17"/>
  <c r="Q138" i="17"/>
  <c r="K139" i="17"/>
  <c r="L139" i="17"/>
  <c r="M139" i="17"/>
  <c r="N139" i="17"/>
  <c r="K140" i="17"/>
  <c r="L140" i="17"/>
  <c r="M140" i="17"/>
  <c r="N140" i="17"/>
  <c r="K141" i="17"/>
  <c r="L141" i="17"/>
  <c r="M141" i="17"/>
  <c r="N141" i="17"/>
  <c r="K142" i="17"/>
  <c r="L142" i="17"/>
  <c r="M142" i="17"/>
  <c r="N142" i="17"/>
  <c r="K143" i="17"/>
  <c r="L143" i="17"/>
  <c r="M143" i="17"/>
  <c r="N143" i="17"/>
  <c r="K144" i="17"/>
  <c r="L144" i="17"/>
  <c r="M144" i="17"/>
  <c r="N144" i="17"/>
  <c r="O144" i="17"/>
  <c r="P144" i="17"/>
  <c r="Q144" i="17"/>
  <c r="K145" i="17"/>
  <c r="L145" i="17"/>
  <c r="M145" i="17"/>
  <c r="N145" i="17"/>
  <c r="O145" i="17"/>
  <c r="P145" i="17"/>
  <c r="Q145" i="17"/>
  <c r="K146" i="17"/>
  <c r="L146" i="17"/>
  <c r="M146" i="17"/>
  <c r="N146" i="17"/>
  <c r="O146" i="17"/>
  <c r="P146" i="17"/>
  <c r="Q146" i="17"/>
  <c r="K147" i="17"/>
  <c r="L147" i="17"/>
  <c r="M147" i="17"/>
  <c r="N147" i="17"/>
  <c r="O147" i="17"/>
  <c r="P147" i="17"/>
  <c r="Q147" i="17"/>
  <c r="K148" i="17"/>
  <c r="L148" i="17"/>
  <c r="M148" i="17"/>
  <c r="N148" i="17"/>
  <c r="O148" i="17"/>
  <c r="P148" i="17"/>
  <c r="Q148" i="17"/>
  <c r="K149" i="17"/>
  <c r="L149" i="17"/>
  <c r="M149" i="17"/>
  <c r="N149" i="17"/>
  <c r="O149" i="17"/>
  <c r="P149" i="17"/>
  <c r="Q149" i="17"/>
  <c r="A141" i="17"/>
  <c r="A142" i="17"/>
  <c r="A143" i="17"/>
  <c r="A144" i="17"/>
  <c r="A145" i="17"/>
  <c r="A146" i="17"/>
  <c r="A147" i="17"/>
  <c r="A148" i="17"/>
  <c r="A149" i="17"/>
  <c r="N184" i="22"/>
  <c r="I184" i="22"/>
  <c r="J184" i="22"/>
  <c r="K184" i="22"/>
  <c r="L184" i="22"/>
  <c r="M184" i="22"/>
  <c r="H184" i="22"/>
  <c r="F162" i="22"/>
  <c r="N162" i="22" s="1"/>
  <c r="G162" i="22"/>
  <c r="H162" i="22"/>
  <c r="I162" i="22"/>
  <c r="F163" i="22"/>
  <c r="G163" i="22"/>
  <c r="H163" i="22"/>
  <c r="I163" i="22"/>
  <c r="N163" i="22"/>
  <c r="F164" i="22"/>
  <c r="N164" i="22" s="1"/>
  <c r="G164" i="22"/>
  <c r="H164" i="22"/>
  <c r="I164" i="22"/>
  <c r="F165" i="22"/>
  <c r="G165" i="22"/>
  <c r="H165" i="22"/>
  <c r="I165" i="22"/>
  <c r="N165" i="22"/>
  <c r="F166" i="22"/>
  <c r="N166" i="22" s="1"/>
  <c r="G166" i="22"/>
  <c r="H166" i="22"/>
  <c r="I166" i="22"/>
  <c r="F167" i="22"/>
  <c r="G167" i="22"/>
  <c r="H167" i="22"/>
  <c r="I167" i="22"/>
  <c r="N167" i="22"/>
  <c r="F168" i="22"/>
  <c r="G168" i="22"/>
  <c r="H168" i="22"/>
  <c r="I168" i="22"/>
  <c r="N168" i="22"/>
  <c r="F169" i="22"/>
  <c r="N169" i="22" s="1"/>
  <c r="G169" i="22"/>
  <c r="H169" i="22"/>
  <c r="I169" i="22"/>
  <c r="F170" i="22"/>
  <c r="G170" i="22"/>
  <c r="H170" i="22"/>
  <c r="I170" i="22"/>
  <c r="N170" i="22"/>
  <c r="F171" i="22"/>
  <c r="N171" i="22" s="1"/>
  <c r="G171" i="22"/>
  <c r="H171" i="22"/>
  <c r="I171" i="22"/>
  <c r="F172" i="22"/>
  <c r="G172" i="22"/>
  <c r="H172" i="22"/>
  <c r="I172" i="22"/>
  <c r="N172" i="22"/>
  <c r="F173" i="22"/>
  <c r="G173" i="22"/>
  <c r="H173" i="22"/>
  <c r="I173" i="22"/>
  <c r="N173" i="22"/>
  <c r="F174" i="22"/>
  <c r="N174" i="22" s="1"/>
  <c r="G174" i="22"/>
  <c r="H174" i="22"/>
  <c r="I174" i="22"/>
  <c r="F175" i="22"/>
  <c r="G175" i="22"/>
  <c r="H175" i="22"/>
  <c r="I175" i="22"/>
  <c r="N175" i="22"/>
  <c r="F176" i="22"/>
  <c r="N176" i="22" s="1"/>
  <c r="G176" i="22"/>
  <c r="H176" i="22"/>
  <c r="I176" i="22"/>
  <c r="F177" i="22"/>
  <c r="G177" i="22"/>
  <c r="H177" i="22"/>
  <c r="I177" i="22"/>
  <c r="N177" i="22"/>
  <c r="F178" i="22"/>
  <c r="N178" i="22" s="1"/>
  <c r="G178" i="22"/>
  <c r="H178" i="22"/>
  <c r="I178" i="22"/>
  <c r="F179" i="22"/>
  <c r="G179" i="22"/>
  <c r="H179" i="22"/>
  <c r="I179" i="22"/>
  <c r="N179" i="22"/>
  <c r="F180" i="22"/>
  <c r="G180" i="22"/>
  <c r="H180" i="22"/>
  <c r="I180" i="22"/>
  <c r="N180" i="22"/>
  <c r="F181" i="22"/>
  <c r="N181" i="22" s="1"/>
  <c r="G181" i="22"/>
  <c r="H181" i="22"/>
  <c r="I181" i="22"/>
  <c r="F182" i="22"/>
  <c r="G182" i="22"/>
  <c r="H182" i="22"/>
  <c r="I182" i="22"/>
  <c r="N182" i="22"/>
  <c r="F183" i="22"/>
  <c r="N183" i="22" s="1"/>
  <c r="G183" i="22"/>
  <c r="H183" i="22"/>
  <c r="I183" i="22"/>
  <c r="N153" i="22"/>
  <c r="N154" i="22"/>
  <c r="I157" i="22"/>
  <c r="J157" i="22"/>
  <c r="K157" i="22"/>
  <c r="L157" i="22"/>
  <c r="M157" i="22"/>
  <c r="N157" i="22"/>
  <c r="H157" i="22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C179" i="3"/>
  <c r="E179" i="3"/>
  <c r="F179" i="3"/>
  <c r="G179" i="3"/>
  <c r="W179" i="3"/>
  <c r="Y179" i="3"/>
  <c r="C180" i="3"/>
  <c r="E180" i="3"/>
  <c r="F180" i="3"/>
  <c r="G180" i="3"/>
  <c r="H180" i="3"/>
  <c r="J180" i="3"/>
  <c r="T180" i="3"/>
  <c r="V180" i="3"/>
  <c r="W180" i="3"/>
  <c r="Y180" i="3"/>
  <c r="H5" i="20"/>
  <c r="J5" i="20"/>
  <c r="H6" i="20"/>
  <c r="J6" i="20"/>
  <c r="H7" i="20"/>
  <c r="J7" i="20"/>
  <c r="H8" i="20"/>
  <c r="J8" i="20"/>
  <c r="H9" i="20"/>
  <c r="J9" i="20"/>
  <c r="H10" i="20"/>
  <c r="J10" i="20"/>
  <c r="H11" i="20"/>
  <c r="I11" i="20"/>
  <c r="J11" i="20"/>
  <c r="H12" i="20"/>
  <c r="I12" i="20"/>
  <c r="J12" i="20"/>
  <c r="H13" i="20"/>
  <c r="I13" i="20"/>
  <c r="J13" i="20"/>
  <c r="H14" i="20"/>
  <c r="J14" i="20"/>
  <c r="H15" i="20"/>
  <c r="I15" i="20"/>
  <c r="J15" i="20"/>
  <c r="H16" i="20"/>
  <c r="J16" i="20"/>
  <c r="H17" i="20"/>
  <c r="I17" i="20"/>
  <c r="J17" i="20"/>
  <c r="I154" i="22"/>
  <c r="H154" i="22"/>
  <c r="C6" i="3"/>
  <c r="E6" i="3"/>
  <c r="F6" i="3"/>
  <c r="G6" i="3"/>
  <c r="K6" i="3"/>
  <c r="M6" i="3"/>
  <c r="N6" i="3"/>
  <c r="P6" i="3"/>
  <c r="Q6" i="3"/>
  <c r="S6" i="3"/>
  <c r="W6" i="3"/>
  <c r="Y6" i="3"/>
  <c r="C7" i="3"/>
  <c r="E7" i="3"/>
  <c r="F7" i="3"/>
  <c r="G7" i="3"/>
  <c r="K7" i="3"/>
  <c r="M7" i="3"/>
  <c r="N7" i="3"/>
  <c r="P7" i="3"/>
  <c r="Q7" i="3"/>
  <c r="S7" i="3"/>
  <c r="W7" i="3"/>
  <c r="Y7" i="3"/>
  <c r="C8" i="3"/>
  <c r="E8" i="3"/>
  <c r="F8" i="3"/>
  <c r="G8" i="3"/>
  <c r="K8" i="3"/>
  <c r="M8" i="3"/>
  <c r="N8" i="3"/>
  <c r="P8" i="3"/>
  <c r="Q8" i="3"/>
  <c r="S8" i="3"/>
  <c r="W8" i="3"/>
  <c r="Y8" i="3"/>
  <c r="C9" i="3"/>
  <c r="E9" i="3"/>
  <c r="F9" i="3"/>
  <c r="G9" i="3"/>
  <c r="H9" i="3"/>
  <c r="K9" i="3"/>
  <c r="M9" i="3"/>
  <c r="N9" i="3"/>
  <c r="P9" i="3"/>
  <c r="Q9" i="3"/>
  <c r="S9" i="3"/>
  <c r="W9" i="3"/>
  <c r="Y9" i="3"/>
  <c r="C10" i="3"/>
  <c r="E10" i="3"/>
  <c r="F10" i="3"/>
  <c r="G10" i="3"/>
  <c r="H10" i="3"/>
  <c r="K10" i="3"/>
  <c r="M10" i="3"/>
  <c r="N10" i="3"/>
  <c r="P10" i="3"/>
  <c r="Q10" i="3"/>
  <c r="S10" i="3"/>
  <c r="W10" i="3"/>
  <c r="Y10" i="3"/>
  <c r="C11" i="3"/>
  <c r="E11" i="3"/>
  <c r="F11" i="3"/>
  <c r="G11" i="3"/>
  <c r="K11" i="3"/>
  <c r="M11" i="3"/>
  <c r="N11" i="3"/>
  <c r="P11" i="3"/>
  <c r="Q11" i="3"/>
  <c r="S11" i="3"/>
  <c r="W11" i="3"/>
  <c r="Y11" i="3"/>
  <c r="C12" i="3"/>
  <c r="E12" i="3"/>
  <c r="F12" i="3"/>
  <c r="G12" i="3"/>
  <c r="K12" i="3"/>
  <c r="M12" i="3"/>
  <c r="N12" i="3"/>
  <c r="P12" i="3"/>
  <c r="Q12" i="3"/>
  <c r="S12" i="3"/>
  <c r="W12" i="3"/>
  <c r="Y12" i="3"/>
  <c r="C13" i="3"/>
  <c r="E13" i="3"/>
  <c r="F13" i="3"/>
  <c r="G13" i="3"/>
  <c r="K13" i="3"/>
  <c r="M13" i="3"/>
  <c r="N13" i="3"/>
  <c r="P13" i="3"/>
  <c r="Q13" i="3"/>
  <c r="S13" i="3"/>
  <c r="W13" i="3"/>
  <c r="Y13" i="3"/>
  <c r="C14" i="3"/>
  <c r="E14" i="3"/>
  <c r="F14" i="3"/>
  <c r="G14" i="3"/>
  <c r="H14" i="3"/>
  <c r="K14" i="3"/>
  <c r="M14" i="3"/>
  <c r="N14" i="3"/>
  <c r="P14" i="3"/>
  <c r="Q14" i="3"/>
  <c r="S14" i="3"/>
  <c r="W14" i="3"/>
  <c r="Y14" i="3"/>
  <c r="C15" i="3"/>
  <c r="E15" i="3"/>
  <c r="F15" i="3"/>
  <c r="G15" i="3"/>
  <c r="K15" i="3"/>
  <c r="M15" i="3"/>
  <c r="N15" i="3"/>
  <c r="P15" i="3"/>
  <c r="Q15" i="3"/>
  <c r="S15" i="3"/>
  <c r="W15" i="3"/>
  <c r="Y15" i="3"/>
  <c r="C16" i="3"/>
  <c r="E16" i="3"/>
  <c r="F16" i="3"/>
  <c r="G16" i="3"/>
  <c r="K16" i="3"/>
  <c r="M16" i="3"/>
  <c r="N16" i="3"/>
  <c r="P16" i="3"/>
  <c r="Q16" i="3"/>
  <c r="S16" i="3"/>
  <c r="W16" i="3"/>
  <c r="Y16" i="3"/>
  <c r="C17" i="3"/>
  <c r="E17" i="3"/>
  <c r="F17" i="3"/>
  <c r="G17" i="3"/>
  <c r="H17" i="3"/>
  <c r="K17" i="3"/>
  <c r="M17" i="3"/>
  <c r="N17" i="3"/>
  <c r="P17" i="3"/>
  <c r="Q17" i="3"/>
  <c r="S17" i="3"/>
  <c r="W17" i="3"/>
  <c r="Y17" i="3"/>
  <c r="C18" i="3"/>
  <c r="E18" i="3"/>
  <c r="F18" i="3"/>
  <c r="G18" i="3"/>
  <c r="K18" i="3"/>
  <c r="M18" i="3"/>
  <c r="N18" i="3"/>
  <c r="P18" i="3"/>
  <c r="Q18" i="3"/>
  <c r="S18" i="3"/>
  <c r="W18" i="3"/>
  <c r="Y18" i="3"/>
  <c r="C19" i="3"/>
  <c r="E19" i="3"/>
  <c r="F19" i="3"/>
  <c r="G19" i="3"/>
  <c r="K19" i="3"/>
  <c r="M19" i="3"/>
  <c r="N19" i="3"/>
  <c r="P19" i="3"/>
  <c r="Q19" i="3"/>
  <c r="S19" i="3"/>
  <c r="W19" i="3"/>
  <c r="Y19" i="3"/>
  <c r="C20" i="3"/>
  <c r="E20" i="3"/>
  <c r="F20" i="3"/>
  <c r="G20" i="3"/>
  <c r="K20" i="3"/>
  <c r="M20" i="3"/>
  <c r="N20" i="3"/>
  <c r="P20" i="3"/>
  <c r="Q20" i="3"/>
  <c r="S20" i="3"/>
  <c r="W20" i="3"/>
  <c r="Y20" i="3"/>
  <c r="C21" i="3"/>
  <c r="E21" i="3"/>
  <c r="F21" i="3"/>
  <c r="G21" i="3"/>
  <c r="K21" i="3"/>
  <c r="M21" i="3"/>
  <c r="N21" i="3"/>
  <c r="P21" i="3"/>
  <c r="Q21" i="3"/>
  <c r="S21" i="3"/>
  <c r="W21" i="3"/>
  <c r="Y21" i="3"/>
  <c r="C22" i="3"/>
  <c r="E22" i="3"/>
  <c r="F22" i="3"/>
  <c r="G22" i="3"/>
  <c r="K22" i="3"/>
  <c r="M22" i="3"/>
  <c r="N22" i="3"/>
  <c r="P22" i="3"/>
  <c r="Q22" i="3"/>
  <c r="S22" i="3"/>
  <c r="W22" i="3"/>
  <c r="Y22" i="3"/>
  <c r="C23" i="3"/>
  <c r="E23" i="3"/>
  <c r="F23" i="3"/>
  <c r="G23" i="3"/>
  <c r="K23" i="3"/>
  <c r="M23" i="3"/>
  <c r="N23" i="3"/>
  <c r="P23" i="3"/>
  <c r="Q23" i="3"/>
  <c r="S23" i="3"/>
  <c r="W23" i="3"/>
  <c r="Y23" i="3"/>
  <c r="C24" i="3"/>
  <c r="E24" i="3"/>
  <c r="F24" i="3"/>
  <c r="G24" i="3"/>
  <c r="K24" i="3"/>
  <c r="M24" i="3"/>
  <c r="N24" i="3"/>
  <c r="P24" i="3"/>
  <c r="Q24" i="3"/>
  <c r="S24" i="3"/>
  <c r="W24" i="3"/>
  <c r="Y24" i="3"/>
  <c r="C25" i="3"/>
  <c r="E25" i="3"/>
  <c r="F25" i="3"/>
  <c r="G25" i="3"/>
  <c r="K25" i="3"/>
  <c r="M25" i="3"/>
  <c r="N25" i="3"/>
  <c r="P25" i="3"/>
  <c r="Q25" i="3"/>
  <c r="S25" i="3"/>
  <c r="W25" i="3"/>
  <c r="Y25" i="3"/>
  <c r="C26" i="3"/>
  <c r="E26" i="3"/>
  <c r="F26" i="3"/>
  <c r="G26" i="3"/>
  <c r="K26" i="3"/>
  <c r="M26" i="3"/>
  <c r="N26" i="3"/>
  <c r="P26" i="3"/>
  <c r="Q26" i="3"/>
  <c r="S26" i="3"/>
  <c r="W26" i="3"/>
  <c r="Y26" i="3"/>
  <c r="C27" i="3"/>
  <c r="E27" i="3"/>
  <c r="F27" i="3"/>
  <c r="G27" i="3"/>
  <c r="H27" i="3"/>
  <c r="K27" i="3"/>
  <c r="M27" i="3"/>
  <c r="N27" i="3"/>
  <c r="P27" i="3"/>
  <c r="Q27" i="3"/>
  <c r="S27" i="3"/>
  <c r="W27" i="3"/>
  <c r="Y27" i="3"/>
  <c r="C28" i="3"/>
  <c r="E28" i="3"/>
  <c r="F28" i="3"/>
  <c r="G28" i="3"/>
  <c r="K28" i="3"/>
  <c r="M28" i="3"/>
  <c r="N28" i="3"/>
  <c r="P28" i="3"/>
  <c r="Q28" i="3"/>
  <c r="S28" i="3"/>
  <c r="W28" i="3"/>
  <c r="Y28" i="3"/>
  <c r="C29" i="3"/>
  <c r="E29" i="3"/>
  <c r="F29" i="3"/>
  <c r="G29" i="3"/>
  <c r="K29" i="3"/>
  <c r="M29" i="3"/>
  <c r="N29" i="3"/>
  <c r="P29" i="3"/>
  <c r="Q29" i="3"/>
  <c r="S29" i="3"/>
  <c r="W29" i="3"/>
  <c r="Y29" i="3"/>
  <c r="C30" i="3"/>
  <c r="E30" i="3"/>
  <c r="F30" i="3"/>
  <c r="G30" i="3"/>
  <c r="H30" i="3"/>
  <c r="K30" i="3"/>
  <c r="M30" i="3"/>
  <c r="N30" i="3"/>
  <c r="P30" i="3"/>
  <c r="Q30" i="3"/>
  <c r="S30" i="3"/>
  <c r="W30" i="3"/>
  <c r="Y30" i="3"/>
  <c r="C31" i="3"/>
  <c r="E31" i="3"/>
  <c r="F31" i="3"/>
  <c r="G31" i="3"/>
  <c r="H31" i="3"/>
  <c r="K31" i="3"/>
  <c r="M31" i="3"/>
  <c r="N31" i="3"/>
  <c r="P31" i="3"/>
  <c r="Q31" i="3"/>
  <c r="S31" i="3"/>
  <c r="W31" i="3"/>
  <c r="Y31" i="3"/>
  <c r="C32" i="3"/>
  <c r="E32" i="3"/>
  <c r="F32" i="3"/>
  <c r="G32" i="3"/>
  <c r="K32" i="3"/>
  <c r="M32" i="3"/>
  <c r="N32" i="3"/>
  <c r="P32" i="3"/>
  <c r="Q32" i="3"/>
  <c r="S32" i="3"/>
  <c r="W32" i="3"/>
  <c r="Y32" i="3"/>
  <c r="C33" i="3"/>
  <c r="E33" i="3"/>
  <c r="F33" i="3"/>
  <c r="G33" i="3"/>
  <c r="H33" i="3"/>
  <c r="K33" i="3"/>
  <c r="M33" i="3"/>
  <c r="N33" i="3"/>
  <c r="P33" i="3"/>
  <c r="Q33" i="3"/>
  <c r="S33" i="3"/>
  <c r="W33" i="3"/>
  <c r="Y33" i="3"/>
  <c r="C34" i="3"/>
  <c r="E34" i="3"/>
  <c r="F34" i="3"/>
  <c r="G34" i="3"/>
  <c r="K34" i="3"/>
  <c r="M34" i="3"/>
  <c r="N34" i="3"/>
  <c r="P34" i="3"/>
  <c r="Q34" i="3"/>
  <c r="S34" i="3"/>
  <c r="W34" i="3"/>
  <c r="Y34" i="3"/>
  <c r="C35" i="3"/>
  <c r="E35" i="3"/>
  <c r="F35" i="3"/>
  <c r="G35" i="3"/>
  <c r="K35" i="3"/>
  <c r="M35" i="3"/>
  <c r="N35" i="3"/>
  <c r="P35" i="3"/>
  <c r="Q35" i="3"/>
  <c r="S35" i="3"/>
  <c r="W35" i="3"/>
  <c r="Y35" i="3"/>
  <c r="C36" i="3"/>
  <c r="E36" i="3"/>
  <c r="F36" i="3"/>
  <c r="G36" i="3"/>
  <c r="H36" i="3"/>
  <c r="K36" i="3"/>
  <c r="M36" i="3"/>
  <c r="N36" i="3"/>
  <c r="P36" i="3"/>
  <c r="Q36" i="3"/>
  <c r="S36" i="3"/>
  <c r="W36" i="3"/>
  <c r="Y36" i="3"/>
  <c r="C37" i="3"/>
  <c r="E37" i="3"/>
  <c r="F37" i="3"/>
  <c r="G37" i="3"/>
  <c r="H37" i="3"/>
  <c r="K37" i="3"/>
  <c r="M37" i="3"/>
  <c r="N37" i="3"/>
  <c r="P37" i="3"/>
  <c r="Q37" i="3"/>
  <c r="S37" i="3"/>
  <c r="W37" i="3"/>
  <c r="Y37" i="3"/>
  <c r="C38" i="3"/>
  <c r="E38" i="3"/>
  <c r="F38" i="3"/>
  <c r="G38" i="3"/>
  <c r="K38" i="3"/>
  <c r="M38" i="3"/>
  <c r="N38" i="3"/>
  <c r="P38" i="3"/>
  <c r="Q38" i="3"/>
  <c r="S38" i="3"/>
  <c r="W38" i="3"/>
  <c r="Y38" i="3"/>
  <c r="C39" i="3"/>
  <c r="E39" i="3"/>
  <c r="F39" i="3"/>
  <c r="G39" i="3"/>
  <c r="H39" i="3"/>
  <c r="K39" i="3"/>
  <c r="M39" i="3"/>
  <c r="N39" i="3"/>
  <c r="P39" i="3"/>
  <c r="Q39" i="3"/>
  <c r="S39" i="3"/>
  <c r="W39" i="3"/>
  <c r="Y39" i="3"/>
  <c r="C40" i="3"/>
  <c r="E40" i="3"/>
  <c r="F40" i="3"/>
  <c r="G40" i="3"/>
  <c r="H40" i="3"/>
  <c r="K40" i="3"/>
  <c r="M40" i="3"/>
  <c r="N40" i="3"/>
  <c r="P40" i="3"/>
  <c r="Q40" i="3"/>
  <c r="S40" i="3"/>
  <c r="W40" i="3"/>
  <c r="Y40" i="3"/>
  <c r="C41" i="3"/>
  <c r="E41" i="3"/>
  <c r="F41" i="3"/>
  <c r="G41" i="3"/>
  <c r="K41" i="3"/>
  <c r="M41" i="3"/>
  <c r="N41" i="3"/>
  <c r="P41" i="3"/>
  <c r="Q41" i="3"/>
  <c r="S41" i="3"/>
  <c r="W41" i="3"/>
  <c r="Y41" i="3"/>
  <c r="C42" i="3"/>
  <c r="E42" i="3"/>
  <c r="F42" i="3"/>
  <c r="G42" i="3"/>
  <c r="H42" i="3"/>
  <c r="K42" i="3"/>
  <c r="M42" i="3"/>
  <c r="N42" i="3"/>
  <c r="P42" i="3"/>
  <c r="Q42" i="3"/>
  <c r="S42" i="3"/>
  <c r="W42" i="3"/>
  <c r="Y42" i="3"/>
  <c r="C43" i="3"/>
  <c r="E43" i="3"/>
  <c r="F43" i="3"/>
  <c r="G43" i="3"/>
  <c r="H43" i="3"/>
  <c r="K43" i="3"/>
  <c r="M43" i="3"/>
  <c r="N43" i="3"/>
  <c r="P43" i="3"/>
  <c r="Q43" i="3"/>
  <c r="S43" i="3"/>
  <c r="W43" i="3"/>
  <c r="Y43" i="3"/>
  <c r="C44" i="3"/>
  <c r="E44" i="3"/>
  <c r="F44" i="3"/>
  <c r="G44" i="3"/>
  <c r="K44" i="3"/>
  <c r="M44" i="3"/>
  <c r="N44" i="3"/>
  <c r="P44" i="3"/>
  <c r="Q44" i="3"/>
  <c r="S44" i="3"/>
  <c r="W44" i="3"/>
  <c r="Y44" i="3"/>
  <c r="C45" i="3"/>
  <c r="E45" i="3"/>
  <c r="F45" i="3"/>
  <c r="G45" i="3"/>
  <c r="K45" i="3"/>
  <c r="M45" i="3"/>
  <c r="N45" i="3"/>
  <c r="P45" i="3"/>
  <c r="Q45" i="3"/>
  <c r="S45" i="3"/>
  <c r="W45" i="3"/>
  <c r="Y45" i="3"/>
  <c r="C46" i="3"/>
  <c r="E46" i="3"/>
  <c r="F46" i="3"/>
  <c r="G46" i="3"/>
  <c r="K46" i="3"/>
  <c r="M46" i="3"/>
  <c r="N46" i="3"/>
  <c r="P46" i="3"/>
  <c r="Q46" i="3"/>
  <c r="S46" i="3"/>
  <c r="W46" i="3"/>
  <c r="Y46" i="3"/>
  <c r="C47" i="3"/>
  <c r="E47" i="3"/>
  <c r="F47" i="3"/>
  <c r="G47" i="3"/>
  <c r="H47" i="3"/>
  <c r="K47" i="3"/>
  <c r="M47" i="3"/>
  <c r="N47" i="3"/>
  <c r="P47" i="3"/>
  <c r="Q47" i="3"/>
  <c r="S47" i="3"/>
  <c r="W47" i="3"/>
  <c r="Y47" i="3"/>
  <c r="C48" i="3"/>
  <c r="E48" i="3"/>
  <c r="F48" i="3"/>
  <c r="G48" i="3"/>
  <c r="H48" i="3"/>
  <c r="K48" i="3"/>
  <c r="M48" i="3"/>
  <c r="N48" i="3"/>
  <c r="P48" i="3"/>
  <c r="Q48" i="3"/>
  <c r="S48" i="3"/>
  <c r="W48" i="3"/>
  <c r="Y48" i="3"/>
  <c r="C49" i="3"/>
  <c r="E49" i="3"/>
  <c r="F49" i="3"/>
  <c r="G49" i="3"/>
  <c r="H49" i="3"/>
  <c r="K49" i="3"/>
  <c r="M49" i="3"/>
  <c r="N49" i="3"/>
  <c r="P49" i="3"/>
  <c r="Q49" i="3"/>
  <c r="S49" i="3"/>
  <c r="W49" i="3"/>
  <c r="Y49" i="3"/>
  <c r="C50" i="3"/>
  <c r="E50" i="3"/>
  <c r="F50" i="3"/>
  <c r="G50" i="3"/>
  <c r="K50" i="3"/>
  <c r="M50" i="3"/>
  <c r="N50" i="3"/>
  <c r="P50" i="3"/>
  <c r="Q50" i="3"/>
  <c r="S50" i="3"/>
  <c r="W50" i="3"/>
  <c r="Y50" i="3"/>
  <c r="C51" i="3"/>
  <c r="E51" i="3"/>
  <c r="F51" i="3"/>
  <c r="G51" i="3"/>
  <c r="K51" i="3"/>
  <c r="M51" i="3"/>
  <c r="N51" i="3"/>
  <c r="P51" i="3"/>
  <c r="Q51" i="3"/>
  <c r="S51" i="3"/>
  <c r="W51" i="3"/>
  <c r="Y51" i="3"/>
  <c r="C52" i="3"/>
  <c r="E52" i="3"/>
  <c r="F52" i="3"/>
  <c r="G52" i="3"/>
  <c r="K52" i="3"/>
  <c r="M52" i="3"/>
  <c r="N52" i="3"/>
  <c r="P52" i="3"/>
  <c r="Q52" i="3"/>
  <c r="S52" i="3"/>
  <c r="W52" i="3"/>
  <c r="Y52" i="3"/>
  <c r="C53" i="3"/>
  <c r="E53" i="3"/>
  <c r="F53" i="3"/>
  <c r="G53" i="3"/>
  <c r="K53" i="3"/>
  <c r="M53" i="3"/>
  <c r="N53" i="3"/>
  <c r="P53" i="3"/>
  <c r="Q53" i="3"/>
  <c r="S53" i="3"/>
  <c r="W53" i="3"/>
  <c r="Y53" i="3"/>
  <c r="C54" i="3"/>
  <c r="E54" i="3"/>
  <c r="F54" i="3"/>
  <c r="G54" i="3"/>
  <c r="K54" i="3"/>
  <c r="M54" i="3"/>
  <c r="N54" i="3"/>
  <c r="P54" i="3"/>
  <c r="Q54" i="3"/>
  <c r="S54" i="3"/>
  <c r="W54" i="3"/>
  <c r="Y54" i="3"/>
  <c r="C55" i="3"/>
  <c r="E55" i="3"/>
  <c r="F55" i="3"/>
  <c r="G55" i="3"/>
  <c r="H55" i="3"/>
  <c r="K55" i="3"/>
  <c r="M55" i="3"/>
  <c r="N55" i="3"/>
  <c r="P55" i="3"/>
  <c r="Q55" i="3"/>
  <c r="S55" i="3"/>
  <c r="W55" i="3"/>
  <c r="Y55" i="3"/>
  <c r="C56" i="3"/>
  <c r="E56" i="3"/>
  <c r="F56" i="3"/>
  <c r="G56" i="3"/>
  <c r="K56" i="3"/>
  <c r="M56" i="3"/>
  <c r="N56" i="3"/>
  <c r="P56" i="3"/>
  <c r="Q56" i="3"/>
  <c r="S56" i="3"/>
  <c r="W56" i="3"/>
  <c r="Y56" i="3"/>
  <c r="C57" i="3"/>
  <c r="E57" i="3"/>
  <c r="F57" i="3"/>
  <c r="G57" i="3"/>
  <c r="K57" i="3"/>
  <c r="M57" i="3"/>
  <c r="N57" i="3"/>
  <c r="P57" i="3"/>
  <c r="Q57" i="3"/>
  <c r="S57" i="3"/>
  <c r="W57" i="3"/>
  <c r="Y57" i="3"/>
  <c r="C58" i="3"/>
  <c r="E58" i="3"/>
  <c r="F58" i="3"/>
  <c r="G58" i="3"/>
  <c r="K58" i="3"/>
  <c r="M58" i="3"/>
  <c r="N58" i="3"/>
  <c r="P58" i="3"/>
  <c r="Q58" i="3"/>
  <c r="S58" i="3"/>
  <c r="W58" i="3"/>
  <c r="Y58" i="3"/>
  <c r="C59" i="3"/>
  <c r="E59" i="3"/>
  <c r="F59" i="3"/>
  <c r="G59" i="3"/>
  <c r="H59" i="3"/>
  <c r="K59" i="3"/>
  <c r="M59" i="3"/>
  <c r="N59" i="3"/>
  <c r="P59" i="3"/>
  <c r="Q59" i="3"/>
  <c r="S59" i="3"/>
  <c r="W59" i="3"/>
  <c r="Y59" i="3"/>
  <c r="C60" i="3"/>
  <c r="E60" i="3"/>
  <c r="F60" i="3"/>
  <c r="G60" i="3"/>
  <c r="K60" i="3"/>
  <c r="M60" i="3"/>
  <c r="N60" i="3"/>
  <c r="P60" i="3"/>
  <c r="Q60" i="3"/>
  <c r="S60" i="3"/>
  <c r="W60" i="3"/>
  <c r="Y60" i="3"/>
  <c r="C61" i="3"/>
  <c r="E61" i="3"/>
  <c r="F61" i="3"/>
  <c r="G61" i="3"/>
  <c r="H61" i="3"/>
  <c r="K61" i="3"/>
  <c r="M61" i="3"/>
  <c r="N61" i="3"/>
  <c r="P61" i="3"/>
  <c r="Q61" i="3"/>
  <c r="S61" i="3"/>
  <c r="W61" i="3"/>
  <c r="Y61" i="3"/>
  <c r="C62" i="3"/>
  <c r="E62" i="3"/>
  <c r="F62" i="3"/>
  <c r="G62" i="3"/>
  <c r="H62" i="3"/>
  <c r="K62" i="3"/>
  <c r="M62" i="3"/>
  <c r="N62" i="3"/>
  <c r="P62" i="3"/>
  <c r="Q62" i="3"/>
  <c r="S62" i="3"/>
  <c r="W62" i="3"/>
  <c r="Y62" i="3"/>
  <c r="C63" i="3"/>
  <c r="E63" i="3"/>
  <c r="F63" i="3"/>
  <c r="G63" i="3"/>
  <c r="K63" i="3"/>
  <c r="M63" i="3"/>
  <c r="N63" i="3"/>
  <c r="P63" i="3"/>
  <c r="Q63" i="3"/>
  <c r="S63" i="3"/>
  <c r="W63" i="3"/>
  <c r="Y63" i="3"/>
  <c r="C64" i="3"/>
  <c r="E64" i="3"/>
  <c r="F64" i="3"/>
  <c r="G64" i="3"/>
  <c r="K64" i="3"/>
  <c r="M64" i="3"/>
  <c r="N64" i="3"/>
  <c r="P64" i="3"/>
  <c r="Q64" i="3"/>
  <c r="S64" i="3"/>
  <c r="W64" i="3"/>
  <c r="Y64" i="3"/>
  <c r="C65" i="3"/>
  <c r="E65" i="3"/>
  <c r="F65" i="3"/>
  <c r="G65" i="3"/>
  <c r="K65" i="3"/>
  <c r="M65" i="3"/>
  <c r="N65" i="3"/>
  <c r="P65" i="3"/>
  <c r="Q65" i="3"/>
  <c r="S65" i="3"/>
  <c r="W65" i="3"/>
  <c r="Y65" i="3"/>
  <c r="C66" i="3"/>
  <c r="E66" i="3"/>
  <c r="F66" i="3"/>
  <c r="G66" i="3"/>
  <c r="K66" i="3"/>
  <c r="M66" i="3"/>
  <c r="N66" i="3"/>
  <c r="P66" i="3"/>
  <c r="Q66" i="3"/>
  <c r="S66" i="3"/>
  <c r="W66" i="3"/>
  <c r="Y66" i="3"/>
  <c r="C67" i="3"/>
  <c r="E67" i="3"/>
  <c r="F67" i="3"/>
  <c r="G67" i="3"/>
  <c r="K67" i="3"/>
  <c r="M67" i="3"/>
  <c r="N67" i="3"/>
  <c r="P67" i="3"/>
  <c r="Q67" i="3"/>
  <c r="S67" i="3"/>
  <c r="W67" i="3"/>
  <c r="Y67" i="3"/>
  <c r="C68" i="3"/>
  <c r="E68" i="3"/>
  <c r="F68" i="3"/>
  <c r="G68" i="3"/>
  <c r="K68" i="3"/>
  <c r="M68" i="3"/>
  <c r="N68" i="3"/>
  <c r="P68" i="3"/>
  <c r="Q68" i="3"/>
  <c r="S68" i="3"/>
  <c r="W68" i="3"/>
  <c r="Y68" i="3"/>
  <c r="C69" i="3"/>
  <c r="E69" i="3"/>
  <c r="F69" i="3"/>
  <c r="G69" i="3"/>
  <c r="K69" i="3"/>
  <c r="M69" i="3"/>
  <c r="N69" i="3"/>
  <c r="P69" i="3"/>
  <c r="Q69" i="3"/>
  <c r="S69" i="3"/>
  <c r="W69" i="3"/>
  <c r="Y69" i="3"/>
  <c r="C70" i="3"/>
  <c r="E70" i="3"/>
  <c r="F70" i="3"/>
  <c r="G70" i="3"/>
  <c r="K70" i="3"/>
  <c r="M70" i="3"/>
  <c r="N70" i="3"/>
  <c r="P70" i="3"/>
  <c r="Q70" i="3"/>
  <c r="S70" i="3"/>
  <c r="W70" i="3"/>
  <c r="Y70" i="3"/>
  <c r="C71" i="3"/>
  <c r="E71" i="3"/>
  <c r="F71" i="3"/>
  <c r="G71" i="3"/>
  <c r="K71" i="3"/>
  <c r="M71" i="3"/>
  <c r="N71" i="3"/>
  <c r="P71" i="3"/>
  <c r="Q71" i="3"/>
  <c r="S71" i="3"/>
  <c r="W71" i="3"/>
  <c r="Y71" i="3"/>
  <c r="C72" i="3"/>
  <c r="E72" i="3"/>
  <c r="F72" i="3"/>
  <c r="G72" i="3"/>
  <c r="K72" i="3"/>
  <c r="M72" i="3"/>
  <c r="N72" i="3"/>
  <c r="P72" i="3"/>
  <c r="Q72" i="3"/>
  <c r="S72" i="3"/>
  <c r="W72" i="3"/>
  <c r="Y72" i="3"/>
  <c r="C73" i="3"/>
  <c r="E73" i="3"/>
  <c r="F73" i="3"/>
  <c r="G73" i="3"/>
  <c r="K73" i="3"/>
  <c r="M73" i="3"/>
  <c r="N73" i="3"/>
  <c r="P73" i="3"/>
  <c r="Q73" i="3"/>
  <c r="S73" i="3"/>
  <c r="W73" i="3"/>
  <c r="Y73" i="3"/>
  <c r="C74" i="3"/>
  <c r="E74" i="3"/>
  <c r="F74" i="3"/>
  <c r="G74" i="3"/>
  <c r="K74" i="3"/>
  <c r="M74" i="3"/>
  <c r="N74" i="3"/>
  <c r="P74" i="3"/>
  <c r="Q74" i="3"/>
  <c r="S74" i="3"/>
  <c r="W74" i="3"/>
  <c r="Y74" i="3"/>
  <c r="C75" i="3"/>
  <c r="E75" i="3"/>
  <c r="F75" i="3"/>
  <c r="G75" i="3"/>
  <c r="K75" i="3"/>
  <c r="M75" i="3"/>
  <c r="N75" i="3"/>
  <c r="P75" i="3"/>
  <c r="Q75" i="3"/>
  <c r="S75" i="3"/>
  <c r="W75" i="3"/>
  <c r="Y75" i="3"/>
  <c r="C76" i="3"/>
  <c r="E76" i="3"/>
  <c r="F76" i="3"/>
  <c r="G76" i="3"/>
  <c r="K76" i="3"/>
  <c r="M76" i="3"/>
  <c r="N76" i="3"/>
  <c r="P76" i="3"/>
  <c r="Q76" i="3"/>
  <c r="S76" i="3"/>
  <c r="W76" i="3"/>
  <c r="Y76" i="3"/>
  <c r="C77" i="3"/>
  <c r="E77" i="3"/>
  <c r="F77" i="3"/>
  <c r="G77" i="3"/>
  <c r="K77" i="3"/>
  <c r="M77" i="3"/>
  <c r="N77" i="3"/>
  <c r="P77" i="3"/>
  <c r="Q77" i="3"/>
  <c r="S77" i="3"/>
  <c r="W77" i="3"/>
  <c r="Y77" i="3"/>
  <c r="C78" i="3"/>
  <c r="E78" i="3"/>
  <c r="F78" i="3"/>
  <c r="G78" i="3"/>
  <c r="K78" i="3"/>
  <c r="M78" i="3"/>
  <c r="N78" i="3"/>
  <c r="P78" i="3"/>
  <c r="Q78" i="3"/>
  <c r="S78" i="3"/>
  <c r="W78" i="3"/>
  <c r="Y78" i="3"/>
  <c r="C79" i="3"/>
  <c r="E79" i="3"/>
  <c r="F79" i="3"/>
  <c r="G79" i="3"/>
  <c r="K79" i="3"/>
  <c r="M79" i="3"/>
  <c r="N79" i="3"/>
  <c r="P79" i="3"/>
  <c r="Q79" i="3"/>
  <c r="S79" i="3"/>
  <c r="W79" i="3"/>
  <c r="Y79" i="3"/>
  <c r="C80" i="3"/>
  <c r="E80" i="3"/>
  <c r="F80" i="3"/>
  <c r="G80" i="3"/>
  <c r="K80" i="3"/>
  <c r="M80" i="3"/>
  <c r="N80" i="3"/>
  <c r="P80" i="3"/>
  <c r="Q80" i="3"/>
  <c r="S80" i="3"/>
  <c r="W80" i="3"/>
  <c r="Y80" i="3"/>
  <c r="C81" i="3"/>
  <c r="E81" i="3"/>
  <c r="F81" i="3"/>
  <c r="G81" i="3"/>
  <c r="K81" i="3"/>
  <c r="M81" i="3"/>
  <c r="N81" i="3"/>
  <c r="P81" i="3"/>
  <c r="Q81" i="3"/>
  <c r="S81" i="3"/>
  <c r="W81" i="3"/>
  <c r="Y81" i="3"/>
  <c r="C82" i="3"/>
  <c r="E82" i="3"/>
  <c r="F82" i="3"/>
  <c r="G82" i="3"/>
  <c r="K82" i="3"/>
  <c r="M82" i="3"/>
  <c r="N82" i="3"/>
  <c r="P82" i="3"/>
  <c r="Q82" i="3"/>
  <c r="S82" i="3"/>
  <c r="W82" i="3"/>
  <c r="Y82" i="3"/>
  <c r="C83" i="3"/>
  <c r="E83" i="3"/>
  <c r="F83" i="3"/>
  <c r="G83" i="3"/>
  <c r="K83" i="3"/>
  <c r="M83" i="3"/>
  <c r="N83" i="3"/>
  <c r="P83" i="3"/>
  <c r="Q83" i="3"/>
  <c r="S83" i="3"/>
  <c r="W83" i="3"/>
  <c r="Y83" i="3"/>
  <c r="C84" i="3"/>
  <c r="E84" i="3"/>
  <c r="F84" i="3"/>
  <c r="G84" i="3"/>
  <c r="K84" i="3"/>
  <c r="M84" i="3"/>
  <c r="N84" i="3"/>
  <c r="P84" i="3"/>
  <c r="Q84" i="3"/>
  <c r="S84" i="3"/>
  <c r="W84" i="3"/>
  <c r="Y84" i="3"/>
  <c r="C85" i="3"/>
  <c r="E85" i="3"/>
  <c r="F85" i="3"/>
  <c r="G85" i="3"/>
  <c r="K85" i="3"/>
  <c r="M85" i="3"/>
  <c r="N85" i="3"/>
  <c r="P85" i="3"/>
  <c r="Q85" i="3"/>
  <c r="S85" i="3"/>
  <c r="W85" i="3"/>
  <c r="Y85" i="3"/>
  <c r="C86" i="3"/>
  <c r="E86" i="3"/>
  <c r="F86" i="3"/>
  <c r="G86" i="3"/>
  <c r="K86" i="3"/>
  <c r="M86" i="3"/>
  <c r="N86" i="3"/>
  <c r="P86" i="3"/>
  <c r="Q86" i="3"/>
  <c r="S86" i="3"/>
  <c r="W86" i="3"/>
  <c r="Y86" i="3"/>
  <c r="C87" i="3"/>
  <c r="E87" i="3"/>
  <c r="F87" i="3"/>
  <c r="G87" i="3"/>
  <c r="K87" i="3"/>
  <c r="M87" i="3"/>
  <c r="N87" i="3"/>
  <c r="P87" i="3"/>
  <c r="Q87" i="3"/>
  <c r="S87" i="3"/>
  <c r="W87" i="3"/>
  <c r="Y87" i="3"/>
  <c r="C88" i="3"/>
  <c r="E88" i="3"/>
  <c r="F88" i="3"/>
  <c r="G88" i="3"/>
  <c r="K88" i="3"/>
  <c r="M88" i="3"/>
  <c r="N88" i="3"/>
  <c r="P88" i="3"/>
  <c r="Q88" i="3"/>
  <c r="S88" i="3"/>
  <c r="W88" i="3"/>
  <c r="Y88" i="3"/>
  <c r="C89" i="3"/>
  <c r="E89" i="3"/>
  <c r="F89" i="3"/>
  <c r="G89" i="3"/>
  <c r="K89" i="3"/>
  <c r="M89" i="3"/>
  <c r="N89" i="3"/>
  <c r="P89" i="3"/>
  <c r="Q89" i="3"/>
  <c r="S89" i="3"/>
  <c r="W89" i="3"/>
  <c r="Y89" i="3"/>
  <c r="C90" i="3"/>
  <c r="E90" i="3"/>
  <c r="F90" i="3"/>
  <c r="G90" i="3"/>
  <c r="K90" i="3"/>
  <c r="M90" i="3"/>
  <c r="N90" i="3"/>
  <c r="P90" i="3"/>
  <c r="Q90" i="3"/>
  <c r="S90" i="3"/>
  <c r="W90" i="3"/>
  <c r="Y90" i="3"/>
  <c r="C91" i="3"/>
  <c r="E91" i="3"/>
  <c r="F91" i="3"/>
  <c r="G91" i="3"/>
  <c r="K91" i="3"/>
  <c r="M91" i="3"/>
  <c r="N91" i="3"/>
  <c r="P91" i="3"/>
  <c r="Q91" i="3"/>
  <c r="S91" i="3"/>
  <c r="W91" i="3"/>
  <c r="Y91" i="3"/>
  <c r="C92" i="3"/>
  <c r="E92" i="3"/>
  <c r="F92" i="3"/>
  <c r="G92" i="3"/>
  <c r="K92" i="3"/>
  <c r="M92" i="3"/>
  <c r="N92" i="3"/>
  <c r="P92" i="3"/>
  <c r="Q92" i="3"/>
  <c r="S92" i="3"/>
  <c r="W92" i="3"/>
  <c r="Y92" i="3"/>
  <c r="C93" i="3"/>
  <c r="E93" i="3"/>
  <c r="F93" i="3"/>
  <c r="G93" i="3"/>
  <c r="K93" i="3"/>
  <c r="M93" i="3"/>
  <c r="N93" i="3"/>
  <c r="P93" i="3"/>
  <c r="Q93" i="3"/>
  <c r="S93" i="3"/>
  <c r="W93" i="3"/>
  <c r="Y93" i="3"/>
  <c r="C94" i="3"/>
  <c r="E94" i="3"/>
  <c r="F94" i="3"/>
  <c r="G94" i="3"/>
  <c r="K94" i="3"/>
  <c r="M94" i="3"/>
  <c r="N94" i="3"/>
  <c r="P94" i="3"/>
  <c r="Q94" i="3"/>
  <c r="S94" i="3"/>
  <c r="W94" i="3"/>
  <c r="Y94" i="3"/>
  <c r="C95" i="3"/>
  <c r="E95" i="3"/>
  <c r="F95" i="3"/>
  <c r="G95" i="3"/>
  <c r="K95" i="3"/>
  <c r="M95" i="3"/>
  <c r="N95" i="3"/>
  <c r="P95" i="3"/>
  <c r="Q95" i="3"/>
  <c r="S95" i="3"/>
  <c r="W95" i="3"/>
  <c r="Y95" i="3"/>
  <c r="C96" i="3"/>
  <c r="E96" i="3"/>
  <c r="F96" i="3"/>
  <c r="G96" i="3"/>
  <c r="K96" i="3"/>
  <c r="M96" i="3"/>
  <c r="N96" i="3"/>
  <c r="P96" i="3"/>
  <c r="Q96" i="3"/>
  <c r="S96" i="3"/>
  <c r="W96" i="3"/>
  <c r="Y96" i="3"/>
  <c r="C97" i="3"/>
  <c r="E97" i="3"/>
  <c r="F97" i="3"/>
  <c r="G97" i="3"/>
  <c r="K97" i="3"/>
  <c r="M97" i="3"/>
  <c r="N97" i="3"/>
  <c r="P97" i="3"/>
  <c r="Q97" i="3"/>
  <c r="S97" i="3"/>
  <c r="W97" i="3"/>
  <c r="Y97" i="3"/>
  <c r="C98" i="3"/>
  <c r="E98" i="3"/>
  <c r="F98" i="3"/>
  <c r="G98" i="3"/>
  <c r="K98" i="3"/>
  <c r="M98" i="3"/>
  <c r="N98" i="3"/>
  <c r="P98" i="3"/>
  <c r="Q98" i="3"/>
  <c r="S98" i="3"/>
  <c r="W98" i="3"/>
  <c r="Y98" i="3"/>
  <c r="C99" i="3"/>
  <c r="E99" i="3"/>
  <c r="F99" i="3"/>
  <c r="G99" i="3"/>
  <c r="K99" i="3"/>
  <c r="M99" i="3"/>
  <c r="N99" i="3"/>
  <c r="P99" i="3"/>
  <c r="Q99" i="3"/>
  <c r="S99" i="3"/>
  <c r="W99" i="3"/>
  <c r="Y99" i="3"/>
  <c r="C100" i="3"/>
  <c r="E100" i="3"/>
  <c r="F100" i="3"/>
  <c r="G100" i="3"/>
  <c r="K100" i="3"/>
  <c r="M100" i="3"/>
  <c r="N100" i="3"/>
  <c r="P100" i="3"/>
  <c r="Q100" i="3"/>
  <c r="S100" i="3"/>
  <c r="W100" i="3"/>
  <c r="Y100" i="3"/>
  <c r="C101" i="3"/>
  <c r="E101" i="3"/>
  <c r="F101" i="3"/>
  <c r="G101" i="3"/>
  <c r="K101" i="3"/>
  <c r="M101" i="3"/>
  <c r="N101" i="3"/>
  <c r="P101" i="3"/>
  <c r="Q101" i="3"/>
  <c r="S101" i="3"/>
  <c r="W101" i="3"/>
  <c r="Y101" i="3"/>
  <c r="C102" i="3"/>
  <c r="E102" i="3"/>
  <c r="F102" i="3"/>
  <c r="G102" i="3"/>
  <c r="K102" i="3"/>
  <c r="M102" i="3"/>
  <c r="N102" i="3"/>
  <c r="P102" i="3"/>
  <c r="Q102" i="3"/>
  <c r="S102" i="3"/>
  <c r="W102" i="3"/>
  <c r="Y102" i="3"/>
  <c r="C103" i="3"/>
  <c r="E103" i="3"/>
  <c r="F103" i="3"/>
  <c r="G103" i="3"/>
  <c r="J103" i="3"/>
  <c r="K103" i="3"/>
  <c r="M103" i="3"/>
  <c r="N103" i="3"/>
  <c r="P103" i="3"/>
  <c r="Q103" i="3"/>
  <c r="S103" i="3"/>
  <c r="W103" i="3"/>
  <c r="Y103" i="3"/>
  <c r="C104" i="3"/>
  <c r="E104" i="3"/>
  <c r="F104" i="3"/>
  <c r="G104" i="3"/>
  <c r="H104" i="3"/>
  <c r="K104" i="3"/>
  <c r="M104" i="3"/>
  <c r="N104" i="3"/>
  <c r="P104" i="3"/>
  <c r="Q104" i="3"/>
  <c r="S104" i="3"/>
  <c r="W104" i="3"/>
  <c r="Y104" i="3"/>
  <c r="C105" i="3"/>
  <c r="E105" i="3"/>
  <c r="F105" i="3"/>
  <c r="G105" i="3"/>
  <c r="K105" i="3"/>
  <c r="M105" i="3"/>
  <c r="N105" i="3"/>
  <c r="P105" i="3"/>
  <c r="Q105" i="3"/>
  <c r="S105" i="3"/>
  <c r="W105" i="3"/>
  <c r="Y105" i="3"/>
  <c r="C106" i="3"/>
  <c r="E106" i="3"/>
  <c r="F106" i="3"/>
  <c r="G106" i="3"/>
  <c r="K106" i="3"/>
  <c r="M106" i="3"/>
  <c r="N106" i="3"/>
  <c r="P106" i="3"/>
  <c r="Q106" i="3"/>
  <c r="S106" i="3"/>
  <c r="W106" i="3"/>
  <c r="Y106" i="3"/>
  <c r="C107" i="3"/>
  <c r="E107" i="3"/>
  <c r="F107" i="3"/>
  <c r="G107" i="3"/>
  <c r="K107" i="3"/>
  <c r="M107" i="3"/>
  <c r="N107" i="3"/>
  <c r="P107" i="3"/>
  <c r="Q107" i="3"/>
  <c r="S107" i="3"/>
  <c r="W107" i="3"/>
  <c r="Y107" i="3"/>
  <c r="C108" i="3"/>
  <c r="E108" i="3"/>
  <c r="F108" i="3"/>
  <c r="G108" i="3"/>
  <c r="K108" i="3"/>
  <c r="M108" i="3"/>
  <c r="N108" i="3"/>
  <c r="P108" i="3"/>
  <c r="Q108" i="3"/>
  <c r="S108" i="3"/>
  <c r="W108" i="3"/>
  <c r="Y108" i="3"/>
  <c r="C109" i="3"/>
  <c r="E109" i="3"/>
  <c r="F109" i="3"/>
  <c r="G109" i="3"/>
  <c r="K109" i="3"/>
  <c r="M109" i="3"/>
  <c r="N109" i="3"/>
  <c r="P109" i="3"/>
  <c r="Q109" i="3"/>
  <c r="S109" i="3"/>
  <c r="W109" i="3"/>
  <c r="Y109" i="3"/>
  <c r="C110" i="3"/>
  <c r="E110" i="3"/>
  <c r="F110" i="3"/>
  <c r="G110" i="3"/>
  <c r="K110" i="3"/>
  <c r="M110" i="3"/>
  <c r="N110" i="3"/>
  <c r="P110" i="3"/>
  <c r="Q110" i="3"/>
  <c r="S110" i="3"/>
  <c r="W110" i="3"/>
  <c r="Y110" i="3"/>
  <c r="C111" i="3"/>
  <c r="E111" i="3"/>
  <c r="F111" i="3"/>
  <c r="G111" i="3"/>
  <c r="K111" i="3"/>
  <c r="M111" i="3"/>
  <c r="N111" i="3"/>
  <c r="P111" i="3"/>
  <c r="Q111" i="3"/>
  <c r="S111" i="3"/>
  <c r="W111" i="3"/>
  <c r="Y111" i="3"/>
  <c r="C112" i="3"/>
  <c r="E112" i="3"/>
  <c r="F112" i="3"/>
  <c r="G112" i="3"/>
  <c r="K112" i="3"/>
  <c r="M112" i="3"/>
  <c r="N112" i="3"/>
  <c r="P112" i="3"/>
  <c r="Q112" i="3"/>
  <c r="S112" i="3"/>
  <c r="W112" i="3"/>
  <c r="Y112" i="3"/>
  <c r="C113" i="3"/>
  <c r="E113" i="3"/>
  <c r="F113" i="3"/>
  <c r="G113" i="3"/>
  <c r="K113" i="3"/>
  <c r="M113" i="3"/>
  <c r="N113" i="3"/>
  <c r="P113" i="3"/>
  <c r="Q113" i="3"/>
  <c r="S113" i="3"/>
  <c r="W113" i="3"/>
  <c r="Y113" i="3"/>
  <c r="C114" i="3"/>
  <c r="E114" i="3"/>
  <c r="F114" i="3"/>
  <c r="G114" i="3"/>
  <c r="K114" i="3"/>
  <c r="M114" i="3"/>
  <c r="N114" i="3"/>
  <c r="P114" i="3"/>
  <c r="Q114" i="3"/>
  <c r="S114" i="3"/>
  <c r="W114" i="3"/>
  <c r="Y114" i="3"/>
  <c r="C115" i="3"/>
  <c r="E115" i="3"/>
  <c r="F115" i="3"/>
  <c r="G115" i="3"/>
  <c r="K115" i="3"/>
  <c r="M115" i="3"/>
  <c r="N115" i="3"/>
  <c r="P115" i="3"/>
  <c r="Q115" i="3"/>
  <c r="S115" i="3"/>
  <c r="W115" i="3"/>
  <c r="Y115" i="3"/>
  <c r="C116" i="3"/>
  <c r="E116" i="3"/>
  <c r="F116" i="3"/>
  <c r="G116" i="3"/>
  <c r="K116" i="3"/>
  <c r="M116" i="3"/>
  <c r="N116" i="3"/>
  <c r="P116" i="3"/>
  <c r="Q116" i="3"/>
  <c r="S116" i="3"/>
  <c r="W116" i="3"/>
  <c r="Y116" i="3"/>
  <c r="C117" i="3"/>
  <c r="E117" i="3"/>
  <c r="F117" i="3"/>
  <c r="G117" i="3"/>
  <c r="K117" i="3"/>
  <c r="M117" i="3"/>
  <c r="N117" i="3"/>
  <c r="P117" i="3"/>
  <c r="Q117" i="3"/>
  <c r="S117" i="3"/>
  <c r="W117" i="3"/>
  <c r="Y117" i="3"/>
  <c r="C118" i="3"/>
  <c r="E118" i="3"/>
  <c r="F118" i="3"/>
  <c r="G118" i="3"/>
  <c r="K118" i="3"/>
  <c r="M118" i="3"/>
  <c r="N118" i="3"/>
  <c r="P118" i="3"/>
  <c r="Q118" i="3"/>
  <c r="S118" i="3"/>
  <c r="W118" i="3"/>
  <c r="Y118" i="3"/>
  <c r="C119" i="3"/>
  <c r="E119" i="3"/>
  <c r="F119" i="3"/>
  <c r="G119" i="3"/>
  <c r="K119" i="3"/>
  <c r="M119" i="3"/>
  <c r="N119" i="3"/>
  <c r="P119" i="3"/>
  <c r="Q119" i="3"/>
  <c r="S119" i="3"/>
  <c r="W119" i="3"/>
  <c r="Y119" i="3"/>
  <c r="C120" i="3"/>
  <c r="E120" i="3"/>
  <c r="F120" i="3"/>
  <c r="G120" i="3"/>
  <c r="K120" i="3"/>
  <c r="M120" i="3"/>
  <c r="N120" i="3"/>
  <c r="P120" i="3"/>
  <c r="Q120" i="3"/>
  <c r="S120" i="3"/>
  <c r="W120" i="3"/>
  <c r="Y120" i="3"/>
  <c r="C121" i="3"/>
  <c r="E121" i="3"/>
  <c r="F121" i="3"/>
  <c r="G121" i="3"/>
  <c r="K121" i="3"/>
  <c r="M121" i="3"/>
  <c r="N121" i="3"/>
  <c r="P121" i="3"/>
  <c r="Q121" i="3"/>
  <c r="S121" i="3"/>
  <c r="W121" i="3"/>
  <c r="Y121" i="3"/>
  <c r="C122" i="3"/>
  <c r="E122" i="3"/>
  <c r="F122" i="3"/>
  <c r="G122" i="3"/>
  <c r="K122" i="3"/>
  <c r="M122" i="3"/>
  <c r="N122" i="3"/>
  <c r="P122" i="3"/>
  <c r="Q122" i="3"/>
  <c r="S122" i="3"/>
  <c r="W122" i="3"/>
  <c r="Y122" i="3"/>
  <c r="C123" i="3"/>
  <c r="E123" i="3"/>
  <c r="F123" i="3"/>
  <c r="G123" i="3"/>
  <c r="K123" i="3"/>
  <c r="M123" i="3"/>
  <c r="N123" i="3"/>
  <c r="P123" i="3"/>
  <c r="Q123" i="3"/>
  <c r="S123" i="3"/>
  <c r="W123" i="3"/>
  <c r="Y123" i="3"/>
  <c r="C124" i="3"/>
  <c r="E124" i="3"/>
  <c r="F124" i="3"/>
  <c r="G124" i="3"/>
  <c r="K124" i="3"/>
  <c r="M124" i="3"/>
  <c r="N124" i="3"/>
  <c r="P124" i="3"/>
  <c r="Q124" i="3"/>
  <c r="S124" i="3"/>
  <c r="W124" i="3"/>
  <c r="Y124" i="3"/>
  <c r="C125" i="3"/>
  <c r="E125" i="3"/>
  <c r="F125" i="3"/>
  <c r="G125" i="3"/>
  <c r="K125" i="3"/>
  <c r="M125" i="3"/>
  <c r="N125" i="3"/>
  <c r="P125" i="3"/>
  <c r="Q125" i="3"/>
  <c r="S125" i="3"/>
  <c r="W125" i="3"/>
  <c r="Y125" i="3"/>
  <c r="C126" i="3"/>
  <c r="E126" i="3"/>
  <c r="F126" i="3"/>
  <c r="G126" i="3"/>
  <c r="K126" i="3"/>
  <c r="M126" i="3"/>
  <c r="N126" i="3"/>
  <c r="P126" i="3"/>
  <c r="Q126" i="3"/>
  <c r="S126" i="3"/>
  <c r="W126" i="3"/>
  <c r="Y126" i="3"/>
  <c r="C127" i="3"/>
  <c r="E127" i="3"/>
  <c r="F127" i="3"/>
  <c r="G127" i="3"/>
  <c r="K127" i="3"/>
  <c r="M127" i="3"/>
  <c r="N127" i="3"/>
  <c r="P127" i="3"/>
  <c r="Q127" i="3"/>
  <c r="S127" i="3"/>
  <c r="W127" i="3"/>
  <c r="Y127" i="3"/>
  <c r="C128" i="3"/>
  <c r="E128" i="3"/>
  <c r="F128" i="3"/>
  <c r="G128" i="3"/>
  <c r="K128" i="3"/>
  <c r="M128" i="3"/>
  <c r="N128" i="3"/>
  <c r="P128" i="3"/>
  <c r="Q128" i="3"/>
  <c r="S128" i="3"/>
  <c r="W128" i="3"/>
  <c r="Y128" i="3"/>
  <c r="C129" i="3"/>
  <c r="E129" i="3"/>
  <c r="F129" i="3"/>
  <c r="G129" i="3"/>
  <c r="K129" i="3"/>
  <c r="M129" i="3"/>
  <c r="N129" i="3"/>
  <c r="P129" i="3"/>
  <c r="Q129" i="3"/>
  <c r="S129" i="3"/>
  <c r="W129" i="3"/>
  <c r="Y129" i="3"/>
  <c r="C130" i="3"/>
  <c r="E130" i="3"/>
  <c r="F130" i="3"/>
  <c r="G130" i="3"/>
  <c r="K130" i="3"/>
  <c r="M130" i="3"/>
  <c r="N130" i="3"/>
  <c r="P130" i="3"/>
  <c r="Q130" i="3"/>
  <c r="S130" i="3"/>
  <c r="W130" i="3"/>
  <c r="Y130" i="3"/>
  <c r="C131" i="3"/>
  <c r="E131" i="3"/>
  <c r="F131" i="3"/>
  <c r="G131" i="3"/>
  <c r="K131" i="3"/>
  <c r="M131" i="3"/>
  <c r="N131" i="3"/>
  <c r="P131" i="3"/>
  <c r="Q131" i="3"/>
  <c r="S131" i="3"/>
  <c r="W131" i="3"/>
  <c r="Y131" i="3"/>
  <c r="C132" i="3"/>
  <c r="E132" i="3"/>
  <c r="F132" i="3"/>
  <c r="G132" i="3"/>
  <c r="K132" i="3"/>
  <c r="M132" i="3"/>
  <c r="N132" i="3"/>
  <c r="P132" i="3"/>
  <c r="Q132" i="3"/>
  <c r="S132" i="3"/>
  <c r="W132" i="3"/>
  <c r="Y132" i="3"/>
  <c r="C133" i="3"/>
  <c r="E133" i="3"/>
  <c r="F133" i="3"/>
  <c r="G133" i="3"/>
  <c r="K133" i="3"/>
  <c r="M133" i="3"/>
  <c r="N133" i="3"/>
  <c r="P133" i="3"/>
  <c r="Q133" i="3"/>
  <c r="S133" i="3"/>
  <c r="W133" i="3"/>
  <c r="Y133" i="3"/>
  <c r="C134" i="3"/>
  <c r="E134" i="3"/>
  <c r="F134" i="3"/>
  <c r="G134" i="3"/>
  <c r="K134" i="3"/>
  <c r="M134" i="3"/>
  <c r="N134" i="3"/>
  <c r="P134" i="3"/>
  <c r="Q134" i="3"/>
  <c r="S134" i="3"/>
  <c r="W134" i="3"/>
  <c r="Y134" i="3"/>
  <c r="C135" i="3"/>
  <c r="E135" i="3"/>
  <c r="F135" i="3"/>
  <c r="G135" i="3"/>
  <c r="K135" i="3"/>
  <c r="M135" i="3"/>
  <c r="N135" i="3"/>
  <c r="P135" i="3"/>
  <c r="Q135" i="3"/>
  <c r="S135" i="3"/>
  <c r="W135" i="3"/>
  <c r="Y135" i="3"/>
  <c r="C136" i="3"/>
  <c r="E136" i="3"/>
  <c r="F136" i="3"/>
  <c r="G136" i="3"/>
  <c r="K136" i="3"/>
  <c r="M136" i="3"/>
  <c r="N136" i="3"/>
  <c r="P136" i="3"/>
  <c r="Q136" i="3"/>
  <c r="S136" i="3"/>
  <c r="W136" i="3"/>
  <c r="Y136" i="3"/>
  <c r="C137" i="3"/>
  <c r="E137" i="3"/>
  <c r="F137" i="3"/>
  <c r="G137" i="3"/>
  <c r="K137" i="3"/>
  <c r="M137" i="3"/>
  <c r="N137" i="3"/>
  <c r="P137" i="3"/>
  <c r="Q137" i="3"/>
  <c r="S137" i="3"/>
  <c r="W137" i="3"/>
  <c r="Y137" i="3"/>
  <c r="C138" i="3"/>
  <c r="E138" i="3"/>
  <c r="F138" i="3"/>
  <c r="G138" i="3"/>
  <c r="H138" i="3"/>
  <c r="K138" i="3"/>
  <c r="M138" i="3"/>
  <c r="N138" i="3"/>
  <c r="P138" i="3"/>
  <c r="Q138" i="3"/>
  <c r="S138" i="3"/>
  <c r="W138" i="3"/>
  <c r="Y138" i="3"/>
  <c r="C139" i="3"/>
  <c r="E139" i="3"/>
  <c r="F139" i="3"/>
  <c r="G139" i="3"/>
  <c r="H139" i="3"/>
  <c r="K139" i="3"/>
  <c r="M139" i="3"/>
  <c r="N139" i="3"/>
  <c r="P139" i="3"/>
  <c r="Q139" i="3"/>
  <c r="S139" i="3"/>
  <c r="W139" i="3"/>
  <c r="Y139" i="3"/>
  <c r="C140" i="3"/>
  <c r="E140" i="3"/>
  <c r="F140" i="3"/>
  <c r="G140" i="3"/>
  <c r="H140" i="3"/>
  <c r="K140" i="3"/>
  <c r="M140" i="3"/>
  <c r="N140" i="3"/>
  <c r="P140" i="3"/>
  <c r="Q140" i="3"/>
  <c r="S140" i="3"/>
  <c r="W140" i="3"/>
  <c r="Y140" i="3"/>
  <c r="C141" i="3"/>
  <c r="E141" i="3"/>
  <c r="F141" i="3"/>
  <c r="G141" i="3"/>
  <c r="H141" i="3"/>
  <c r="K141" i="3"/>
  <c r="M141" i="3"/>
  <c r="N141" i="3"/>
  <c r="P141" i="3"/>
  <c r="Q141" i="3"/>
  <c r="S141" i="3"/>
  <c r="W141" i="3"/>
  <c r="Y141" i="3"/>
  <c r="C142" i="3"/>
  <c r="E142" i="3"/>
  <c r="F142" i="3"/>
  <c r="G142" i="3"/>
  <c r="K142" i="3"/>
  <c r="M142" i="3"/>
  <c r="N142" i="3"/>
  <c r="P142" i="3"/>
  <c r="Q142" i="3"/>
  <c r="S142" i="3"/>
  <c r="W142" i="3"/>
  <c r="Y142" i="3"/>
  <c r="C143" i="3"/>
  <c r="E143" i="3"/>
  <c r="F143" i="3"/>
  <c r="G143" i="3"/>
  <c r="K143" i="3"/>
  <c r="M143" i="3"/>
  <c r="N143" i="3"/>
  <c r="P143" i="3"/>
  <c r="Q143" i="3"/>
  <c r="S143" i="3"/>
  <c r="W143" i="3"/>
  <c r="Y143" i="3"/>
  <c r="C144" i="3"/>
  <c r="E144" i="3"/>
  <c r="F144" i="3"/>
  <c r="G144" i="3"/>
  <c r="K144" i="3"/>
  <c r="M144" i="3"/>
  <c r="N144" i="3"/>
  <c r="P144" i="3"/>
  <c r="Q144" i="3"/>
  <c r="S144" i="3"/>
  <c r="W144" i="3"/>
  <c r="Y144" i="3"/>
  <c r="C145" i="3"/>
  <c r="E145" i="3"/>
  <c r="F145" i="3"/>
  <c r="G145" i="3"/>
  <c r="K145" i="3"/>
  <c r="M145" i="3"/>
  <c r="N145" i="3"/>
  <c r="P145" i="3"/>
  <c r="Q145" i="3"/>
  <c r="S145" i="3"/>
  <c r="W145" i="3"/>
  <c r="Y145" i="3"/>
  <c r="C146" i="3"/>
  <c r="E146" i="3"/>
  <c r="F146" i="3"/>
  <c r="G146" i="3"/>
  <c r="H146" i="3"/>
  <c r="K146" i="3"/>
  <c r="M146" i="3"/>
  <c r="N146" i="3"/>
  <c r="P146" i="3"/>
  <c r="Q146" i="3"/>
  <c r="S146" i="3"/>
  <c r="W146" i="3"/>
  <c r="Y146" i="3"/>
  <c r="C147" i="3"/>
  <c r="E147" i="3"/>
  <c r="F147" i="3"/>
  <c r="G147" i="3"/>
  <c r="K147" i="3"/>
  <c r="M147" i="3"/>
  <c r="N147" i="3"/>
  <c r="P147" i="3"/>
  <c r="Q147" i="3"/>
  <c r="S147" i="3"/>
  <c r="W147" i="3"/>
  <c r="Y147" i="3"/>
  <c r="C148" i="3"/>
  <c r="E148" i="3"/>
  <c r="F148" i="3"/>
  <c r="G148" i="3"/>
  <c r="K148" i="3"/>
  <c r="M148" i="3"/>
  <c r="N148" i="3"/>
  <c r="P148" i="3"/>
  <c r="Q148" i="3"/>
  <c r="S148" i="3"/>
  <c r="W148" i="3"/>
  <c r="Y148" i="3"/>
  <c r="C149" i="3"/>
  <c r="E149" i="3"/>
  <c r="F149" i="3"/>
  <c r="G149" i="3"/>
  <c r="K149" i="3"/>
  <c r="M149" i="3"/>
  <c r="N149" i="3"/>
  <c r="P149" i="3"/>
  <c r="Q149" i="3"/>
  <c r="S149" i="3"/>
  <c r="W149" i="3"/>
  <c r="Y149" i="3"/>
  <c r="C150" i="3"/>
  <c r="E150" i="3"/>
  <c r="F150" i="3"/>
  <c r="G150" i="3"/>
  <c r="K150" i="3"/>
  <c r="M150" i="3"/>
  <c r="N150" i="3"/>
  <c r="P150" i="3"/>
  <c r="Q150" i="3"/>
  <c r="S150" i="3"/>
  <c r="W150" i="3"/>
  <c r="Y150" i="3"/>
  <c r="C151" i="3"/>
  <c r="E151" i="3"/>
  <c r="F151" i="3"/>
  <c r="G151" i="3"/>
  <c r="K151" i="3"/>
  <c r="M151" i="3"/>
  <c r="N151" i="3"/>
  <c r="P151" i="3"/>
  <c r="Q151" i="3"/>
  <c r="S151" i="3"/>
  <c r="W151" i="3"/>
  <c r="Y151" i="3"/>
  <c r="C152" i="3"/>
  <c r="E152" i="3"/>
  <c r="F152" i="3"/>
  <c r="G152" i="3"/>
  <c r="K152" i="3"/>
  <c r="M152" i="3"/>
  <c r="N152" i="3"/>
  <c r="P152" i="3"/>
  <c r="Q152" i="3"/>
  <c r="S152" i="3"/>
  <c r="W152" i="3"/>
  <c r="Y152" i="3"/>
  <c r="C153" i="3"/>
  <c r="E153" i="3"/>
  <c r="F153" i="3"/>
  <c r="G153" i="3"/>
  <c r="K153" i="3"/>
  <c r="M153" i="3"/>
  <c r="N153" i="3"/>
  <c r="P153" i="3"/>
  <c r="Q153" i="3"/>
  <c r="S153" i="3"/>
  <c r="W153" i="3"/>
  <c r="Y153" i="3"/>
  <c r="C154" i="3"/>
  <c r="E154" i="3"/>
  <c r="F154" i="3"/>
  <c r="G154" i="3"/>
  <c r="K154" i="3"/>
  <c r="M154" i="3"/>
  <c r="N154" i="3"/>
  <c r="P154" i="3"/>
  <c r="Q154" i="3"/>
  <c r="S154" i="3"/>
  <c r="W154" i="3"/>
  <c r="Y154" i="3"/>
  <c r="C155" i="3"/>
  <c r="E155" i="3"/>
  <c r="F155" i="3"/>
  <c r="G155" i="3"/>
  <c r="K155" i="3"/>
  <c r="M155" i="3"/>
  <c r="N155" i="3"/>
  <c r="P155" i="3"/>
  <c r="Q155" i="3"/>
  <c r="S155" i="3"/>
  <c r="W155" i="3"/>
  <c r="Y155" i="3"/>
  <c r="C156" i="3"/>
  <c r="E156" i="3"/>
  <c r="F156" i="3"/>
  <c r="G156" i="3"/>
  <c r="K156" i="3"/>
  <c r="M156" i="3"/>
  <c r="N156" i="3"/>
  <c r="P156" i="3"/>
  <c r="Q156" i="3"/>
  <c r="S156" i="3"/>
  <c r="W156" i="3"/>
  <c r="Y156" i="3"/>
  <c r="C157" i="3"/>
  <c r="E157" i="3"/>
  <c r="F157" i="3"/>
  <c r="G157" i="3"/>
  <c r="K157" i="3"/>
  <c r="M157" i="3"/>
  <c r="N157" i="3"/>
  <c r="P157" i="3"/>
  <c r="Q157" i="3"/>
  <c r="S157" i="3"/>
  <c r="W157" i="3"/>
  <c r="Y157" i="3"/>
  <c r="C158" i="3"/>
  <c r="E158" i="3"/>
  <c r="F158" i="3"/>
  <c r="G158" i="3"/>
  <c r="K158" i="3"/>
  <c r="M158" i="3"/>
  <c r="N158" i="3"/>
  <c r="P158" i="3"/>
  <c r="Q158" i="3"/>
  <c r="S158" i="3"/>
  <c r="W158" i="3"/>
  <c r="Y158" i="3"/>
  <c r="C159" i="3"/>
  <c r="E159" i="3"/>
  <c r="F159" i="3"/>
  <c r="G159" i="3"/>
  <c r="K159" i="3"/>
  <c r="M159" i="3"/>
  <c r="N159" i="3"/>
  <c r="P159" i="3"/>
  <c r="Q159" i="3"/>
  <c r="S159" i="3"/>
  <c r="W159" i="3"/>
  <c r="Y159" i="3"/>
  <c r="C160" i="3"/>
  <c r="E160" i="3"/>
  <c r="F160" i="3"/>
  <c r="G160" i="3"/>
  <c r="K160" i="3"/>
  <c r="M160" i="3"/>
  <c r="N160" i="3"/>
  <c r="P160" i="3"/>
  <c r="Q160" i="3"/>
  <c r="S160" i="3"/>
  <c r="W160" i="3"/>
  <c r="Y160" i="3"/>
  <c r="C161" i="3"/>
  <c r="E161" i="3"/>
  <c r="F161" i="3"/>
  <c r="G161" i="3"/>
  <c r="K161" i="3"/>
  <c r="M161" i="3"/>
  <c r="N161" i="3"/>
  <c r="P161" i="3"/>
  <c r="Q161" i="3"/>
  <c r="S161" i="3"/>
  <c r="W161" i="3"/>
  <c r="Y161" i="3"/>
  <c r="C162" i="3"/>
  <c r="E162" i="3"/>
  <c r="F162" i="3"/>
  <c r="G162" i="3"/>
  <c r="K162" i="3"/>
  <c r="M162" i="3"/>
  <c r="N162" i="3"/>
  <c r="P162" i="3"/>
  <c r="Q162" i="3"/>
  <c r="S162" i="3"/>
  <c r="W162" i="3"/>
  <c r="Y162" i="3"/>
  <c r="C163" i="3"/>
  <c r="E163" i="3"/>
  <c r="F163" i="3"/>
  <c r="G163" i="3"/>
  <c r="K163" i="3"/>
  <c r="M163" i="3"/>
  <c r="N163" i="3"/>
  <c r="P163" i="3"/>
  <c r="Q163" i="3"/>
  <c r="S163" i="3"/>
  <c r="W163" i="3"/>
  <c r="Y163" i="3"/>
  <c r="C164" i="3"/>
  <c r="E164" i="3"/>
  <c r="F164" i="3"/>
  <c r="G164" i="3"/>
  <c r="K164" i="3"/>
  <c r="M164" i="3"/>
  <c r="N164" i="3"/>
  <c r="P164" i="3"/>
  <c r="Q164" i="3"/>
  <c r="S164" i="3"/>
  <c r="W164" i="3"/>
  <c r="Y164" i="3"/>
  <c r="C165" i="3"/>
  <c r="E165" i="3"/>
  <c r="F165" i="3"/>
  <c r="G165" i="3"/>
  <c r="K165" i="3"/>
  <c r="M165" i="3"/>
  <c r="N165" i="3"/>
  <c r="P165" i="3"/>
  <c r="Q165" i="3"/>
  <c r="S165" i="3"/>
  <c r="W165" i="3"/>
  <c r="Y165" i="3"/>
  <c r="C166" i="3"/>
  <c r="E166" i="3"/>
  <c r="F166" i="3"/>
  <c r="G166" i="3"/>
  <c r="H166" i="3"/>
  <c r="K166" i="3"/>
  <c r="M166" i="3"/>
  <c r="N166" i="3"/>
  <c r="P166" i="3"/>
  <c r="Q166" i="3"/>
  <c r="S166" i="3"/>
  <c r="W166" i="3"/>
  <c r="Y166" i="3"/>
  <c r="C167" i="3"/>
  <c r="E167" i="3"/>
  <c r="F167" i="3"/>
  <c r="G167" i="3"/>
  <c r="K167" i="3"/>
  <c r="M167" i="3"/>
  <c r="N167" i="3"/>
  <c r="P167" i="3"/>
  <c r="Q167" i="3"/>
  <c r="S167" i="3"/>
  <c r="W167" i="3"/>
  <c r="Y167" i="3"/>
  <c r="C168" i="3"/>
  <c r="E168" i="3"/>
  <c r="F168" i="3"/>
  <c r="G168" i="3"/>
  <c r="K168" i="3"/>
  <c r="M168" i="3"/>
  <c r="N168" i="3"/>
  <c r="P168" i="3"/>
  <c r="Q168" i="3"/>
  <c r="S168" i="3"/>
  <c r="W168" i="3"/>
  <c r="Y168" i="3"/>
  <c r="C169" i="3"/>
  <c r="E169" i="3"/>
  <c r="F169" i="3"/>
  <c r="G169" i="3"/>
  <c r="K169" i="3"/>
  <c r="M169" i="3"/>
  <c r="N169" i="3"/>
  <c r="P169" i="3"/>
  <c r="Q169" i="3"/>
  <c r="S169" i="3"/>
  <c r="W169" i="3"/>
  <c r="Y169" i="3"/>
  <c r="C170" i="3"/>
  <c r="E170" i="3"/>
  <c r="F170" i="3"/>
  <c r="G170" i="3"/>
  <c r="K170" i="3"/>
  <c r="M170" i="3"/>
  <c r="N170" i="3"/>
  <c r="P170" i="3"/>
  <c r="Q170" i="3"/>
  <c r="S170" i="3"/>
  <c r="W170" i="3"/>
  <c r="Y170" i="3"/>
  <c r="C181" i="22"/>
  <c r="R16" i="4"/>
  <c r="AD13" i="1"/>
  <c r="AD12" i="1"/>
  <c r="AD11" i="1"/>
  <c r="AD8" i="1"/>
  <c r="AD26" i="15"/>
  <c r="AD25" i="15"/>
  <c r="AD24" i="15"/>
  <c r="AD23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BC32" i="15"/>
  <c r="BA32" i="15"/>
  <c r="BA16" i="1"/>
  <c r="A6" i="5"/>
  <c r="B6" i="5"/>
  <c r="C6" i="5"/>
  <c r="D6" i="5"/>
  <c r="E6" i="5"/>
  <c r="A7" i="5"/>
  <c r="B7" i="5"/>
  <c r="C7" i="5"/>
  <c r="D7" i="5"/>
  <c r="E7" i="5"/>
  <c r="A8" i="5"/>
  <c r="B8" i="5"/>
  <c r="C8" i="5"/>
  <c r="D8" i="5"/>
  <c r="E8" i="5"/>
  <c r="A9" i="5"/>
  <c r="B9" i="5"/>
  <c r="C9" i="5"/>
  <c r="E9" i="5"/>
  <c r="D9" i="5" s="1"/>
  <c r="A10" i="5"/>
  <c r="B10" i="5"/>
  <c r="C10" i="5"/>
  <c r="D10" i="5"/>
  <c r="E10" i="5"/>
  <c r="A11" i="5"/>
  <c r="B11" i="5"/>
  <c r="C11" i="5"/>
  <c r="D11" i="5"/>
  <c r="E11" i="5"/>
  <c r="A12" i="5"/>
  <c r="B12" i="5"/>
  <c r="C12" i="5"/>
  <c r="D12" i="5"/>
  <c r="E12" i="5"/>
  <c r="A13" i="5"/>
  <c r="B13" i="5"/>
  <c r="C13" i="5"/>
  <c r="D13" i="5"/>
  <c r="E13" i="5"/>
  <c r="A14" i="5"/>
  <c r="B14" i="5"/>
  <c r="C14" i="5"/>
  <c r="D14" i="5"/>
  <c r="E14" i="5"/>
  <c r="A15" i="5"/>
  <c r="B15" i="5"/>
  <c r="C15" i="5"/>
  <c r="D15" i="5"/>
  <c r="E15" i="5"/>
  <c r="A16" i="5"/>
  <c r="B16" i="5"/>
  <c r="C16" i="5"/>
  <c r="D16" i="5"/>
  <c r="E16" i="5"/>
  <c r="A17" i="5"/>
  <c r="B17" i="5"/>
  <c r="C17" i="5"/>
  <c r="D17" i="5"/>
  <c r="E17" i="5"/>
  <c r="A18" i="5"/>
  <c r="B18" i="5"/>
  <c r="C18" i="5"/>
  <c r="D18" i="5"/>
  <c r="E18" i="5"/>
  <c r="A19" i="5"/>
  <c r="B19" i="5"/>
  <c r="C19" i="5"/>
  <c r="D19" i="5"/>
  <c r="E19" i="5"/>
  <c r="A20" i="5"/>
  <c r="B20" i="5"/>
  <c r="C20" i="5"/>
  <c r="E20" i="5"/>
  <c r="D20" i="5" s="1"/>
  <c r="A21" i="5"/>
  <c r="B21" i="5"/>
  <c r="C21" i="5"/>
  <c r="D21" i="5"/>
  <c r="E21" i="5"/>
  <c r="A22" i="5"/>
  <c r="B22" i="5"/>
  <c r="C22" i="5"/>
  <c r="D22" i="5"/>
  <c r="E22" i="5"/>
  <c r="A23" i="5"/>
  <c r="B23" i="5"/>
  <c r="C23" i="5"/>
  <c r="D23" i="5"/>
  <c r="E23" i="5"/>
  <c r="A24" i="5"/>
  <c r="B24" i="5"/>
  <c r="C24" i="5"/>
  <c r="E24" i="5"/>
  <c r="D24" i="5" s="1"/>
  <c r="A25" i="5"/>
  <c r="B25" i="5"/>
  <c r="C25" i="5"/>
  <c r="E25" i="5"/>
  <c r="D25" i="5" s="1"/>
  <c r="A26" i="5"/>
  <c r="B26" i="5"/>
  <c r="A27" i="5"/>
  <c r="B27" i="5"/>
  <c r="C27" i="5"/>
  <c r="D27" i="5"/>
  <c r="E27" i="5"/>
  <c r="A28" i="5"/>
  <c r="B28" i="5"/>
  <c r="C28" i="5"/>
  <c r="D28" i="5"/>
  <c r="E28" i="5"/>
  <c r="A29" i="5"/>
  <c r="B29" i="5"/>
  <c r="C29" i="5"/>
  <c r="D29" i="5"/>
  <c r="E29" i="5"/>
  <c r="A30" i="5"/>
  <c r="B30" i="5"/>
  <c r="C30" i="5"/>
  <c r="D30" i="5"/>
  <c r="E30" i="5"/>
  <c r="A31" i="5"/>
  <c r="B31" i="5"/>
  <c r="C31" i="5"/>
  <c r="D31" i="5"/>
  <c r="E31" i="5"/>
  <c r="A32" i="5"/>
  <c r="B32" i="5"/>
  <c r="C32" i="5"/>
  <c r="D32" i="5"/>
  <c r="E32" i="5"/>
  <c r="A33" i="5"/>
  <c r="B33" i="5"/>
  <c r="C33" i="5"/>
  <c r="D33" i="5"/>
  <c r="E33" i="5"/>
  <c r="A34" i="5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E38" i="5"/>
  <c r="D38" i="5" s="1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E47" i="5"/>
  <c r="D47" i="5" s="1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A51" i="5"/>
  <c r="B51" i="5"/>
  <c r="C51" i="5"/>
  <c r="D51" i="5"/>
  <c r="E5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E56" i="5"/>
  <c r="D56" i="5" s="1"/>
  <c r="A57" i="5"/>
  <c r="B57" i="5"/>
  <c r="C57" i="5"/>
  <c r="E57" i="5"/>
  <c r="D57" i="5" s="1"/>
  <c r="A58" i="5"/>
  <c r="B58" i="5"/>
  <c r="C58" i="5"/>
  <c r="E58" i="5"/>
  <c r="D58" i="5" s="1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E66" i="5"/>
  <c r="D66" i="5" s="1"/>
  <c r="A67" i="5"/>
  <c r="E67" i="5" s="1"/>
  <c r="B67" i="5"/>
  <c r="C67" i="5"/>
  <c r="D67" i="5" s="1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E70" i="5"/>
  <c r="D70" i="5" s="1"/>
  <c r="A71" i="5"/>
  <c r="B71" i="5"/>
  <c r="C71" i="5"/>
  <c r="D71" i="5"/>
  <c r="E71" i="5"/>
  <c r="A72" i="5"/>
  <c r="B72" i="5"/>
  <c r="C72" i="5"/>
  <c r="E72" i="5"/>
  <c r="D72" i="5" s="1"/>
  <c r="A73" i="5"/>
  <c r="B73" i="5"/>
  <c r="C73" i="5"/>
  <c r="E73" i="5"/>
  <c r="D73" i="5" s="1"/>
  <c r="A74" i="5"/>
  <c r="B74" i="5"/>
  <c r="C74" i="5"/>
  <c r="D74" i="5"/>
  <c r="E74" i="5"/>
  <c r="A75" i="5"/>
  <c r="B75" i="5"/>
  <c r="C75" i="5"/>
  <c r="E75" i="5"/>
  <c r="D75" i="5" s="1"/>
  <c r="A76" i="5"/>
  <c r="B76" i="5"/>
  <c r="C76" i="5"/>
  <c r="D76" i="5"/>
  <c r="E76" i="5"/>
  <c r="A77" i="5"/>
  <c r="B77" i="5"/>
  <c r="C77" i="5"/>
  <c r="E77" i="5"/>
  <c r="D77" i="5" s="1"/>
  <c r="A78" i="5"/>
  <c r="B78" i="5"/>
  <c r="C78" i="5"/>
  <c r="D78" i="5"/>
  <c r="E78" i="5"/>
  <c r="A79" i="5"/>
  <c r="B79" i="5"/>
  <c r="C79" i="5"/>
  <c r="E79" i="5"/>
  <c r="D79" i="5" s="1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E83" i="5"/>
  <c r="D83" i="5" s="1"/>
  <c r="A84" i="5"/>
  <c r="B84" i="5"/>
  <c r="C84" i="5"/>
  <c r="E84" i="5"/>
  <c r="D84" i="5" s="1"/>
  <c r="A85" i="5"/>
  <c r="B85" i="5"/>
  <c r="C85" i="5"/>
  <c r="D85" i="5"/>
  <c r="E85" i="5"/>
  <c r="A86" i="5"/>
  <c r="B86" i="5"/>
  <c r="C86" i="5"/>
  <c r="D86" i="5" s="1"/>
  <c r="E86" i="5"/>
  <c r="A87" i="5"/>
  <c r="B87" i="5"/>
  <c r="C87" i="5"/>
  <c r="D87" i="5" s="1"/>
  <c r="E87" i="5"/>
  <c r="A88" i="5"/>
  <c r="B88" i="5"/>
  <c r="A89" i="5"/>
  <c r="B89" i="5"/>
  <c r="C89" i="5"/>
  <c r="D89" i="5"/>
  <c r="E89" i="5"/>
  <c r="A90" i="5"/>
  <c r="B90" i="5"/>
  <c r="C90" i="5"/>
  <c r="E90" i="5"/>
  <c r="D90" i="5" s="1"/>
  <c r="A91" i="5"/>
  <c r="B91" i="5"/>
  <c r="C91" i="5"/>
  <c r="E91" i="5"/>
  <c r="D91" i="5" s="1"/>
  <c r="A92" i="5"/>
  <c r="B92" i="5"/>
  <c r="C92" i="5"/>
  <c r="E92" i="5"/>
  <c r="D92" i="5" s="1"/>
  <c r="A93" i="5"/>
  <c r="B93" i="5"/>
  <c r="C93" i="5"/>
  <c r="E93" i="5"/>
  <c r="D93" i="5" s="1"/>
  <c r="A94" i="5"/>
  <c r="B94" i="5"/>
  <c r="C94" i="5"/>
  <c r="E94" i="5"/>
  <c r="D94" i="5" s="1"/>
  <c r="A95" i="5"/>
  <c r="B95" i="5"/>
  <c r="C95" i="5"/>
  <c r="E95" i="5"/>
  <c r="D95" i="5" s="1"/>
  <c r="A96" i="5"/>
  <c r="B96" i="5"/>
  <c r="C96" i="5"/>
  <c r="E96" i="5"/>
  <c r="D96" i="5" s="1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 s="1"/>
  <c r="E99" i="5"/>
  <c r="A100" i="5"/>
  <c r="B100" i="5"/>
  <c r="C100" i="5"/>
  <c r="D100" i="5" s="1"/>
  <c r="E100" i="5"/>
  <c r="A101" i="5"/>
  <c r="B101" i="5"/>
  <c r="C101" i="5"/>
  <c r="D101" i="5" s="1"/>
  <c r="E101" i="5"/>
  <c r="A102" i="5"/>
  <c r="B102" i="5"/>
  <c r="C102" i="5"/>
  <c r="D102" i="5" s="1"/>
  <c r="E102" i="5"/>
  <c r="A103" i="5"/>
  <c r="B103" i="5"/>
  <c r="C103" i="5"/>
  <c r="D103" i="5" s="1"/>
  <c r="E103" i="5"/>
  <c r="A104" i="5"/>
  <c r="B104" i="5"/>
  <c r="C104" i="5"/>
  <c r="D104" i="5" s="1"/>
  <c r="E104" i="5"/>
  <c r="A105" i="5"/>
  <c r="B105" i="5"/>
  <c r="C105" i="5"/>
  <c r="D105" i="5" s="1"/>
  <c r="E105" i="5"/>
  <c r="A106" i="5"/>
  <c r="B106" i="5"/>
  <c r="C106" i="5"/>
  <c r="D106" i="5" s="1"/>
  <c r="E106" i="5"/>
  <c r="A107" i="5"/>
  <c r="B107" i="5"/>
  <c r="C107" i="5"/>
  <c r="D107" i="5" s="1"/>
  <c r="E107" i="5"/>
  <c r="A108" i="5"/>
  <c r="B108" i="5"/>
  <c r="C108" i="5"/>
  <c r="D108" i="5" s="1"/>
  <c r="E108" i="5"/>
  <c r="A109" i="5"/>
  <c r="B109" i="5"/>
  <c r="C109" i="5"/>
  <c r="D109" i="5" s="1"/>
  <c r="E109" i="5"/>
  <c r="A110" i="5"/>
  <c r="B110" i="5"/>
  <c r="C110" i="5"/>
  <c r="D110" i="5" s="1"/>
  <c r="E110" i="5"/>
  <c r="A111" i="5"/>
  <c r="B111" i="5"/>
  <c r="C111" i="5"/>
  <c r="D111" i="5" s="1"/>
  <c r="E111" i="5"/>
  <c r="A112" i="5"/>
  <c r="B112" i="5"/>
  <c r="C112" i="5"/>
  <c r="D112" i="5" s="1"/>
  <c r="E112" i="5"/>
  <c r="A113" i="5"/>
  <c r="B113" i="5"/>
  <c r="C113" i="5"/>
  <c r="D113" i="5" s="1"/>
  <c r="E113" i="5"/>
  <c r="A114" i="5"/>
  <c r="B114" i="5"/>
  <c r="C114" i="5"/>
  <c r="D114" i="5" s="1"/>
  <c r="E114" i="5"/>
  <c r="A115" i="5"/>
  <c r="B115" i="5"/>
  <c r="C115" i="5"/>
  <c r="D115" i="5" s="1"/>
  <c r="E115" i="5"/>
  <c r="A116" i="5"/>
  <c r="B116" i="5"/>
  <c r="C116" i="5"/>
  <c r="D116" i="5" s="1"/>
  <c r="E116" i="5"/>
  <c r="A117" i="5"/>
  <c r="B117" i="5"/>
  <c r="C117" i="5"/>
  <c r="D117" i="5" s="1"/>
  <c r="E117" i="5"/>
  <c r="A118" i="5"/>
  <c r="B118" i="5"/>
  <c r="C118" i="5"/>
  <c r="D118" i="5" s="1"/>
  <c r="E118" i="5"/>
  <c r="A119" i="5"/>
  <c r="B119" i="5"/>
  <c r="C119" i="5"/>
  <c r="D119" i="5" s="1"/>
  <c r="E119" i="5"/>
  <c r="A120" i="5"/>
  <c r="B120" i="5"/>
  <c r="C120" i="5"/>
  <c r="D120" i="5" s="1"/>
  <c r="E120" i="5"/>
  <c r="A121" i="5"/>
  <c r="B121" i="5"/>
  <c r="C121" i="5"/>
  <c r="D121" i="5" s="1"/>
  <c r="E121" i="5"/>
  <c r="A122" i="5"/>
  <c r="B122" i="5"/>
  <c r="C122" i="5"/>
  <c r="D122" i="5" s="1"/>
  <c r="E122" i="5"/>
  <c r="A123" i="5"/>
  <c r="B123" i="5"/>
  <c r="C123" i="5"/>
  <c r="D123" i="5" s="1"/>
  <c r="E123" i="5"/>
  <c r="A124" i="5"/>
  <c r="B124" i="5"/>
  <c r="C124" i="5"/>
  <c r="D124" i="5" s="1"/>
  <c r="E124" i="5"/>
  <c r="A125" i="5"/>
  <c r="B125" i="5"/>
  <c r="C125" i="5"/>
  <c r="D125" i="5" s="1"/>
  <c r="E125" i="5"/>
  <c r="A126" i="5"/>
  <c r="B126" i="5"/>
  <c r="C126" i="5"/>
  <c r="D126" i="5" s="1"/>
  <c r="E126" i="5"/>
  <c r="A127" i="5"/>
  <c r="B127" i="5"/>
  <c r="C127" i="5"/>
  <c r="D127" i="5" s="1"/>
  <c r="E127" i="5"/>
  <c r="A128" i="5"/>
  <c r="B128" i="5"/>
  <c r="C128" i="5"/>
  <c r="D128" i="5" s="1"/>
  <c r="E128" i="5"/>
  <c r="A129" i="5"/>
  <c r="B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 s="1"/>
  <c r="E148" i="5"/>
  <c r="A149" i="5"/>
  <c r="B149" i="5"/>
  <c r="C149" i="5"/>
  <c r="D149" i="5" s="1"/>
  <c r="E149" i="5"/>
  <c r="A150" i="5"/>
  <c r="B150" i="5"/>
  <c r="C150" i="5"/>
  <c r="D150" i="5" s="1"/>
  <c r="E150" i="5"/>
  <c r="A151" i="5"/>
  <c r="B151" i="5"/>
  <c r="C151" i="5"/>
  <c r="D151" i="5" s="1"/>
  <c r="E151" i="5"/>
  <c r="A152" i="5"/>
  <c r="B152" i="5"/>
  <c r="C152" i="5"/>
  <c r="D152" i="5" s="1"/>
  <c r="E152" i="5"/>
  <c r="A153" i="5"/>
  <c r="B153" i="5"/>
  <c r="C153" i="5"/>
  <c r="D153" i="5" s="1"/>
  <c r="E153" i="5"/>
  <c r="A154" i="5"/>
  <c r="B154" i="5"/>
  <c r="C154" i="5"/>
  <c r="D154" i="5" s="1"/>
  <c r="E154" i="5"/>
  <c r="A155" i="5"/>
  <c r="B155" i="5"/>
  <c r="C155" i="5"/>
  <c r="D155" i="5" s="1"/>
  <c r="E155" i="5"/>
  <c r="A156" i="5"/>
  <c r="B156" i="5"/>
  <c r="C156" i="5"/>
  <c r="D156" i="5" s="1"/>
  <c r="E156" i="5"/>
  <c r="A157" i="5"/>
  <c r="B157" i="5"/>
  <c r="C157" i="5"/>
  <c r="D157" i="5" s="1"/>
  <c r="E157" i="5"/>
  <c r="A158" i="5"/>
  <c r="B158" i="5"/>
  <c r="C158" i="5"/>
  <c r="D158" i="5" s="1"/>
  <c r="E158" i="5"/>
  <c r="A159" i="5"/>
  <c r="B159" i="5"/>
  <c r="C159" i="5"/>
  <c r="D159" i="5" s="1"/>
  <c r="E159" i="5"/>
  <c r="A160" i="5"/>
  <c r="B160" i="5"/>
  <c r="C160" i="5"/>
  <c r="D160" i="5" s="1"/>
  <c r="E160" i="5"/>
  <c r="A161" i="5"/>
  <c r="C161" i="5" s="1"/>
  <c r="D161" i="5" s="1"/>
  <c r="B161" i="5"/>
  <c r="E161" i="5"/>
  <c r="A162" i="5"/>
  <c r="C162" i="5" s="1"/>
  <c r="D162" i="5" s="1"/>
  <c r="B162" i="5"/>
  <c r="E162" i="5"/>
  <c r="A163" i="5"/>
  <c r="B163" i="5"/>
  <c r="C163" i="5"/>
  <c r="D163" i="5" s="1"/>
  <c r="E163" i="5"/>
  <c r="A164" i="5"/>
  <c r="B164" i="5"/>
  <c r="C164" i="5"/>
  <c r="D164" i="5" s="1"/>
  <c r="E164" i="5"/>
  <c r="A165" i="5"/>
  <c r="B165" i="5"/>
  <c r="C165" i="5"/>
  <c r="D165" i="5" s="1"/>
  <c r="E165" i="5"/>
  <c r="A166" i="5"/>
  <c r="B166" i="5"/>
  <c r="C166" i="5"/>
  <c r="D166" i="5" s="1"/>
  <c r="E166" i="5"/>
  <c r="A167" i="5"/>
  <c r="B167" i="5"/>
  <c r="C167" i="5"/>
  <c r="D167" i="5" s="1"/>
  <c r="E167" i="5"/>
  <c r="A168" i="5"/>
  <c r="B168" i="5"/>
  <c r="C168" i="5"/>
  <c r="D168" i="5" s="1"/>
  <c r="E168" i="5"/>
  <c r="A169" i="5"/>
  <c r="B169" i="5"/>
  <c r="C169" i="5"/>
  <c r="E169" i="5"/>
  <c r="P128" i="17" l="1"/>
  <c r="L13" i="17"/>
  <c r="M13" i="17" s="1"/>
  <c r="O114" i="17"/>
  <c r="P114" i="17" s="1"/>
  <c r="O143" i="17"/>
  <c r="P143" i="17" s="1"/>
  <c r="M127" i="17"/>
  <c r="L80" i="17"/>
  <c r="M80" i="17" s="1"/>
  <c r="O142" i="17"/>
  <c r="P142" i="17" s="1"/>
  <c r="L47" i="17"/>
  <c r="M47" i="17" s="1"/>
  <c r="L35" i="17"/>
  <c r="M35" i="17" s="1"/>
  <c r="L50" i="17"/>
  <c r="M50" i="17" s="1"/>
  <c r="O140" i="17"/>
  <c r="P140" i="17" s="1"/>
  <c r="Q140" i="17"/>
  <c r="O112" i="17"/>
  <c r="P112" i="17" s="1"/>
  <c r="M126" i="17"/>
  <c r="P126" i="17" s="1"/>
  <c r="Q126" i="17" s="1"/>
  <c r="O141" i="17"/>
  <c r="P141" i="17" s="1"/>
  <c r="M125" i="17"/>
  <c r="L54" i="17"/>
  <c r="M54" i="17" s="1"/>
  <c r="O137" i="17"/>
  <c r="P137" i="17" s="1"/>
  <c r="L14" i="17"/>
  <c r="M14" i="17" s="1"/>
  <c r="L38" i="17"/>
  <c r="M38" i="17" s="1"/>
  <c r="O90" i="17"/>
  <c r="L118" i="17"/>
  <c r="M118" i="17" s="1"/>
  <c r="P118" i="17" s="1"/>
  <c r="Q118" i="17" s="1"/>
  <c r="O88" i="17"/>
  <c r="P88" i="17" s="1"/>
  <c r="O102" i="17"/>
  <c r="P102" i="17" s="1"/>
  <c r="O109" i="17"/>
  <c r="P109" i="17" s="1"/>
  <c r="O89" i="17"/>
  <c r="P89" i="17" s="1"/>
  <c r="O98" i="17"/>
  <c r="P98" i="17" s="1"/>
  <c r="O105" i="17"/>
  <c r="P105" i="17" s="1"/>
  <c r="Q105" i="17"/>
  <c r="O110" i="17"/>
  <c r="P110" i="17" s="1"/>
  <c r="L12" i="17"/>
  <c r="M12" i="17" s="1"/>
  <c r="O103" i="17"/>
  <c r="P103" i="17" s="1"/>
  <c r="O111" i="17"/>
  <c r="P111" i="17" s="1"/>
  <c r="O133" i="17"/>
  <c r="P133" i="17" s="1"/>
  <c r="O87" i="17"/>
  <c r="P87" i="17" s="1"/>
  <c r="O101" i="17"/>
  <c r="P101" i="17" s="1"/>
  <c r="O86" i="17"/>
  <c r="P86" i="17" s="1"/>
  <c r="O100" i="17"/>
  <c r="P100" i="17" s="1"/>
  <c r="O85" i="17"/>
  <c r="P85" i="17" s="1"/>
  <c r="O99" i="17"/>
  <c r="P99" i="17" s="1"/>
  <c r="O106" i="17"/>
  <c r="O139" i="17"/>
  <c r="P139" i="17" s="1"/>
  <c r="O127" i="17"/>
  <c r="P127" i="17" s="1"/>
  <c r="O115" i="17"/>
  <c r="P115" i="17" s="1"/>
  <c r="O104" i="17"/>
  <c r="P104" i="17" s="1"/>
  <c r="O92" i="17"/>
  <c r="P92" i="17" s="1"/>
  <c r="O74" i="17"/>
  <c r="O64" i="17"/>
  <c r="O43" i="17"/>
  <c r="P43" i="17" s="1"/>
  <c r="O34" i="17"/>
  <c r="P34" i="17" s="1"/>
  <c r="O24" i="17"/>
  <c r="P24" i="17" s="1"/>
  <c r="O15" i="17"/>
  <c r="P15" i="17" s="1"/>
  <c r="P106" i="17"/>
  <c r="Q106" i="17" s="1"/>
  <c r="O113" i="17"/>
  <c r="P113" i="17" s="1"/>
  <c r="O108" i="17"/>
  <c r="O125" i="17"/>
  <c r="P125" i="17" s="1"/>
  <c r="L36" i="17"/>
  <c r="M36" i="17" s="1"/>
  <c r="O107" i="17"/>
  <c r="P107" i="17" s="1"/>
  <c r="O83" i="17"/>
  <c r="P83" i="17" s="1"/>
  <c r="L10" i="17"/>
  <c r="M10" i="17" s="1"/>
  <c r="O82" i="17"/>
  <c r="P82" i="17" s="1"/>
  <c r="O96" i="17"/>
  <c r="P96" i="17" s="1"/>
  <c r="M108" i="17"/>
  <c r="L64" i="17"/>
  <c r="M64" i="17" s="1"/>
  <c r="M65" i="17"/>
  <c r="O94" i="17"/>
  <c r="P94" i="17" s="1"/>
  <c r="L9" i="17"/>
  <c r="M9" i="17" s="1"/>
  <c r="O91" i="17"/>
  <c r="P91" i="17" s="1"/>
  <c r="O93" i="17"/>
  <c r="P93" i="17" s="1"/>
  <c r="Q93" i="17"/>
  <c r="L75" i="17"/>
  <c r="M75" i="17" s="1"/>
  <c r="O84" i="17"/>
  <c r="P84" i="17" s="1"/>
  <c r="Q84" i="17"/>
  <c r="O97" i="17"/>
  <c r="P97" i="17" s="1"/>
  <c r="O120" i="17"/>
  <c r="P120" i="17" s="1"/>
  <c r="P74" i="17"/>
  <c r="Q74" i="17" s="1"/>
  <c r="O81" i="17"/>
  <c r="P81" i="17" s="1"/>
  <c r="O95" i="17"/>
  <c r="P95" i="17" s="1"/>
  <c r="L8" i="17"/>
  <c r="M8" i="17" s="1"/>
  <c r="O13" i="17"/>
  <c r="P13" i="17" s="1"/>
  <c r="O21" i="17"/>
  <c r="P21" i="17" s="1"/>
  <c r="O27" i="17"/>
  <c r="P27" i="17" s="1"/>
  <c r="O33" i="17"/>
  <c r="P33" i="17" s="1"/>
  <c r="O41" i="17"/>
  <c r="P41" i="17" s="1"/>
  <c r="O49" i="17"/>
  <c r="P49" i="17" s="1"/>
  <c r="O55" i="17"/>
  <c r="P55" i="17" s="1"/>
  <c r="O65" i="17"/>
  <c r="P65" i="17" s="1"/>
  <c r="Q65" i="17"/>
  <c r="O70" i="17"/>
  <c r="P70" i="17" s="1"/>
  <c r="O77" i="17"/>
  <c r="P77" i="17" s="1"/>
  <c r="O80" i="17"/>
  <c r="P80" i="17" s="1"/>
  <c r="L7" i="17"/>
  <c r="M7" i="17" s="1"/>
  <c r="O11" i="17"/>
  <c r="P11" i="17" s="1"/>
  <c r="O19" i="17"/>
  <c r="P19" i="17" s="1"/>
  <c r="O32" i="17"/>
  <c r="P32" i="17" s="1"/>
  <c r="O40" i="17"/>
  <c r="P40" i="17" s="1"/>
  <c r="O48" i="17"/>
  <c r="P48" i="17" s="1"/>
  <c r="O54" i="17"/>
  <c r="P54" i="17" s="1"/>
  <c r="O60" i="17"/>
  <c r="P60" i="17" s="1"/>
  <c r="O73" i="17"/>
  <c r="P73" i="17" s="1"/>
  <c r="O7" i="17"/>
  <c r="P7" i="17" s="1"/>
  <c r="O8" i="17"/>
  <c r="P8" i="17" s="1"/>
  <c r="O17" i="17"/>
  <c r="P17" i="17" s="1"/>
  <c r="O23" i="17"/>
  <c r="P23" i="17" s="1"/>
  <c r="O29" i="17"/>
  <c r="P29" i="17" s="1"/>
  <c r="O38" i="17"/>
  <c r="P38" i="17" s="1"/>
  <c r="O46" i="17"/>
  <c r="P46" i="17" s="1"/>
  <c r="O52" i="17"/>
  <c r="P52" i="17" s="1"/>
  <c r="O59" i="17"/>
  <c r="P59" i="17" s="1"/>
  <c r="O67" i="17"/>
  <c r="P67" i="17" s="1"/>
  <c r="O75" i="17"/>
  <c r="P75" i="17" s="1"/>
  <c r="Q75" i="17"/>
  <c r="L5" i="17"/>
  <c r="M5" i="17" s="1"/>
  <c r="O14" i="17"/>
  <c r="P14" i="17" s="1"/>
  <c r="O22" i="17"/>
  <c r="P22" i="17" s="1"/>
  <c r="O28" i="17"/>
  <c r="P28" i="17" s="1"/>
  <c r="O35" i="17"/>
  <c r="P35" i="17" s="1"/>
  <c r="Q35" i="17"/>
  <c r="O42" i="17"/>
  <c r="P42" i="17" s="1"/>
  <c r="O50" i="17"/>
  <c r="P50" i="17" s="1"/>
  <c r="O56" i="17"/>
  <c r="P56" i="17" s="1"/>
  <c r="O62" i="17"/>
  <c r="P62" i="17" s="1"/>
  <c r="O63" i="17"/>
  <c r="O71" i="17"/>
  <c r="P71" i="17" s="1"/>
  <c r="O79" i="17"/>
  <c r="P79" i="17" s="1"/>
  <c r="O10" i="17"/>
  <c r="P10" i="17" s="1"/>
  <c r="O18" i="17"/>
  <c r="P18" i="17" s="1"/>
  <c r="O25" i="17"/>
  <c r="P25" i="17" s="1"/>
  <c r="Q25" i="17"/>
  <c r="O31" i="17"/>
  <c r="P31" i="17" s="1"/>
  <c r="O39" i="17"/>
  <c r="P39" i="17" s="1"/>
  <c r="O47" i="17"/>
  <c r="P47" i="17" s="1"/>
  <c r="O53" i="17"/>
  <c r="P53" i="17" s="1"/>
  <c r="Q53" i="17"/>
  <c r="O58" i="17"/>
  <c r="P58" i="17" s="1"/>
  <c r="O66" i="17"/>
  <c r="P66" i="17" s="1"/>
  <c r="O72" i="17"/>
  <c r="P72" i="17" s="1"/>
  <c r="O5" i="17"/>
  <c r="L6" i="17"/>
  <c r="M6" i="17" s="1"/>
  <c r="O6" i="17"/>
  <c r="P6" i="17" s="1"/>
  <c r="Q6" i="17"/>
  <c r="O9" i="17"/>
  <c r="O16" i="17"/>
  <c r="P16" i="17" s="1"/>
  <c r="Q16" i="17"/>
  <c r="O26" i="17"/>
  <c r="P26" i="17" s="1"/>
  <c r="O36" i="17"/>
  <c r="O44" i="17"/>
  <c r="P44" i="17" s="1"/>
  <c r="Q44" i="17"/>
  <c r="O51" i="17"/>
  <c r="P51" i="17" s="1"/>
  <c r="L63" i="17"/>
  <c r="M63" i="17" s="1"/>
  <c r="O68" i="17"/>
  <c r="P68" i="17" s="1"/>
  <c r="O78" i="17"/>
  <c r="P78" i="17" s="1"/>
  <c r="O12" i="17"/>
  <c r="P12" i="17" s="1"/>
  <c r="O20" i="17"/>
  <c r="P20" i="17" s="1"/>
  <c r="O30" i="17"/>
  <c r="P30" i="17" s="1"/>
  <c r="O37" i="17"/>
  <c r="P37" i="17" s="1"/>
  <c r="O45" i="17"/>
  <c r="P45" i="17" s="1"/>
  <c r="O57" i="17"/>
  <c r="P57" i="17" s="1"/>
  <c r="O61" i="17"/>
  <c r="P61" i="17" s="1"/>
  <c r="O69" i="17"/>
  <c r="P69" i="17" s="1"/>
  <c r="O76" i="17"/>
  <c r="P76" i="17" s="1"/>
  <c r="H7" i="3"/>
  <c r="T7" i="3" s="1"/>
  <c r="H45" i="3"/>
  <c r="H89" i="3"/>
  <c r="O103" i="3"/>
  <c r="O104" i="3"/>
  <c r="J138" i="3"/>
  <c r="J34" i="3"/>
  <c r="J56" i="3"/>
  <c r="H81" i="3"/>
  <c r="H102" i="3"/>
  <c r="T102" i="3" s="1"/>
  <c r="J102" i="3"/>
  <c r="V102" i="3" s="1"/>
  <c r="U102" i="3"/>
  <c r="X102" i="3"/>
  <c r="R103" i="3"/>
  <c r="R104" i="3"/>
  <c r="T104" i="3"/>
  <c r="U104" i="3" s="1"/>
  <c r="H106" i="3"/>
  <c r="T106" i="3" s="1"/>
  <c r="U106" i="3" s="1"/>
  <c r="R106" i="3"/>
  <c r="J107" i="3"/>
  <c r="V107" i="3" s="1"/>
  <c r="J127" i="3"/>
  <c r="H11" i="3"/>
  <c r="H26" i="3"/>
  <c r="H32" i="3"/>
  <c r="O36" i="3"/>
  <c r="H54" i="3"/>
  <c r="J54" i="3"/>
  <c r="H57" i="3"/>
  <c r="O61" i="3"/>
  <c r="H82" i="3"/>
  <c r="R102" i="3"/>
  <c r="H103" i="3"/>
  <c r="T103" i="3" s="1"/>
  <c r="U103" i="3" s="1"/>
  <c r="H105" i="3"/>
  <c r="T105" i="3" s="1"/>
  <c r="U105" i="3" s="1"/>
  <c r="J105" i="3"/>
  <c r="V105" i="3" s="1"/>
  <c r="R105" i="3"/>
  <c r="J106" i="3"/>
  <c r="V106" i="3" s="1"/>
  <c r="X106" i="3"/>
  <c r="H142" i="3"/>
  <c r="H58" i="3"/>
  <c r="H78" i="3"/>
  <c r="H85" i="3"/>
  <c r="H86" i="3"/>
  <c r="H87" i="3"/>
  <c r="J104" i="3"/>
  <c r="V104" i="3" s="1"/>
  <c r="O107" i="3"/>
  <c r="J115" i="3"/>
  <c r="J31" i="3"/>
  <c r="H38" i="3"/>
  <c r="H72" i="3"/>
  <c r="H83" i="3"/>
  <c r="H84" i="3"/>
  <c r="O102" i="3"/>
  <c r="V103" i="3"/>
  <c r="X103" i="3"/>
  <c r="O106" i="3"/>
  <c r="X107" i="3"/>
  <c r="H79" i="3"/>
  <c r="X104" i="3"/>
  <c r="O105" i="3"/>
  <c r="X105" i="3"/>
  <c r="H107" i="3"/>
  <c r="T107" i="3" s="1"/>
  <c r="U107" i="3" s="1"/>
  <c r="R107" i="3"/>
  <c r="H109" i="3"/>
  <c r="H143" i="3"/>
  <c r="X179" i="3"/>
  <c r="H179" i="3"/>
  <c r="T179" i="3" s="1"/>
  <c r="J179" i="3"/>
  <c r="D179" i="3"/>
  <c r="D180" i="3"/>
  <c r="I180" i="3"/>
  <c r="U180" i="3"/>
  <c r="X180" i="3"/>
  <c r="I16" i="20"/>
  <c r="I14" i="20"/>
  <c r="I9" i="20"/>
  <c r="I7" i="20"/>
  <c r="M10" i="20"/>
  <c r="I6" i="20"/>
  <c r="I10" i="20"/>
  <c r="I5" i="20"/>
  <c r="M14" i="20"/>
  <c r="M7" i="20"/>
  <c r="I8" i="20"/>
  <c r="M13" i="20"/>
  <c r="H22" i="3"/>
  <c r="T22" i="3" s="1"/>
  <c r="O30" i="3"/>
  <c r="R30" i="3"/>
  <c r="O35" i="3"/>
  <c r="J36" i="3"/>
  <c r="X44" i="3"/>
  <c r="J47" i="3"/>
  <c r="X48" i="3"/>
  <c r="X61" i="3"/>
  <c r="X62" i="3"/>
  <c r="X80" i="3"/>
  <c r="X82" i="3"/>
  <c r="X86" i="3"/>
  <c r="X108" i="3"/>
  <c r="H110" i="3"/>
  <c r="J110" i="3"/>
  <c r="X111" i="3"/>
  <c r="H114" i="3"/>
  <c r="X115" i="3"/>
  <c r="H119" i="3"/>
  <c r="H120" i="3"/>
  <c r="X121" i="3"/>
  <c r="H123" i="3"/>
  <c r="H127" i="3"/>
  <c r="X131" i="3"/>
  <c r="X138" i="3"/>
  <c r="J141" i="3"/>
  <c r="X148" i="3"/>
  <c r="J151" i="3"/>
  <c r="V151" i="3" s="1"/>
  <c r="R151" i="3"/>
  <c r="R152" i="3"/>
  <c r="H153" i="3"/>
  <c r="T153" i="3" s="1"/>
  <c r="U153" i="3" s="1"/>
  <c r="J153" i="3"/>
  <c r="V153" i="3" s="1"/>
  <c r="R153" i="3"/>
  <c r="X153" i="3"/>
  <c r="O157" i="3"/>
  <c r="O158" i="3"/>
  <c r="X159" i="3"/>
  <c r="J161" i="3"/>
  <c r="H162" i="3"/>
  <c r="H163" i="3"/>
  <c r="J163" i="3"/>
  <c r="H165" i="3"/>
  <c r="J165" i="3"/>
  <c r="X169" i="3"/>
  <c r="X6" i="3"/>
  <c r="X8" i="3"/>
  <c r="J10" i="3"/>
  <c r="J28" i="3"/>
  <c r="J30" i="3"/>
  <c r="V30" i="3" s="1"/>
  <c r="O31" i="3"/>
  <c r="X31" i="3"/>
  <c r="J32" i="3"/>
  <c r="V32" i="3" s="1"/>
  <c r="O32" i="3"/>
  <c r="X32" i="3"/>
  <c r="R33" i="3"/>
  <c r="H34" i="3"/>
  <c r="X34" i="3"/>
  <c r="X35" i="3"/>
  <c r="X36" i="3"/>
  <c r="X39" i="3"/>
  <c r="X40" i="3"/>
  <c r="T42" i="3"/>
  <c r="X43" i="3"/>
  <c r="J45" i="3"/>
  <c r="H50" i="3"/>
  <c r="J50" i="3"/>
  <c r="J59" i="3"/>
  <c r="X60" i="3"/>
  <c r="J61" i="3"/>
  <c r="J78" i="3"/>
  <c r="X78" i="3"/>
  <c r="H80" i="3"/>
  <c r="J80" i="3"/>
  <c r="J81" i="3"/>
  <c r="J83" i="3"/>
  <c r="J85" i="3"/>
  <c r="X87" i="3"/>
  <c r="O108" i="3"/>
  <c r="X109" i="3"/>
  <c r="X113" i="3"/>
  <c r="H115" i="3"/>
  <c r="T115" i="3" s="1"/>
  <c r="H116" i="3"/>
  <c r="X116" i="3"/>
  <c r="X119" i="3"/>
  <c r="H121" i="3"/>
  <c r="J121" i="3"/>
  <c r="X122" i="3"/>
  <c r="H124" i="3"/>
  <c r="J124" i="3"/>
  <c r="H126" i="3"/>
  <c r="J126" i="3"/>
  <c r="H128" i="3"/>
  <c r="J128" i="3"/>
  <c r="X128" i="3"/>
  <c r="X130" i="3"/>
  <c r="H135" i="3"/>
  <c r="J135" i="3"/>
  <c r="H136" i="3"/>
  <c r="J136" i="3"/>
  <c r="O139" i="3"/>
  <c r="J140" i="3"/>
  <c r="X143" i="3"/>
  <c r="H145" i="3"/>
  <c r="J145" i="3"/>
  <c r="O147" i="3"/>
  <c r="H150" i="3"/>
  <c r="J150" i="3"/>
  <c r="X150" i="3"/>
  <c r="X152" i="3"/>
  <c r="R154" i="3"/>
  <c r="X154" i="3"/>
  <c r="X155" i="3"/>
  <c r="X157" i="3"/>
  <c r="X160" i="3"/>
  <c r="X161" i="3"/>
  <c r="X163" i="3"/>
  <c r="H168" i="3"/>
  <c r="J168" i="3"/>
  <c r="R6" i="3"/>
  <c r="T30" i="3"/>
  <c r="U30" i="3" s="1"/>
  <c r="T32" i="3"/>
  <c r="U32" i="3" s="1"/>
  <c r="X37" i="3"/>
  <c r="X38" i="3"/>
  <c r="J39" i="3"/>
  <c r="J42" i="3"/>
  <c r="X46" i="3"/>
  <c r="J48" i="3"/>
  <c r="X55" i="3"/>
  <c r="J57" i="3"/>
  <c r="J62" i="3"/>
  <c r="J84" i="3"/>
  <c r="O85" i="3"/>
  <c r="J86" i="3"/>
  <c r="O109" i="3"/>
  <c r="H112" i="3"/>
  <c r="J112" i="3"/>
  <c r="J113" i="3"/>
  <c r="H118" i="3"/>
  <c r="T118" i="3" s="1"/>
  <c r="U118" i="3" s="1"/>
  <c r="J118" i="3"/>
  <c r="X118" i="3"/>
  <c r="O120" i="3"/>
  <c r="H122" i="3"/>
  <c r="J123" i="3"/>
  <c r="X124" i="3"/>
  <c r="X125" i="3"/>
  <c r="X126" i="3"/>
  <c r="O132" i="3"/>
  <c r="H133" i="3"/>
  <c r="J133" i="3"/>
  <c r="H134" i="3"/>
  <c r="X140" i="3"/>
  <c r="X141" i="3"/>
  <c r="X142" i="3"/>
  <c r="X144" i="3"/>
  <c r="X145" i="3"/>
  <c r="H147" i="3"/>
  <c r="J147" i="3"/>
  <c r="H148" i="3"/>
  <c r="J148" i="3"/>
  <c r="O151" i="3"/>
  <c r="H152" i="3"/>
  <c r="T152" i="3" s="1"/>
  <c r="U152" i="3" s="1"/>
  <c r="J152" i="3"/>
  <c r="V152" i="3" s="1"/>
  <c r="O153" i="3"/>
  <c r="H155" i="3"/>
  <c r="T155" i="3" s="1"/>
  <c r="U155" i="3" s="1"/>
  <c r="J155" i="3"/>
  <c r="V155" i="3" s="1"/>
  <c r="R156" i="3"/>
  <c r="J157" i="3"/>
  <c r="V157" i="3" s="1"/>
  <c r="H158" i="3"/>
  <c r="J158" i="3"/>
  <c r="H159" i="3"/>
  <c r="J159" i="3"/>
  <c r="X162" i="3"/>
  <c r="X164" i="3"/>
  <c r="J166" i="3"/>
  <c r="X168" i="3"/>
  <c r="H6" i="3"/>
  <c r="J9" i="3"/>
  <c r="T9" i="3"/>
  <c r="J11" i="3"/>
  <c r="H12" i="3"/>
  <c r="H16" i="3"/>
  <c r="H24" i="3"/>
  <c r="J26" i="3"/>
  <c r="R31" i="3"/>
  <c r="T31" i="3"/>
  <c r="U31" i="3" s="1"/>
  <c r="V31" i="3"/>
  <c r="J33" i="3"/>
  <c r="V33" i="3" s="1"/>
  <c r="O33" i="3"/>
  <c r="H35" i="3"/>
  <c r="J35" i="3"/>
  <c r="J37" i="3"/>
  <c r="J40" i="3"/>
  <c r="H41" i="3"/>
  <c r="J41" i="3"/>
  <c r="V41" i="3" s="1"/>
  <c r="X42" i="3"/>
  <c r="J43" i="3"/>
  <c r="H44" i="3"/>
  <c r="J44" i="3"/>
  <c r="H46" i="3"/>
  <c r="J46" i="3"/>
  <c r="J49" i="3"/>
  <c r="X49" i="3"/>
  <c r="X54" i="3"/>
  <c r="J55" i="3"/>
  <c r="H56" i="3"/>
  <c r="J58" i="3"/>
  <c r="H60" i="3"/>
  <c r="J60" i="3"/>
  <c r="H63" i="3"/>
  <c r="J63" i="3"/>
  <c r="T78" i="3"/>
  <c r="T81" i="3"/>
  <c r="X81" i="3"/>
  <c r="J82" i="3"/>
  <c r="X83" i="3"/>
  <c r="J87" i="3"/>
  <c r="R108" i="3"/>
  <c r="H111" i="3"/>
  <c r="T111" i="3" s="1"/>
  <c r="J111" i="3"/>
  <c r="V111" i="3" s="1"/>
  <c r="X112" i="3"/>
  <c r="J116" i="3"/>
  <c r="X123" i="3"/>
  <c r="H125" i="3"/>
  <c r="J125" i="3"/>
  <c r="X127" i="3"/>
  <c r="H129" i="3"/>
  <c r="J129" i="3"/>
  <c r="X129" i="3"/>
  <c r="H132" i="3"/>
  <c r="J132" i="3"/>
  <c r="X133" i="3"/>
  <c r="H137" i="3"/>
  <c r="J137" i="3"/>
  <c r="X137" i="3"/>
  <c r="J139" i="3"/>
  <c r="J142" i="3"/>
  <c r="J143" i="3"/>
  <c r="H144" i="3"/>
  <c r="J144" i="3"/>
  <c r="O145" i="3"/>
  <c r="J146" i="3"/>
  <c r="X149" i="3"/>
  <c r="H151" i="3"/>
  <c r="T151" i="3" s="1"/>
  <c r="U151" i="3" s="1"/>
  <c r="X151" i="3"/>
  <c r="H154" i="3"/>
  <c r="T154" i="3" s="1"/>
  <c r="U154" i="3" s="1"/>
  <c r="J154" i="3"/>
  <c r="V154" i="3" s="1"/>
  <c r="R155" i="3"/>
  <c r="H156" i="3"/>
  <c r="T156" i="3" s="1"/>
  <c r="U156" i="3" s="1"/>
  <c r="J156" i="3"/>
  <c r="V156" i="3" s="1"/>
  <c r="X156" i="3"/>
  <c r="H164" i="3"/>
  <c r="J164" i="3"/>
  <c r="V164" i="3" s="1"/>
  <c r="X166" i="3"/>
  <c r="H170" i="3"/>
  <c r="J170" i="3"/>
  <c r="J6" i="3"/>
  <c r="H8" i="3"/>
  <c r="T8" i="3" s="1"/>
  <c r="U8" i="3" s="1"/>
  <c r="J8" i="3"/>
  <c r="H19" i="3"/>
  <c r="H20" i="3"/>
  <c r="X30" i="3"/>
  <c r="R32" i="3"/>
  <c r="T33" i="3"/>
  <c r="U33" i="3" s="1"/>
  <c r="X33" i="3"/>
  <c r="J38" i="3"/>
  <c r="X41" i="3"/>
  <c r="X45" i="3"/>
  <c r="T59" i="3"/>
  <c r="X59" i="3"/>
  <c r="J79" i="3"/>
  <c r="T79" i="3"/>
  <c r="H108" i="3"/>
  <c r="T108" i="3" s="1"/>
  <c r="U108" i="3" s="1"/>
  <c r="H113" i="3"/>
  <c r="T113" i="3" s="1"/>
  <c r="J114" i="3"/>
  <c r="H117" i="3"/>
  <c r="J117" i="3"/>
  <c r="J122" i="3"/>
  <c r="J130" i="3"/>
  <c r="X135" i="3"/>
  <c r="X136" i="3"/>
  <c r="X139" i="3"/>
  <c r="X146" i="3"/>
  <c r="H149" i="3"/>
  <c r="J149" i="3"/>
  <c r="O152" i="3"/>
  <c r="O154" i="3"/>
  <c r="O155" i="3"/>
  <c r="O156" i="3"/>
  <c r="H157" i="3"/>
  <c r="T157" i="3" s="1"/>
  <c r="U157" i="3" s="1"/>
  <c r="R157" i="3"/>
  <c r="H160" i="3"/>
  <c r="J160" i="3"/>
  <c r="H161" i="3"/>
  <c r="J162" i="3"/>
  <c r="X165" i="3"/>
  <c r="H169" i="3"/>
  <c r="H23" i="3"/>
  <c r="H25" i="3"/>
  <c r="X147" i="3"/>
  <c r="X158" i="3"/>
  <c r="H167" i="3"/>
  <c r="J167" i="3"/>
  <c r="X167" i="3"/>
  <c r="J169" i="3"/>
  <c r="J108" i="3"/>
  <c r="J109" i="3"/>
  <c r="X110" i="3"/>
  <c r="X114" i="3"/>
  <c r="X117" i="3"/>
  <c r="J119" i="3"/>
  <c r="J120" i="3"/>
  <c r="X120" i="3"/>
  <c r="H130" i="3"/>
  <c r="H131" i="3"/>
  <c r="J131" i="3"/>
  <c r="X132" i="3"/>
  <c r="J134" i="3"/>
  <c r="X134" i="3"/>
  <c r="O6" i="3"/>
  <c r="O8" i="3"/>
  <c r="V8" i="3"/>
  <c r="O9" i="3"/>
  <c r="O10" i="3"/>
  <c r="O15" i="3"/>
  <c r="V34" i="3"/>
  <c r="T36" i="3"/>
  <c r="U36" i="3" s="1"/>
  <c r="V36" i="3"/>
  <c r="T38" i="3"/>
  <c r="V38" i="3"/>
  <c r="O40" i="3"/>
  <c r="T40" i="3"/>
  <c r="U40" i="3" s="1"/>
  <c r="V40" i="3"/>
  <c r="O42" i="3"/>
  <c r="V42" i="3"/>
  <c r="R44" i="3"/>
  <c r="V45" i="3"/>
  <c r="O47" i="3"/>
  <c r="O50" i="3"/>
  <c r="V50" i="3"/>
  <c r="O54" i="3"/>
  <c r="V54" i="3"/>
  <c r="O55" i="3"/>
  <c r="O57" i="3"/>
  <c r="V58" i="3"/>
  <c r="R59" i="3"/>
  <c r="U59" i="3"/>
  <c r="R60" i="3"/>
  <c r="O78" i="3"/>
  <c r="T80" i="3"/>
  <c r="V80" i="3"/>
  <c r="O84" i="3"/>
  <c r="O87" i="3"/>
  <c r="V108" i="3"/>
  <c r="T110" i="3"/>
  <c r="U110" i="3" s="1"/>
  <c r="V110" i="3"/>
  <c r="O115" i="3"/>
  <c r="U115" i="3"/>
  <c r="O117" i="3"/>
  <c r="T117" i="3"/>
  <c r="U117" i="3" s="1"/>
  <c r="V117" i="3"/>
  <c r="O124" i="3"/>
  <c r="T126" i="3"/>
  <c r="U126" i="3" s="1"/>
  <c r="V126" i="3"/>
  <c r="O128" i="3"/>
  <c r="V128" i="3"/>
  <c r="R130" i="3"/>
  <c r="R131" i="3"/>
  <c r="R132" i="3"/>
  <c r="T132" i="3"/>
  <c r="U132" i="3" s="1"/>
  <c r="V132" i="3"/>
  <c r="O134" i="3"/>
  <c r="V134" i="3"/>
  <c r="R136" i="3"/>
  <c r="O138" i="3"/>
  <c r="R138" i="3"/>
  <c r="R139" i="3"/>
  <c r="T139" i="3"/>
  <c r="U139" i="3" s="1"/>
  <c r="V139" i="3"/>
  <c r="R145" i="3"/>
  <c r="T145" i="3"/>
  <c r="U145" i="3" s="1"/>
  <c r="V145" i="3"/>
  <c r="O149" i="3"/>
  <c r="R158" i="3"/>
  <c r="T158" i="3"/>
  <c r="U158" i="3" s="1"/>
  <c r="V158" i="3"/>
  <c r="R162" i="3"/>
  <c r="T163" i="3"/>
  <c r="U163" i="3" s="1"/>
  <c r="V163" i="3"/>
  <c r="R165" i="3"/>
  <c r="T165" i="3"/>
  <c r="U165" i="3" s="1"/>
  <c r="V165" i="3"/>
  <c r="T167" i="3"/>
  <c r="U167" i="3" s="1"/>
  <c r="V167" i="3"/>
  <c r="T6" i="3"/>
  <c r="U6" i="3" s="1"/>
  <c r="V6" i="3"/>
  <c r="U22" i="3"/>
  <c r="T23" i="3"/>
  <c r="T25" i="3"/>
  <c r="O34" i="3"/>
  <c r="R36" i="3"/>
  <c r="R39" i="3"/>
  <c r="T39" i="3"/>
  <c r="U39" i="3" s="1"/>
  <c r="V39" i="3"/>
  <c r="R42" i="3"/>
  <c r="V43" i="3"/>
  <c r="R45" i="3"/>
  <c r="R48" i="3"/>
  <c r="R49" i="3"/>
  <c r="R50" i="3"/>
  <c r="R56" i="3"/>
  <c r="V56" i="3"/>
  <c r="T60" i="3"/>
  <c r="U60" i="3" s="1"/>
  <c r="V60" i="3"/>
  <c r="O82" i="3"/>
  <c r="T85" i="3"/>
  <c r="V85" i="3"/>
  <c r="T87" i="3"/>
  <c r="U87" i="3" s="1"/>
  <c r="V87" i="3"/>
  <c r="T109" i="3"/>
  <c r="U109" i="3" s="1"/>
  <c r="V109" i="3"/>
  <c r="O111" i="3"/>
  <c r="U111" i="3"/>
  <c r="V114" i="3"/>
  <c r="T116" i="3"/>
  <c r="U116" i="3" s="1"/>
  <c r="O119" i="3"/>
  <c r="R122" i="3"/>
  <c r="R123" i="3"/>
  <c r="R124" i="3"/>
  <c r="T127" i="3"/>
  <c r="U127" i="3" s="1"/>
  <c r="R128" i="3"/>
  <c r="R129" i="3"/>
  <c r="T130" i="3"/>
  <c r="U130" i="3" s="1"/>
  <c r="V130" i="3"/>
  <c r="O133" i="3"/>
  <c r="T137" i="3"/>
  <c r="U137" i="3" s="1"/>
  <c r="V137" i="3"/>
  <c r="R140" i="3"/>
  <c r="T140" i="3"/>
  <c r="U140" i="3" s="1"/>
  <c r="V140" i="3"/>
  <c r="R144" i="3"/>
  <c r="R146" i="3"/>
  <c r="O148" i="3"/>
  <c r="R159" i="3"/>
  <c r="T159" i="3"/>
  <c r="U159" i="3" s="1"/>
  <c r="V159" i="3"/>
  <c r="R161" i="3"/>
  <c r="T161" i="3"/>
  <c r="U161" i="3" s="1"/>
  <c r="V161" i="3"/>
  <c r="O163" i="3"/>
  <c r="O166" i="3"/>
  <c r="O168" i="3"/>
  <c r="R9" i="3"/>
  <c r="T19" i="3"/>
  <c r="T24" i="3"/>
  <c r="L29" i="3"/>
  <c r="R34" i="3"/>
  <c r="R35" i="3"/>
  <c r="T35" i="3"/>
  <c r="U35" i="3" s="1"/>
  <c r="V35" i="3"/>
  <c r="T37" i="3"/>
  <c r="U37" i="3" s="1"/>
  <c r="V37" i="3"/>
  <c r="O38" i="3"/>
  <c r="R46" i="3"/>
  <c r="T46" i="3"/>
  <c r="U46" i="3" s="1"/>
  <c r="V46" i="3"/>
  <c r="O48" i="3"/>
  <c r="V48" i="3"/>
  <c r="O49" i="3"/>
  <c r="R55" i="3"/>
  <c r="T56" i="3"/>
  <c r="R57" i="3"/>
  <c r="O59" i="3"/>
  <c r="R62" i="3"/>
  <c r="R63" i="3"/>
  <c r="R67" i="3"/>
  <c r="V78" i="3"/>
  <c r="O79" i="3"/>
  <c r="V79" i="3"/>
  <c r="O81" i="3"/>
  <c r="V81" i="3"/>
  <c r="R82" i="3"/>
  <c r="T82" i="3"/>
  <c r="U82" i="3" s="1"/>
  <c r="V82" i="3"/>
  <c r="R83" i="3"/>
  <c r="T83" i="3"/>
  <c r="U83" i="3" s="1"/>
  <c r="R84" i="3"/>
  <c r="R109" i="3"/>
  <c r="O110" i="3"/>
  <c r="R110" i="3"/>
  <c r="O112" i="3"/>
  <c r="O114" i="3"/>
  <c r="T114" i="3"/>
  <c r="U114" i="3" s="1"/>
  <c r="O118" i="3"/>
  <c r="O122" i="3"/>
  <c r="O126" i="3"/>
  <c r="O127" i="3"/>
  <c r="V127" i="3"/>
  <c r="T128" i="3"/>
  <c r="U128" i="3" s="1"/>
  <c r="O131" i="3"/>
  <c r="R134" i="3"/>
  <c r="T144" i="3"/>
  <c r="U144" i="3" s="1"/>
  <c r="V144" i="3"/>
  <c r="T148" i="3"/>
  <c r="U148" i="3" s="1"/>
  <c r="V148" i="3"/>
  <c r="O159" i="3"/>
  <c r="V166" i="3"/>
  <c r="V168" i="3"/>
  <c r="V170" i="3"/>
  <c r="U7" i="3"/>
  <c r="T12" i="3"/>
  <c r="U12" i="3" s="1"/>
  <c r="R21" i="3"/>
  <c r="R22" i="3"/>
  <c r="O28" i="3"/>
  <c r="R37" i="3"/>
  <c r="R38" i="3"/>
  <c r="O41" i="3"/>
  <c r="T41" i="3"/>
  <c r="U41" i="3" s="1"/>
  <c r="U42" i="3"/>
  <c r="R43" i="3"/>
  <c r="O44" i="3"/>
  <c r="O45" i="3"/>
  <c r="T45" i="3"/>
  <c r="U45" i="3" s="1"/>
  <c r="R54" i="3"/>
  <c r="O56" i="3"/>
  <c r="T57" i="3"/>
  <c r="V57" i="3"/>
  <c r="V59" i="3"/>
  <c r="R79" i="3"/>
  <c r="O80" i="3"/>
  <c r="V129" i="3"/>
  <c r="R135" i="3"/>
  <c r="T136" i="3"/>
  <c r="U136" i="3" s="1"/>
  <c r="V136" i="3"/>
  <c r="T138" i="3"/>
  <c r="U138" i="3" s="1"/>
  <c r="V138" i="3"/>
  <c r="R141" i="3"/>
  <c r="T141" i="3"/>
  <c r="U141" i="3" s="1"/>
  <c r="V141" i="3"/>
  <c r="O143" i="3"/>
  <c r="R143" i="3"/>
  <c r="T143" i="3"/>
  <c r="U143" i="3" s="1"/>
  <c r="V143" i="3"/>
  <c r="T146" i="3"/>
  <c r="U146" i="3" s="1"/>
  <c r="V146" i="3"/>
  <c r="O150" i="3"/>
  <c r="T160" i="3"/>
  <c r="U160" i="3" s="1"/>
  <c r="V160" i="3"/>
  <c r="T162" i="3"/>
  <c r="U162" i="3" s="1"/>
  <c r="V162" i="3"/>
  <c r="T164" i="3"/>
  <c r="U164" i="3" s="1"/>
  <c r="R166" i="3"/>
  <c r="T166" i="3"/>
  <c r="U166" i="3" s="1"/>
  <c r="R168" i="3"/>
  <c r="O169" i="3"/>
  <c r="R8" i="3"/>
  <c r="V9" i="3"/>
  <c r="T10" i="3"/>
  <c r="U10" i="3" s="1"/>
  <c r="V10" i="3"/>
  <c r="R13" i="3"/>
  <c r="T26" i="3"/>
  <c r="V26" i="3"/>
  <c r="T34" i="3"/>
  <c r="U34" i="3" s="1"/>
  <c r="O37" i="3"/>
  <c r="O39" i="3"/>
  <c r="R41" i="3"/>
  <c r="O43" i="3"/>
  <c r="T43" i="3"/>
  <c r="U43" i="3" s="1"/>
  <c r="T44" i="3"/>
  <c r="U44" i="3" s="1"/>
  <c r="V44" i="3"/>
  <c r="O46" i="3"/>
  <c r="T47" i="3"/>
  <c r="V47" i="3"/>
  <c r="T49" i="3"/>
  <c r="U49" i="3" s="1"/>
  <c r="V49" i="3"/>
  <c r="T54" i="3"/>
  <c r="U54" i="3" s="1"/>
  <c r="T55" i="3"/>
  <c r="U55" i="3" s="1"/>
  <c r="V55" i="3"/>
  <c r="O58" i="3"/>
  <c r="R58" i="3"/>
  <c r="O62" i="3"/>
  <c r="T62" i="3"/>
  <c r="U62" i="3" s="1"/>
  <c r="V62" i="3"/>
  <c r="T63" i="3"/>
  <c r="U63" i="3" s="1"/>
  <c r="V63" i="3"/>
  <c r="R78" i="3"/>
  <c r="R81" i="3"/>
  <c r="O83" i="3"/>
  <c r="V83" i="3"/>
  <c r="T84" i="3"/>
  <c r="V84" i="3"/>
  <c r="T86" i="3"/>
  <c r="U86" i="3" s="1"/>
  <c r="V86" i="3"/>
  <c r="R112" i="3"/>
  <c r="T112" i="3"/>
  <c r="U112" i="3" s="1"/>
  <c r="V112" i="3"/>
  <c r="R113" i="3"/>
  <c r="R115" i="3"/>
  <c r="O116" i="3"/>
  <c r="V116" i="3"/>
  <c r="R117" i="3"/>
  <c r="R118" i="3"/>
  <c r="T119" i="3"/>
  <c r="U119" i="3" s="1"/>
  <c r="R121" i="3"/>
  <c r="T124" i="3"/>
  <c r="U124" i="3" s="1"/>
  <c r="V124" i="3"/>
  <c r="R125" i="3"/>
  <c r="R127" i="3"/>
  <c r="T131" i="3"/>
  <c r="U131" i="3" s="1"/>
  <c r="V131" i="3"/>
  <c r="R133" i="3"/>
  <c r="T133" i="3"/>
  <c r="U133" i="3" s="1"/>
  <c r="V133" i="3"/>
  <c r="T135" i="3"/>
  <c r="U135" i="3" s="1"/>
  <c r="V135" i="3"/>
  <c r="O137" i="3"/>
  <c r="R137" i="3"/>
  <c r="O140" i="3"/>
  <c r="O141" i="3"/>
  <c r="O142" i="3"/>
  <c r="R147" i="3"/>
  <c r="T147" i="3"/>
  <c r="U147" i="3" s="1"/>
  <c r="V147" i="3"/>
  <c r="R163" i="3"/>
  <c r="R167" i="3"/>
  <c r="O170" i="3"/>
  <c r="R40" i="3"/>
  <c r="T48" i="3"/>
  <c r="U48" i="3" s="1"/>
  <c r="T50" i="3"/>
  <c r="U50" i="3" s="1"/>
  <c r="T58" i="3"/>
  <c r="O60" i="3"/>
  <c r="R61" i="3"/>
  <c r="T61" i="3"/>
  <c r="U61" i="3" s="1"/>
  <c r="V61" i="3"/>
  <c r="O63" i="3"/>
  <c r="U78" i="3"/>
  <c r="U81" i="3"/>
  <c r="O86" i="3"/>
  <c r="R86" i="3"/>
  <c r="R87" i="3"/>
  <c r="O113" i="3"/>
  <c r="U113" i="3"/>
  <c r="V113" i="3"/>
  <c r="R114" i="3"/>
  <c r="V115" i="3"/>
  <c r="R116" i="3"/>
  <c r="V118" i="3"/>
  <c r="R119" i="3"/>
  <c r="V119" i="3"/>
  <c r="R120" i="3"/>
  <c r="T120" i="3"/>
  <c r="U120" i="3" s="1"/>
  <c r="V120" i="3"/>
  <c r="O121" i="3"/>
  <c r="T121" i="3"/>
  <c r="U121" i="3" s="1"/>
  <c r="V121" i="3"/>
  <c r="T122" i="3"/>
  <c r="U122" i="3" s="1"/>
  <c r="V122" i="3"/>
  <c r="O123" i="3"/>
  <c r="T123" i="3"/>
  <c r="U123" i="3" s="1"/>
  <c r="V123" i="3"/>
  <c r="O125" i="3"/>
  <c r="T125" i="3"/>
  <c r="U125" i="3" s="1"/>
  <c r="V125" i="3"/>
  <c r="R126" i="3"/>
  <c r="O129" i="3"/>
  <c r="T129" i="3"/>
  <c r="U129" i="3" s="1"/>
  <c r="O130" i="3"/>
  <c r="T134" i="3"/>
  <c r="U134" i="3" s="1"/>
  <c r="O135" i="3"/>
  <c r="O136" i="3"/>
  <c r="R142" i="3"/>
  <c r="T142" i="3"/>
  <c r="U142" i="3" s="1"/>
  <c r="V142" i="3"/>
  <c r="O144" i="3"/>
  <c r="O146" i="3"/>
  <c r="R148" i="3"/>
  <c r="R149" i="3"/>
  <c r="T149" i="3"/>
  <c r="U149" i="3" s="1"/>
  <c r="V149" i="3"/>
  <c r="O160" i="3"/>
  <c r="R160" i="3"/>
  <c r="O161" i="3"/>
  <c r="R164" i="3"/>
  <c r="O167" i="3"/>
  <c r="T169" i="3"/>
  <c r="U169" i="3" s="1"/>
  <c r="V169" i="3"/>
  <c r="R170" i="3"/>
  <c r="R111" i="3"/>
  <c r="R150" i="3"/>
  <c r="T150" i="3"/>
  <c r="U150" i="3" s="1"/>
  <c r="V150" i="3"/>
  <c r="O162" i="3"/>
  <c r="O164" i="3"/>
  <c r="O165" i="3"/>
  <c r="T168" i="3"/>
  <c r="U168" i="3" s="1"/>
  <c r="R169" i="3"/>
  <c r="T170" i="3"/>
  <c r="U170" i="3" s="1"/>
  <c r="D6" i="3"/>
  <c r="L6" i="3"/>
  <c r="D7" i="3"/>
  <c r="J7" i="3"/>
  <c r="D8" i="3"/>
  <c r="L8" i="3"/>
  <c r="D9" i="3"/>
  <c r="L9" i="3"/>
  <c r="X9" i="3"/>
  <c r="L10" i="3"/>
  <c r="R10" i="3"/>
  <c r="L11" i="3"/>
  <c r="X11" i="3"/>
  <c r="X12" i="3"/>
  <c r="L13" i="3"/>
  <c r="R14" i="3"/>
  <c r="L15" i="3"/>
  <c r="R15" i="3"/>
  <c r="X15" i="3"/>
  <c r="J16" i="3"/>
  <c r="L16" i="3"/>
  <c r="O16" i="3"/>
  <c r="L17" i="3"/>
  <c r="R18" i="3"/>
  <c r="X18" i="3"/>
  <c r="D19" i="3"/>
  <c r="X19" i="3"/>
  <c r="R20" i="3"/>
  <c r="D21" i="3"/>
  <c r="H21" i="3"/>
  <c r="T21" i="3" s="1"/>
  <c r="J21" i="3"/>
  <c r="L21" i="3"/>
  <c r="X22" i="3"/>
  <c r="D23" i="3"/>
  <c r="L23" i="3"/>
  <c r="X23" i="3"/>
  <c r="J24" i="3"/>
  <c r="R24" i="3"/>
  <c r="R25" i="3"/>
  <c r="D26" i="3"/>
  <c r="X26" i="3"/>
  <c r="D28" i="3"/>
  <c r="R29" i="3"/>
  <c r="X50" i="3"/>
  <c r="H51" i="3"/>
  <c r="T51" i="3" s="1"/>
  <c r="J51" i="3"/>
  <c r="R51" i="3"/>
  <c r="H52" i="3"/>
  <c r="T52" i="3" s="1"/>
  <c r="J52" i="3"/>
  <c r="H53" i="3"/>
  <c r="T53" i="3" s="1"/>
  <c r="J53" i="3"/>
  <c r="L53" i="3"/>
  <c r="O64" i="3"/>
  <c r="R64" i="3"/>
  <c r="O67" i="3"/>
  <c r="D68" i="3"/>
  <c r="R70" i="3"/>
  <c r="X71" i="3"/>
  <c r="O72" i="3"/>
  <c r="T72" i="3"/>
  <c r="R73" i="3"/>
  <c r="D74" i="3"/>
  <c r="H74" i="3"/>
  <c r="T74" i="3" s="1"/>
  <c r="J74" i="3"/>
  <c r="L74" i="3"/>
  <c r="D75" i="3"/>
  <c r="X75" i="3"/>
  <c r="O76" i="3"/>
  <c r="H77" i="3"/>
  <c r="T77" i="3" s="1"/>
  <c r="J77" i="3"/>
  <c r="X89" i="3"/>
  <c r="O92" i="3"/>
  <c r="R92" i="3"/>
  <c r="D95" i="3"/>
  <c r="R95" i="3"/>
  <c r="D96" i="3"/>
  <c r="D97" i="3"/>
  <c r="H98" i="3"/>
  <c r="T98" i="3" s="1"/>
  <c r="J98" i="3"/>
  <c r="L98" i="3"/>
  <c r="O99" i="3"/>
  <c r="O101" i="3"/>
  <c r="D30" i="3"/>
  <c r="L30" i="3"/>
  <c r="D31" i="3"/>
  <c r="I31" i="3"/>
  <c r="L31" i="3"/>
  <c r="D32" i="3"/>
  <c r="L32" i="3"/>
  <c r="D33" i="3"/>
  <c r="L33" i="3"/>
  <c r="D34" i="3"/>
  <c r="L34" i="3"/>
  <c r="D35" i="3"/>
  <c r="L35" i="3"/>
  <c r="D36" i="3"/>
  <c r="L36" i="3"/>
  <c r="D37" i="3"/>
  <c r="L37" i="3"/>
  <c r="D38" i="3"/>
  <c r="L38" i="3"/>
  <c r="D39" i="3"/>
  <c r="L39" i="3"/>
  <c r="D40" i="3"/>
  <c r="L40" i="3"/>
  <c r="D41" i="3"/>
  <c r="L41" i="3"/>
  <c r="D42" i="3"/>
  <c r="L42" i="3"/>
  <c r="D43" i="3"/>
  <c r="L43" i="3"/>
  <c r="D44" i="3"/>
  <c r="L44" i="3"/>
  <c r="D45" i="3"/>
  <c r="L45" i="3"/>
  <c r="D46" i="3"/>
  <c r="L46" i="3"/>
  <c r="D47" i="3"/>
  <c r="L47" i="3"/>
  <c r="R47" i="3"/>
  <c r="X47" i="3"/>
  <c r="D48" i="3"/>
  <c r="L48" i="3"/>
  <c r="D49" i="3"/>
  <c r="L49" i="3"/>
  <c r="D50" i="3"/>
  <c r="L50" i="3"/>
  <c r="L51" i="3"/>
  <c r="R53" i="3"/>
  <c r="H64" i="3"/>
  <c r="T64" i="3" s="1"/>
  <c r="J64" i="3"/>
  <c r="D65" i="3"/>
  <c r="X65" i="3"/>
  <c r="R66" i="3"/>
  <c r="D67" i="3"/>
  <c r="J70" i="3"/>
  <c r="O70" i="3"/>
  <c r="H71" i="3"/>
  <c r="T71" i="3" s="1"/>
  <c r="J71" i="3"/>
  <c r="L71" i="3"/>
  <c r="O71" i="3"/>
  <c r="D72" i="3"/>
  <c r="D73" i="3"/>
  <c r="X74" i="3"/>
  <c r="H75" i="3"/>
  <c r="T75" i="3" s="1"/>
  <c r="D77" i="3"/>
  <c r="O77" i="3"/>
  <c r="R88" i="3"/>
  <c r="R89" i="3"/>
  <c r="D91" i="3"/>
  <c r="H91" i="3"/>
  <c r="T91" i="3" s="1"/>
  <c r="J91" i="3"/>
  <c r="D92" i="3"/>
  <c r="J93" i="3"/>
  <c r="H94" i="3"/>
  <c r="T94" i="3" s="1"/>
  <c r="J94" i="3"/>
  <c r="L94" i="3"/>
  <c r="H96" i="3"/>
  <c r="T96" i="3" s="1"/>
  <c r="U96" i="3"/>
  <c r="R97" i="3"/>
  <c r="D98" i="3"/>
  <c r="L99" i="3"/>
  <c r="H100" i="3"/>
  <c r="T100" i="3" s="1"/>
  <c r="R100" i="3"/>
  <c r="H101" i="3"/>
  <c r="T101" i="3" s="1"/>
  <c r="J101" i="3"/>
  <c r="D54" i="3"/>
  <c r="I54" i="3"/>
  <c r="L54" i="3"/>
  <c r="D55" i="3"/>
  <c r="L55" i="3"/>
  <c r="D56" i="3"/>
  <c r="L56" i="3"/>
  <c r="X56" i="3"/>
  <c r="D57" i="3"/>
  <c r="L57" i="3"/>
  <c r="X57" i="3"/>
  <c r="D58" i="3"/>
  <c r="L58" i="3"/>
  <c r="X58" i="3"/>
  <c r="D59" i="3"/>
  <c r="L59" i="3"/>
  <c r="D60" i="3"/>
  <c r="L60" i="3"/>
  <c r="D61" i="3"/>
  <c r="L61" i="3"/>
  <c r="D62" i="3"/>
  <c r="L62" i="3"/>
  <c r="D63" i="3"/>
  <c r="L63" i="3"/>
  <c r="X64" i="3"/>
  <c r="H67" i="3"/>
  <c r="T67" i="3" s="1"/>
  <c r="J67" i="3"/>
  <c r="J68" i="3"/>
  <c r="J69" i="3"/>
  <c r="L69" i="3"/>
  <c r="X69" i="3"/>
  <c r="D70" i="3"/>
  <c r="H73" i="3"/>
  <c r="T73" i="3" s="1"/>
  <c r="J73" i="3"/>
  <c r="X73" i="3"/>
  <c r="R76" i="3"/>
  <c r="L77" i="3"/>
  <c r="D88" i="3"/>
  <c r="T89" i="3"/>
  <c r="O90" i="3"/>
  <c r="X91" i="3"/>
  <c r="D94" i="3"/>
  <c r="O97" i="3"/>
  <c r="O98" i="3"/>
  <c r="D100" i="3"/>
  <c r="D78" i="3"/>
  <c r="L78" i="3"/>
  <c r="D79" i="3"/>
  <c r="L79" i="3"/>
  <c r="X79" i="3"/>
  <c r="D80" i="3"/>
  <c r="L80" i="3"/>
  <c r="R80" i="3"/>
  <c r="D81" i="3"/>
  <c r="L81" i="3"/>
  <c r="D82" i="3"/>
  <c r="L82" i="3"/>
  <c r="D83" i="3"/>
  <c r="L83" i="3"/>
  <c r="D84" i="3"/>
  <c r="L84" i="3"/>
  <c r="X84" i="3"/>
  <c r="D85" i="3"/>
  <c r="L85" i="3"/>
  <c r="R85" i="3"/>
  <c r="X85" i="3"/>
  <c r="D86" i="3"/>
  <c r="L86" i="3"/>
  <c r="D87" i="3"/>
  <c r="L87" i="3"/>
  <c r="O88" i="3"/>
  <c r="L89" i="3"/>
  <c r="O89" i="3"/>
  <c r="L91" i="3"/>
  <c r="O91" i="3"/>
  <c r="R91" i="3"/>
  <c r="H92" i="3"/>
  <c r="T92" i="3" s="1"/>
  <c r="J92" i="3"/>
  <c r="H93" i="3"/>
  <c r="T93" i="3" s="1"/>
  <c r="X93" i="3"/>
  <c r="H95" i="3"/>
  <c r="T95" i="3" s="1"/>
  <c r="J95" i="3"/>
  <c r="X95" i="3"/>
  <c r="R96" i="3"/>
  <c r="X98" i="3"/>
  <c r="H99" i="3"/>
  <c r="T99" i="3" s="1"/>
  <c r="J99" i="3"/>
  <c r="O100" i="3"/>
  <c r="R101" i="3"/>
  <c r="D102" i="3"/>
  <c r="I102" i="3"/>
  <c r="L102" i="3"/>
  <c r="D103" i="3"/>
  <c r="I103" i="3"/>
  <c r="L103" i="3"/>
  <c r="D104" i="3"/>
  <c r="I104" i="3"/>
  <c r="L104" i="3"/>
  <c r="D105" i="3"/>
  <c r="I105" i="3"/>
  <c r="L105" i="3"/>
  <c r="D106" i="3"/>
  <c r="I106" i="3"/>
  <c r="L106" i="3"/>
  <c r="D107" i="3"/>
  <c r="I107" i="3"/>
  <c r="L107" i="3"/>
  <c r="D108" i="3"/>
  <c r="L108" i="3"/>
  <c r="D109" i="3"/>
  <c r="L109" i="3"/>
  <c r="D110" i="3"/>
  <c r="L110" i="3"/>
  <c r="D111" i="3"/>
  <c r="L111" i="3"/>
  <c r="D112" i="3"/>
  <c r="L112" i="3"/>
  <c r="D113" i="3"/>
  <c r="L113" i="3"/>
  <c r="D114" i="3"/>
  <c r="L114" i="3"/>
  <c r="D115" i="3"/>
  <c r="L115" i="3"/>
  <c r="D116" i="3"/>
  <c r="L116" i="3"/>
  <c r="D117" i="3"/>
  <c r="L117" i="3"/>
  <c r="D118" i="3"/>
  <c r="L118" i="3"/>
  <c r="D119" i="3"/>
  <c r="L119" i="3"/>
  <c r="D120" i="3"/>
  <c r="L120" i="3"/>
  <c r="D121" i="3"/>
  <c r="L121" i="3"/>
  <c r="D122" i="3"/>
  <c r="L122" i="3"/>
  <c r="D123" i="3"/>
  <c r="L123" i="3"/>
  <c r="D124" i="3"/>
  <c r="L124" i="3"/>
  <c r="D125" i="3"/>
  <c r="L125" i="3"/>
  <c r="D29" i="3"/>
  <c r="H29" i="3"/>
  <c r="T29" i="3" s="1"/>
  <c r="O29" i="3"/>
  <c r="X51" i="3"/>
  <c r="O52" i="3"/>
  <c r="D53" i="3"/>
  <c r="X63" i="3"/>
  <c r="D64" i="3"/>
  <c r="H65" i="3"/>
  <c r="T65" i="3" s="1"/>
  <c r="J65" i="3"/>
  <c r="L65" i="3"/>
  <c r="R65" i="3"/>
  <c r="O66" i="3"/>
  <c r="H68" i="3"/>
  <c r="T68" i="3" s="1"/>
  <c r="L68" i="3"/>
  <c r="R68" i="3"/>
  <c r="D69" i="3"/>
  <c r="H69" i="3"/>
  <c r="T69" i="3" s="1"/>
  <c r="O69" i="3"/>
  <c r="R69" i="3"/>
  <c r="D71" i="3"/>
  <c r="O74" i="3"/>
  <c r="O75" i="3"/>
  <c r="R75" i="3"/>
  <c r="D76" i="3"/>
  <c r="R77" i="3"/>
  <c r="H88" i="3"/>
  <c r="T88" i="3" s="1"/>
  <c r="J88" i="3"/>
  <c r="L88" i="3"/>
  <c r="D90" i="3"/>
  <c r="X90" i="3"/>
  <c r="L92" i="3"/>
  <c r="L93" i="3"/>
  <c r="O95" i="3"/>
  <c r="O96" i="3"/>
  <c r="X96" i="3"/>
  <c r="H97" i="3"/>
  <c r="T97" i="3" s="1"/>
  <c r="J97" i="3"/>
  <c r="X99" i="3"/>
  <c r="D101" i="3"/>
  <c r="D126" i="3"/>
  <c r="L126" i="3"/>
  <c r="D127" i="3"/>
  <c r="I127" i="3"/>
  <c r="L127" i="3"/>
  <c r="D128" i="3"/>
  <c r="L128" i="3"/>
  <c r="D129" i="3"/>
  <c r="L129" i="3"/>
  <c r="D130" i="3"/>
  <c r="L130" i="3"/>
  <c r="D131" i="3"/>
  <c r="L131" i="3"/>
  <c r="D132" i="3"/>
  <c r="L132" i="3"/>
  <c r="D133" i="3"/>
  <c r="L133" i="3"/>
  <c r="D134" i="3"/>
  <c r="L134" i="3"/>
  <c r="D135" i="3"/>
  <c r="L135" i="3"/>
  <c r="D136" i="3"/>
  <c r="L136" i="3"/>
  <c r="D137" i="3"/>
  <c r="L137" i="3"/>
  <c r="D138" i="3"/>
  <c r="I138" i="3"/>
  <c r="L138" i="3"/>
  <c r="D139" i="3"/>
  <c r="L139" i="3"/>
  <c r="D140" i="3"/>
  <c r="L140" i="3"/>
  <c r="D141" i="3"/>
  <c r="I141" i="3"/>
  <c r="L141" i="3"/>
  <c r="D142" i="3"/>
  <c r="L142" i="3"/>
  <c r="D143" i="3"/>
  <c r="L143" i="3"/>
  <c r="D144" i="3"/>
  <c r="L144" i="3"/>
  <c r="D145" i="3"/>
  <c r="L145" i="3"/>
  <c r="D146" i="3"/>
  <c r="L146" i="3"/>
  <c r="D147" i="3"/>
  <c r="L147" i="3"/>
  <c r="D148" i="3"/>
  <c r="L148" i="3"/>
  <c r="D149" i="3"/>
  <c r="L149" i="3"/>
  <c r="D10" i="3"/>
  <c r="X10" i="3"/>
  <c r="D11" i="3"/>
  <c r="O11" i="3"/>
  <c r="J12" i="3"/>
  <c r="O12" i="3"/>
  <c r="D13" i="3"/>
  <c r="H13" i="3"/>
  <c r="T13" i="3" s="1"/>
  <c r="J13" i="3"/>
  <c r="X13" i="3"/>
  <c r="J14" i="3"/>
  <c r="O14" i="3"/>
  <c r="T14" i="3"/>
  <c r="X14" i="3"/>
  <c r="D15" i="3"/>
  <c r="H15" i="3"/>
  <c r="T15" i="3" s="1"/>
  <c r="J15" i="3"/>
  <c r="D16" i="3"/>
  <c r="R16" i="3"/>
  <c r="X17" i="3"/>
  <c r="O18" i="3"/>
  <c r="J19" i="3"/>
  <c r="D20" i="3"/>
  <c r="O20" i="3"/>
  <c r="U21" i="3"/>
  <c r="D22" i="3"/>
  <c r="J22" i="3"/>
  <c r="L22" i="3"/>
  <c r="O22" i="3"/>
  <c r="J23" i="3"/>
  <c r="O23" i="3"/>
  <c r="O24" i="3"/>
  <c r="X24" i="3"/>
  <c r="D25" i="3"/>
  <c r="L25" i="3"/>
  <c r="O26" i="3"/>
  <c r="J27" i="3"/>
  <c r="O27" i="3"/>
  <c r="R27" i="3"/>
  <c r="X27" i="3"/>
  <c r="H28" i="3"/>
  <c r="T28" i="3" s="1"/>
  <c r="L28" i="3"/>
  <c r="R28" i="3"/>
  <c r="J29" i="3"/>
  <c r="D51" i="3"/>
  <c r="O51" i="3"/>
  <c r="L52" i="3"/>
  <c r="X52" i="3"/>
  <c r="X53" i="3"/>
  <c r="U69" i="3"/>
  <c r="L76" i="3"/>
  <c r="X76" i="3"/>
  <c r="X77" i="3"/>
  <c r="X88" i="3"/>
  <c r="D89" i="3"/>
  <c r="H90" i="3"/>
  <c r="T90" i="3" s="1"/>
  <c r="J90" i="3"/>
  <c r="R90" i="3"/>
  <c r="X92" i="3"/>
  <c r="D93" i="3"/>
  <c r="O93" i="3"/>
  <c r="O94" i="3"/>
  <c r="L95" i="3"/>
  <c r="L96" i="3"/>
  <c r="L97" i="3"/>
  <c r="R98" i="3"/>
  <c r="D99" i="3"/>
  <c r="J100" i="3"/>
  <c r="L100" i="3"/>
  <c r="X100" i="3"/>
  <c r="L101" i="3"/>
  <c r="X101" i="3"/>
  <c r="D150" i="3"/>
  <c r="I150" i="3"/>
  <c r="L150" i="3"/>
  <c r="D151" i="3"/>
  <c r="L151" i="3"/>
  <c r="D152" i="3"/>
  <c r="I152" i="3"/>
  <c r="L152" i="3"/>
  <c r="D153" i="3"/>
  <c r="I153" i="3"/>
  <c r="L153" i="3"/>
  <c r="D154" i="3"/>
  <c r="L154" i="3"/>
  <c r="D155" i="3"/>
  <c r="I155" i="3"/>
  <c r="L155" i="3"/>
  <c r="D156" i="3"/>
  <c r="L156" i="3"/>
  <c r="D157" i="3"/>
  <c r="L157" i="3"/>
  <c r="D158" i="3"/>
  <c r="I158" i="3"/>
  <c r="L158" i="3"/>
  <c r="D159" i="3"/>
  <c r="I159" i="3"/>
  <c r="L159" i="3"/>
  <c r="D160" i="3"/>
  <c r="L160" i="3"/>
  <c r="D161" i="3"/>
  <c r="L161" i="3"/>
  <c r="D162" i="3"/>
  <c r="L162" i="3"/>
  <c r="D163" i="3"/>
  <c r="I163" i="3"/>
  <c r="L163" i="3"/>
  <c r="D164" i="3"/>
  <c r="L164" i="3"/>
  <c r="D165" i="3"/>
  <c r="I165" i="3"/>
  <c r="L165" i="3"/>
  <c r="D166" i="3"/>
  <c r="I166" i="3"/>
  <c r="L166" i="3"/>
  <c r="D167" i="3"/>
  <c r="L167" i="3"/>
  <c r="D168" i="3"/>
  <c r="I168" i="3"/>
  <c r="L168" i="3"/>
  <c r="D169" i="3"/>
  <c r="L169" i="3"/>
  <c r="D170" i="3"/>
  <c r="L170" i="3"/>
  <c r="X170" i="3"/>
  <c r="I10" i="3"/>
  <c r="R11" i="3"/>
  <c r="T11" i="3"/>
  <c r="V11" i="3"/>
  <c r="D12" i="3"/>
  <c r="L12" i="3"/>
  <c r="R12" i="3"/>
  <c r="O13" i="3"/>
  <c r="D14" i="3"/>
  <c r="L14" i="3"/>
  <c r="X16" i="3"/>
  <c r="D17" i="3"/>
  <c r="J17" i="3"/>
  <c r="O17" i="3"/>
  <c r="R17" i="3"/>
  <c r="T17" i="3"/>
  <c r="D18" i="3"/>
  <c r="H18" i="3"/>
  <c r="T18" i="3" s="1"/>
  <c r="J18" i="3"/>
  <c r="L18" i="3"/>
  <c r="L19" i="3"/>
  <c r="O19" i="3"/>
  <c r="R19" i="3"/>
  <c r="J20" i="3"/>
  <c r="L20" i="3"/>
  <c r="X20" i="3"/>
  <c r="O21" i="3"/>
  <c r="X21" i="3"/>
  <c r="R23" i="3"/>
  <c r="D24" i="3"/>
  <c r="L24" i="3"/>
  <c r="J25" i="3"/>
  <c r="O25" i="3"/>
  <c r="X25" i="3"/>
  <c r="I26" i="3"/>
  <c r="L26" i="3"/>
  <c r="R26" i="3"/>
  <c r="D27" i="3"/>
  <c r="L27" i="3"/>
  <c r="T27" i="3"/>
  <c r="X28" i="3"/>
  <c r="X29" i="3"/>
  <c r="D52" i="3"/>
  <c r="R52" i="3"/>
  <c r="O53" i="3"/>
  <c r="L64" i="3"/>
  <c r="O65" i="3"/>
  <c r="D66" i="3"/>
  <c r="H66" i="3"/>
  <c r="T66" i="3" s="1"/>
  <c r="J66" i="3"/>
  <c r="L66" i="3"/>
  <c r="X66" i="3"/>
  <c r="L67" i="3"/>
  <c r="X67" i="3"/>
  <c r="O68" i="3"/>
  <c r="X68" i="3"/>
  <c r="H70" i="3"/>
  <c r="T70" i="3" s="1"/>
  <c r="L70" i="3"/>
  <c r="X70" i="3"/>
  <c r="R71" i="3"/>
  <c r="J72" i="3"/>
  <c r="L72" i="3"/>
  <c r="R72" i="3"/>
  <c r="X72" i="3"/>
  <c r="L73" i="3"/>
  <c r="O73" i="3"/>
  <c r="R74" i="3"/>
  <c r="J75" i="3"/>
  <c r="L75" i="3"/>
  <c r="H76" i="3"/>
  <c r="T76" i="3" s="1"/>
  <c r="J76" i="3"/>
  <c r="J89" i="3"/>
  <c r="L90" i="3"/>
  <c r="R93" i="3"/>
  <c r="R94" i="3"/>
  <c r="X94" i="3"/>
  <c r="J96" i="3"/>
  <c r="X97" i="3"/>
  <c r="R99" i="3"/>
  <c r="L7" i="3"/>
  <c r="O7" i="3"/>
  <c r="R7" i="3"/>
  <c r="X7" i="3"/>
  <c r="D169" i="5"/>
  <c r="C26" i="5"/>
  <c r="D26" i="5" s="1"/>
  <c r="E26" i="5"/>
  <c r="C88" i="5"/>
  <c r="D88" i="5" s="1"/>
  <c r="E88" i="5"/>
  <c r="C129" i="5"/>
  <c r="D129" i="5" s="1"/>
  <c r="E129" i="5"/>
  <c r="C24" i="25"/>
  <c r="F23" i="25"/>
  <c r="C23" i="25"/>
  <c r="A23" i="25"/>
  <c r="A24" i="25" s="1"/>
  <c r="C19" i="25"/>
  <c r="C20" i="25"/>
  <c r="A21" i="25"/>
  <c r="A19" i="25"/>
  <c r="A20" i="25"/>
  <c r="A180" i="22"/>
  <c r="N143" i="22"/>
  <c r="N144" i="22"/>
  <c r="N145" i="22"/>
  <c r="N146" i="22"/>
  <c r="N147" i="22"/>
  <c r="N148" i="22"/>
  <c r="N149" i="22"/>
  <c r="N150" i="22"/>
  <c r="N151" i="22"/>
  <c r="N152" i="22"/>
  <c r="N105" i="22"/>
  <c r="R12" i="4"/>
  <c r="R13" i="4"/>
  <c r="R15" i="4"/>
  <c r="Q114" i="17" l="1"/>
  <c r="Q143" i="17"/>
  <c r="Q142" i="17"/>
  <c r="Q112" i="17"/>
  <c r="Q102" i="17"/>
  <c r="Q141" i="17"/>
  <c r="Q88" i="17"/>
  <c r="Q89" i="17"/>
  <c r="Q101" i="17"/>
  <c r="Q137" i="17"/>
  <c r="Q109" i="17"/>
  <c r="Q98" i="17"/>
  <c r="Q110" i="17"/>
  <c r="P90" i="17"/>
  <c r="Q90" i="17" s="1"/>
  <c r="P5" i="17"/>
  <c r="P9" i="17"/>
  <c r="P36" i="17"/>
  <c r="Q103" i="17"/>
  <c r="Q111" i="17"/>
  <c r="Q87" i="17"/>
  <c r="Q133" i="17"/>
  <c r="Q100" i="17"/>
  <c r="Q85" i="17"/>
  <c r="Q99" i="17"/>
  <c r="Q86" i="17"/>
  <c r="Q139" i="17"/>
  <c r="Q127" i="17"/>
  <c r="Q115" i="17"/>
  <c r="Q104" i="17"/>
  <c r="Q92" i="17"/>
  <c r="P64" i="17"/>
  <c r="Q64" i="17" s="1"/>
  <c r="Q43" i="17"/>
  <c r="Q34" i="17"/>
  <c r="Q24" i="17"/>
  <c r="Q15" i="17"/>
  <c r="Q125" i="17"/>
  <c r="Q83" i="17"/>
  <c r="Q113" i="17"/>
  <c r="Q95" i="17"/>
  <c r="Q107" i="17"/>
  <c r="Q96" i="17"/>
  <c r="P108" i="17"/>
  <c r="Q108" i="17" s="1"/>
  <c r="Q58" i="17"/>
  <c r="Q82" i="17"/>
  <c r="Q94" i="17"/>
  <c r="Q97" i="17"/>
  <c r="Q81" i="17"/>
  <c r="Q91" i="17"/>
  <c r="Q120" i="17"/>
  <c r="Q45" i="17"/>
  <c r="Q61" i="17"/>
  <c r="Q13" i="17"/>
  <c r="Q55" i="17"/>
  <c r="Q11" i="17"/>
  <c r="Q54" i="17"/>
  <c r="Q60" i="17"/>
  <c r="Q59" i="17"/>
  <c r="Q67" i="17"/>
  <c r="Q5" i="17"/>
  <c r="Q71" i="17"/>
  <c r="Q66" i="17"/>
  <c r="Q72" i="17"/>
  <c r="Q9" i="17"/>
  <c r="Q26" i="17"/>
  <c r="Q51" i="17"/>
  <c r="Q68" i="17"/>
  <c r="Q57" i="17"/>
  <c r="Q40" i="17"/>
  <c r="Q48" i="17"/>
  <c r="Q14" i="17"/>
  <c r="Q62" i="17"/>
  <c r="P63" i="17"/>
  <c r="Q63" i="17" s="1"/>
  <c r="Q30" i="17"/>
  <c r="Q21" i="17"/>
  <c r="Q27" i="17"/>
  <c r="Q7" i="17"/>
  <c r="Q46" i="17"/>
  <c r="Q52" i="17"/>
  <c r="Q56" i="17"/>
  <c r="Q20" i="17"/>
  <c r="Q37" i="17"/>
  <c r="Q70" i="17"/>
  <c r="Q32" i="17"/>
  <c r="Q8" i="17"/>
  <c r="Q17" i="17"/>
  <c r="Q23" i="17"/>
  <c r="Q22" i="17"/>
  <c r="Q28" i="17"/>
  <c r="Q42" i="17"/>
  <c r="Q50" i="17"/>
  <c r="Q79" i="17"/>
  <c r="Q31" i="17"/>
  <c r="Q47" i="17"/>
  <c r="Q12" i="17"/>
  <c r="Q69" i="17"/>
  <c r="Q49" i="17"/>
  <c r="Q19" i="17"/>
  <c r="Q38" i="17"/>
  <c r="Q10" i="17"/>
  <c r="Q18" i="17"/>
  <c r="Q78" i="17"/>
  <c r="Q33" i="17"/>
  <c r="Q41" i="17"/>
  <c r="Q77" i="17"/>
  <c r="Q80" i="17"/>
  <c r="Q73" i="17"/>
  <c r="Q29" i="17"/>
  <c r="Q39" i="17"/>
  <c r="Q36" i="17"/>
  <c r="Q76" i="17"/>
  <c r="K10" i="20"/>
  <c r="K7" i="20"/>
  <c r="L7" i="20" s="1"/>
  <c r="K14" i="20"/>
  <c r="L14" i="20" s="1"/>
  <c r="K13" i="20"/>
  <c r="L13" i="20" s="1"/>
  <c r="I36" i="3"/>
  <c r="I47" i="3"/>
  <c r="I59" i="3"/>
  <c r="I61" i="3"/>
  <c r="I78" i="3"/>
  <c r="I80" i="3"/>
  <c r="I81" i="3"/>
  <c r="I83" i="3"/>
  <c r="I85" i="3"/>
  <c r="I133" i="3"/>
  <c r="I110" i="3"/>
  <c r="I115" i="3"/>
  <c r="I121" i="3"/>
  <c r="I124" i="3"/>
  <c r="V28" i="3"/>
  <c r="I140" i="3"/>
  <c r="I145" i="3"/>
  <c r="I11" i="3"/>
  <c r="I126" i="3"/>
  <c r="I128" i="3"/>
  <c r="I135" i="3"/>
  <c r="I136" i="3"/>
  <c r="I147" i="3"/>
  <c r="I148" i="3"/>
  <c r="U179" i="3"/>
  <c r="I179" i="3"/>
  <c r="V179" i="3"/>
  <c r="I8" i="3"/>
  <c r="T16" i="3"/>
  <c r="I37" i="3"/>
  <c r="I39" i="3"/>
  <c r="I46" i="3"/>
  <c r="I48" i="3"/>
  <c r="I62" i="3"/>
  <c r="I63" i="3"/>
  <c r="I79" i="3"/>
  <c r="I82" i="3"/>
  <c r="I84" i="3"/>
  <c r="I86" i="3"/>
  <c r="I87" i="3"/>
  <c r="U99" i="3"/>
  <c r="I111" i="3"/>
  <c r="I112" i="3"/>
  <c r="I113" i="3"/>
  <c r="I116" i="3"/>
  <c r="I118" i="3"/>
  <c r="I119" i="3"/>
  <c r="I120" i="3"/>
  <c r="I123" i="3"/>
  <c r="I125" i="3"/>
  <c r="I142" i="3"/>
  <c r="I143" i="3"/>
  <c r="I146" i="3"/>
  <c r="T20" i="3"/>
  <c r="I151" i="3"/>
  <c r="I167" i="3"/>
  <c r="I169" i="3"/>
  <c r="I170" i="3"/>
  <c r="I6" i="3"/>
  <c r="I30" i="3"/>
  <c r="I40" i="3"/>
  <c r="I41" i="3"/>
  <c r="I43" i="3"/>
  <c r="I44" i="3"/>
  <c r="I57" i="3"/>
  <c r="I58" i="3"/>
  <c r="I60" i="3"/>
  <c r="U80" i="3"/>
  <c r="I108" i="3"/>
  <c r="I122" i="3"/>
  <c r="I130" i="3"/>
  <c r="I131" i="3"/>
  <c r="I134" i="3"/>
  <c r="I139" i="3"/>
  <c r="I149" i="3"/>
  <c r="I154" i="3"/>
  <c r="I157" i="3"/>
  <c r="I164" i="3"/>
  <c r="I9" i="3"/>
  <c r="I32" i="3"/>
  <c r="I33" i="3"/>
  <c r="I34" i="3"/>
  <c r="I35" i="3"/>
  <c r="I38" i="3"/>
  <c r="U38" i="3"/>
  <c r="I42" i="3"/>
  <c r="I45" i="3"/>
  <c r="I49" i="3"/>
  <c r="I50" i="3"/>
  <c r="I55" i="3"/>
  <c r="I56" i="3"/>
  <c r="I109" i="3"/>
  <c r="I114" i="3"/>
  <c r="I117" i="3"/>
  <c r="I129" i="3"/>
  <c r="I132" i="3"/>
  <c r="I137" i="3"/>
  <c r="I144" i="3"/>
  <c r="U19" i="3"/>
  <c r="I156" i="3"/>
  <c r="I160" i="3"/>
  <c r="I161" i="3"/>
  <c r="I162" i="3"/>
  <c r="U47" i="3"/>
  <c r="U9" i="3"/>
  <c r="U23" i="3"/>
  <c r="U56" i="3"/>
  <c r="U26" i="3"/>
  <c r="U74" i="3"/>
  <c r="U57" i="3"/>
  <c r="K11" i="20" s="1"/>
  <c r="L11" i="20" s="1"/>
  <c r="M11" i="20" s="1"/>
  <c r="U58" i="3"/>
  <c r="U79" i="3"/>
  <c r="U84" i="3"/>
  <c r="U85" i="3"/>
  <c r="I7" i="3"/>
  <c r="V7" i="3"/>
  <c r="I16" i="3"/>
  <c r="V16" i="3"/>
  <c r="I21" i="3"/>
  <c r="V21" i="3"/>
  <c r="I24" i="3"/>
  <c r="V24" i="3"/>
  <c r="U51" i="3"/>
  <c r="I51" i="3"/>
  <c r="V51" i="3"/>
  <c r="U52" i="3"/>
  <c r="I52" i="3"/>
  <c r="V52" i="3"/>
  <c r="I53" i="3"/>
  <c r="V53" i="3"/>
  <c r="I74" i="3"/>
  <c r="V74" i="3"/>
  <c r="I77" i="3"/>
  <c r="V77" i="3"/>
  <c r="U98" i="3"/>
  <c r="I98" i="3"/>
  <c r="V98" i="3"/>
  <c r="U64" i="3"/>
  <c r="I64" i="3"/>
  <c r="V64" i="3"/>
  <c r="I70" i="3"/>
  <c r="V70" i="3"/>
  <c r="U71" i="3"/>
  <c r="I71" i="3"/>
  <c r="V71" i="3"/>
  <c r="U91" i="3"/>
  <c r="I91" i="3"/>
  <c r="V91" i="3"/>
  <c r="V93" i="3"/>
  <c r="I93" i="3"/>
  <c r="I94" i="3"/>
  <c r="V94" i="3"/>
  <c r="U100" i="3"/>
  <c r="U101" i="3"/>
  <c r="I101" i="3"/>
  <c r="V101" i="3"/>
  <c r="V67" i="3"/>
  <c r="I67" i="3"/>
  <c r="I68" i="3"/>
  <c r="V68" i="3"/>
  <c r="I69" i="3"/>
  <c r="V69" i="3"/>
  <c r="I73" i="3"/>
  <c r="V73" i="3"/>
  <c r="U89" i="3"/>
  <c r="I92" i="3"/>
  <c r="V92" i="3"/>
  <c r="I95" i="3"/>
  <c r="V95" i="3"/>
  <c r="I99" i="3"/>
  <c r="V99" i="3"/>
  <c r="U65" i="3"/>
  <c r="V65" i="3"/>
  <c r="I65" i="3"/>
  <c r="U68" i="3"/>
  <c r="U88" i="3"/>
  <c r="V88" i="3"/>
  <c r="I88" i="3"/>
  <c r="I97" i="3"/>
  <c r="V97" i="3"/>
  <c r="I12" i="3"/>
  <c r="V12" i="3"/>
  <c r="U13" i="3"/>
  <c r="I13" i="3"/>
  <c r="V13" i="3"/>
  <c r="I14" i="3"/>
  <c r="V14" i="3"/>
  <c r="U14" i="3"/>
  <c r="U15" i="3"/>
  <c r="I15" i="3"/>
  <c r="V15" i="3"/>
  <c r="I19" i="3"/>
  <c r="V19" i="3"/>
  <c r="I22" i="3"/>
  <c r="V22" i="3"/>
  <c r="I23" i="3"/>
  <c r="V23" i="3"/>
  <c r="I27" i="3"/>
  <c r="V27" i="3"/>
  <c r="U28" i="3"/>
  <c r="I29" i="3"/>
  <c r="V29" i="3"/>
  <c r="U90" i="3"/>
  <c r="I90" i="3"/>
  <c r="V90" i="3"/>
  <c r="I100" i="3"/>
  <c r="V100" i="3"/>
  <c r="U11" i="3"/>
  <c r="I17" i="3"/>
  <c r="V17" i="3"/>
  <c r="U17" i="3"/>
  <c r="U18" i="3"/>
  <c r="I18" i="3"/>
  <c r="V18" i="3"/>
  <c r="I20" i="3"/>
  <c r="V20" i="3"/>
  <c r="I25" i="3"/>
  <c r="V25" i="3"/>
  <c r="U27" i="3"/>
  <c r="I66" i="3"/>
  <c r="V66" i="3"/>
  <c r="U70" i="3"/>
  <c r="I72" i="3"/>
  <c r="V72" i="3"/>
  <c r="I75" i="3"/>
  <c r="V75" i="3"/>
  <c r="U76" i="3"/>
  <c r="I76" i="3"/>
  <c r="V76" i="3"/>
  <c r="I89" i="3"/>
  <c r="V89" i="3"/>
  <c r="I96" i="3"/>
  <c r="V96" i="3"/>
  <c r="I28" i="3"/>
  <c r="U94" i="3"/>
  <c r="U29" i="3"/>
  <c r="U67" i="3"/>
  <c r="U53" i="3"/>
  <c r="T183" i="3"/>
  <c r="U183" i="3" s="1"/>
  <c r="V183" i="3"/>
  <c r="L10" i="20" l="1"/>
  <c r="U16" i="3"/>
  <c r="K5" i="20"/>
  <c r="L5" i="20" s="1"/>
  <c r="M5" i="20" s="1"/>
  <c r="K8" i="20"/>
  <c r="L8" i="20" s="1"/>
  <c r="M8" i="20" s="1"/>
  <c r="K12" i="20"/>
  <c r="L12" i="20" s="1"/>
  <c r="M12" i="20" s="1"/>
  <c r="U95" i="3"/>
  <c r="U20" i="3"/>
  <c r="U24" i="3"/>
  <c r="U77" i="3"/>
  <c r="U93" i="3"/>
  <c r="U25" i="3"/>
  <c r="K16" i="20" s="1"/>
  <c r="L16" i="20" s="1"/>
  <c r="M16" i="20" s="1"/>
  <c r="U92" i="3"/>
  <c r="U75" i="3"/>
  <c r="K15" i="20" s="1"/>
  <c r="L15" i="20" s="1"/>
  <c r="M15" i="20" s="1"/>
  <c r="U66" i="3"/>
  <c r="U73" i="3"/>
  <c r="K17" i="20" s="1"/>
  <c r="L17" i="20" s="1"/>
  <c r="M17" i="20" s="1"/>
  <c r="F177" i="3"/>
  <c r="G177" i="3"/>
  <c r="C180" i="22"/>
  <c r="K6" i="20" l="1"/>
  <c r="L6" i="20" s="1"/>
  <c r="M6" i="20" s="1"/>
  <c r="K9" i="20"/>
  <c r="L9" i="20" s="1"/>
  <c r="M9" i="20" s="1"/>
  <c r="A74" i="17" l="1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Q14" i="4" l="1"/>
  <c r="R14" i="4" s="1"/>
  <c r="O170" i="5" l="1"/>
  <c r="M170" i="5" l="1"/>
  <c r="C179" i="22" l="1"/>
  <c r="E152" i="22"/>
  <c r="BA30" i="15"/>
  <c r="E179" i="22" l="1"/>
  <c r="D179" i="22" l="1"/>
  <c r="D30" i="15" l="1"/>
  <c r="F13" i="37" l="1"/>
  <c r="C14" i="25"/>
  <c r="C13" i="25"/>
  <c r="F12" i="25"/>
  <c r="F14" i="25" s="1"/>
  <c r="C12" i="25"/>
  <c r="C11" i="25"/>
  <c r="C10" i="25"/>
  <c r="C9" i="25"/>
  <c r="F8" i="25"/>
  <c r="F10" i="25" s="1"/>
  <c r="C8" i="25"/>
  <c r="F13" i="25" l="1"/>
  <c r="F11" i="25"/>
  <c r="F9" i="25"/>
  <c r="A178" i="3" l="1"/>
  <c r="B178" i="3"/>
  <c r="F178" i="3" l="1"/>
  <c r="G178" i="3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G30" i="15" l="1"/>
  <c r="F30" i="15"/>
  <c r="E30" i="15"/>
  <c r="H30" i="15" l="1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C30" i="15"/>
  <c r="H41" i="24" s="1"/>
  <c r="C174" i="5" l="1"/>
  <c r="C172" i="5"/>
  <c r="M185" i="5"/>
  <c r="C175" i="5"/>
  <c r="C176" i="5"/>
  <c r="O185" i="5"/>
  <c r="F21" i="35"/>
  <c r="A19" i="35"/>
  <c r="C171" i="3" l="1"/>
  <c r="E171" i="3"/>
  <c r="F171" i="3"/>
  <c r="G171" i="3"/>
  <c r="K171" i="3"/>
  <c r="M171" i="3"/>
  <c r="N171" i="3"/>
  <c r="O171" i="3" s="1"/>
  <c r="P171" i="3"/>
  <c r="Q171" i="3"/>
  <c r="R171" i="3" s="1"/>
  <c r="S171" i="3"/>
  <c r="L171" i="3" l="1"/>
  <c r="J171" i="3"/>
  <c r="V171" i="3" s="1"/>
  <c r="H171" i="3"/>
  <c r="T171" i="3" s="1"/>
  <c r="U171" i="3" s="1"/>
  <c r="D171" i="3"/>
  <c r="I171" i="3" l="1"/>
  <c r="A15" i="34" l="1"/>
  <c r="A16" i="34" s="1"/>
  <c r="F12" i="34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2" i="34"/>
  <c r="F8" i="34"/>
  <c r="F10" i="34" s="1"/>
  <c r="F14" i="34" l="1"/>
  <c r="F13" i="34"/>
  <c r="F9" i="34"/>
  <c r="F11" i="34"/>
  <c r="B176" i="3" l="1"/>
  <c r="A176" i="3"/>
  <c r="E181" i="22" l="1"/>
  <c r="D181" i="22"/>
  <c r="E180" i="22"/>
  <c r="D180" i="22"/>
  <c r="N4" i="17"/>
  <c r="AE179" i="3" l="1"/>
  <c r="AC179" i="3"/>
  <c r="AE7" i="3"/>
  <c r="AC10" i="3"/>
  <c r="AD10" i="3" s="1"/>
  <c r="AE11" i="3"/>
  <c r="AE12" i="3"/>
  <c r="AC13" i="3"/>
  <c r="AD13" i="3" s="1"/>
  <c r="AE14" i="3"/>
  <c r="AC20" i="3"/>
  <c r="AC23" i="3"/>
  <c r="AD23" i="3" s="1"/>
  <c r="AE25" i="3"/>
  <c r="AE26" i="3"/>
  <c r="AC28" i="3"/>
  <c r="AD28" i="3" s="1"/>
  <c r="AC30" i="3"/>
  <c r="AD30" i="3" s="1"/>
  <c r="AE31" i="3"/>
  <c r="AC34" i="3"/>
  <c r="AD34" i="3" s="1"/>
  <c r="AC36" i="3"/>
  <c r="AD36" i="3" s="1"/>
  <c r="AC38" i="3"/>
  <c r="AC39" i="3"/>
  <c r="AD39" i="3" s="1"/>
  <c r="AE42" i="3"/>
  <c r="AC44" i="3"/>
  <c r="AD44" i="3" s="1"/>
  <c r="AE46" i="3"/>
  <c r="AE50" i="3"/>
  <c r="AC53" i="3"/>
  <c r="AD53" i="3" s="1"/>
  <c r="AC56" i="3"/>
  <c r="AD56" i="3" s="1"/>
  <c r="AE63" i="3"/>
  <c r="AE64" i="3"/>
  <c r="AC68" i="3"/>
  <c r="AD68" i="3" s="1"/>
  <c r="AC70" i="3"/>
  <c r="AC73" i="3"/>
  <c r="AD73" i="3" s="1"/>
  <c r="AC79" i="3"/>
  <c r="AC81" i="3"/>
  <c r="AD81" i="3" s="1"/>
  <c r="AE83" i="3"/>
  <c r="AC85" i="3"/>
  <c r="AD85" i="3" s="1"/>
  <c r="AC95" i="3"/>
  <c r="AE101" i="3"/>
  <c r="AE103" i="3"/>
  <c r="AC106" i="3"/>
  <c r="AD106" i="3" s="1"/>
  <c r="AE111" i="3"/>
  <c r="AC113" i="3"/>
  <c r="AD113" i="3" s="1"/>
  <c r="AE115" i="3"/>
  <c r="AE121" i="3"/>
  <c r="AC126" i="3"/>
  <c r="AD126" i="3" s="1"/>
  <c r="AE132" i="3"/>
  <c r="AE138" i="3"/>
  <c r="AC140" i="3"/>
  <c r="AD140" i="3" s="1"/>
  <c r="AE141" i="3"/>
  <c r="AE142" i="3"/>
  <c r="AC148" i="3"/>
  <c r="AD148" i="3" s="1"/>
  <c r="AE154" i="3"/>
  <c r="AC160" i="3"/>
  <c r="AD160" i="3" s="1"/>
  <c r="AC162" i="3"/>
  <c r="AD162" i="3" s="1"/>
  <c r="AC164" i="3"/>
  <c r="AD164" i="3" s="1"/>
  <c r="AC166" i="3"/>
  <c r="AD166" i="3" s="1"/>
  <c r="AE6" i="3"/>
  <c r="AC8" i="3"/>
  <c r="AD8" i="3" s="1"/>
  <c r="AC9" i="3"/>
  <c r="AC15" i="3"/>
  <c r="AD15" i="3" s="1"/>
  <c r="AC31" i="3"/>
  <c r="AD31" i="3" s="1"/>
  <c r="AE35" i="3"/>
  <c r="AC37" i="3"/>
  <c r="AD37" i="3" s="1"/>
  <c r="AC41" i="3"/>
  <c r="AD41" i="3" s="1"/>
  <c r="AE44" i="3"/>
  <c r="AC47" i="3"/>
  <c r="AD47" i="3" s="1"/>
  <c r="AE49" i="3"/>
  <c r="AC52" i="3"/>
  <c r="AD52" i="3" s="1"/>
  <c r="AE54" i="3"/>
  <c r="AC57" i="3"/>
  <c r="AE60" i="3"/>
  <c r="AC62" i="3"/>
  <c r="AD62" i="3" s="1"/>
  <c r="AE69" i="3"/>
  <c r="AC75" i="3"/>
  <c r="AD75" i="3" s="1"/>
  <c r="AC78" i="3"/>
  <c r="AD78" i="3" s="1"/>
  <c r="AE82" i="3"/>
  <c r="AC94" i="3"/>
  <c r="AC103" i="3"/>
  <c r="AD103" i="3" s="1"/>
  <c r="AE104" i="3"/>
  <c r="AE114" i="3"/>
  <c r="AE117" i="3"/>
  <c r="AC121" i="3"/>
  <c r="AD121" i="3" s="1"/>
  <c r="AC125" i="3"/>
  <c r="AD125" i="3" s="1"/>
  <c r="AE128" i="3"/>
  <c r="AE130" i="3"/>
  <c r="AC132" i="3"/>
  <c r="AD132" i="3" s="1"/>
  <c r="AC135" i="3"/>
  <c r="AD135" i="3" s="1"/>
  <c r="AE136" i="3"/>
  <c r="AC139" i="3"/>
  <c r="AD139" i="3" s="1"/>
  <c r="AE140" i="3"/>
  <c r="AC142" i="3"/>
  <c r="AD142" i="3" s="1"/>
  <c r="AC144" i="3"/>
  <c r="AD144" i="3" s="1"/>
  <c r="AE156" i="3"/>
  <c r="AC158" i="3"/>
  <c r="AD158" i="3" s="1"/>
  <c r="AE8" i="3"/>
  <c r="AE10" i="3"/>
  <c r="AC12" i="3"/>
  <c r="AD12" i="3" s="1"/>
  <c r="AE13" i="3"/>
  <c r="AE15" i="3"/>
  <c r="AC19" i="3"/>
  <c r="AD19" i="3" s="1"/>
  <c r="AC22" i="3"/>
  <c r="AD22" i="3" s="1"/>
  <c r="AC24" i="3"/>
  <c r="AC26" i="3"/>
  <c r="AD26" i="3" s="1"/>
  <c r="AC29" i="3"/>
  <c r="AD29" i="3" s="1"/>
  <c r="AC33" i="3"/>
  <c r="AD33" i="3" s="1"/>
  <c r="AE38" i="3"/>
  <c r="AE39" i="3"/>
  <c r="AC43" i="3"/>
  <c r="AD43" i="3" s="1"/>
  <c r="AC46" i="3"/>
  <c r="AD46" i="3" s="1"/>
  <c r="AE47" i="3"/>
  <c r="AC49" i="3"/>
  <c r="AD49" i="3" s="1"/>
  <c r="AC51" i="3"/>
  <c r="AD51" i="3" s="1"/>
  <c r="AC55" i="3"/>
  <c r="AD55" i="3" s="1"/>
  <c r="AE59" i="3"/>
  <c r="AC64" i="3"/>
  <c r="AD64" i="3" s="1"/>
  <c r="AC67" i="3"/>
  <c r="AD67" i="3" s="1"/>
  <c r="AC69" i="3"/>
  <c r="AD69" i="3" s="1"/>
  <c r="AE71" i="3"/>
  <c r="AE75" i="3"/>
  <c r="AE77" i="3"/>
  <c r="AC82" i="3"/>
  <c r="AD82" i="3" s="1"/>
  <c r="AE84" i="3"/>
  <c r="AC99" i="3"/>
  <c r="AD99" i="3" s="1"/>
  <c r="AE105" i="3"/>
  <c r="AC107" i="3"/>
  <c r="AD107" i="3" s="1"/>
  <c r="AE109" i="3"/>
  <c r="AC111" i="3"/>
  <c r="AD111" i="3" s="1"/>
  <c r="AE118" i="3"/>
  <c r="AE123" i="3"/>
  <c r="AE125" i="3"/>
  <c r="AE127" i="3"/>
  <c r="AC134" i="3"/>
  <c r="AD134" i="3" s="1"/>
  <c r="AC145" i="3"/>
  <c r="AD145" i="3" s="1"/>
  <c r="AE146" i="3"/>
  <c r="AC149" i="3"/>
  <c r="AD149" i="3" s="1"/>
  <c r="AE155" i="3"/>
  <c r="AC157" i="3"/>
  <c r="AD157" i="3" s="1"/>
  <c r="AC165" i="3"/>
  <c r="AD165" i="3" s="1"/>
  <c r="AE168" i="3"/>
  <c r="AC7" i="3"/>
  <c r="AD7" i="3" s="1"/>
  <c r="AE18" i="3"/>
  <c r="AE21" i="3"/>
  <c r="AE27" i="3"/>
  <c r="AE30" i="3"/>
  <c r="AE33" i="3"/>
  <c r="AC35" i="3"/>
  <c r="AD35" i="3" s="1"/>
  <c r="AE37" i="3"/>
  <c r="AC40" i="3"/>
  <c r="AD40" i="3" s="1"/>
  <c r="AE41" i="3"/>
  <c r="AC45" i="3"/>
  <c r="AD45" i="3" s="1"/>
  <c r="AC54" i="3"/>
  <c r="AD54" i="3" s="1"/>
  <c r="AE56" i="3"/>
  <c r="AC59" i="3"/>
  <c r="AD59" i="3" s="1"/>
  <c r="AE61" i="3"/>
  <c r="AC63" i="3"/>
  <c r="AD63" i="3" s="1"/>
  <c r="AC66" i="3"/>
  <c r="AC74" i="3"/>
  <c r="AD74" i="3" s="1"/>
  <c r="AE55" i="3"/>
  <c r="AE62" i="3"/>
  <c r="AC65" i="3"/>
  <c r="AD65" i="3" s="1"/>
  <c r="AE68" i="3"/>
  <c r="AC72" i="3"/>
  <c r="AC80" i="3"/>
  <c r="AD80" i="3" s="1"/>
  <c r="AC83" i="3"/>
  <c r="AD83" i="3" s="1"/>
  <c r="AC97" i="3"/>
  <c r="AC102" i="3"/>
  <c r="AD102" i="3" s="1"/>
  <c r="AE110" i="3"/>
  <c r="AC115" i="3"/>
  <c r="AD115" i="3" s="1"/>
  <c r="AC120" i="3"/>
  <c r="AD120" i="3" s="1"/>
  <c r="AC138" i="3"/>
  <c r="AD138" i="3" s="1"/>
  <c r="AC146" i="3"/>
  <c r="AD146" i="3" s="1"/>
  <c r="AE147" i="3"/>
  <c r="AE152" i="3"/>
  <c r="AE157" i="3"/>
  <c r="AE158" i="3"/>
  <c r="AE162" i="3"/>
  <c r="AE167" i="3"/>
  <c r="AE169" i="3"/>
  <c r="AE16" i="3"/>
  <c r="AC122" i="3"/>
  <c r="AD122" i="3" s="1"/>
  <c r="AC124" i="3"/>
  <c r="AD124" i="3" s="1"/>
  <c r="AE131" i="3"/>
  <c r="AE137" i="3"/>
  <c r="AE144" i="3"/>
  <c r="AE76" i="3"/>
  <c r="AE78" i="3"/>
  <c r="AE80" i="3"/>
  <c r="AC84" i="3"/>
  <c r="AD84" i="3" s="1"/>
  <c r="AC96" i="3"/>
  <c r="AD96" i="3" s="1"/>
  <c r="AE98" i="3"/>
  <c r="AE113" i="3"/>
  <c r="AC116" i="3"/>
  <c r="AD116" i="3" s="1"/>
  <c r="AE119" i="3"/>
  <c r="AC123" i="3"/>
  <c r="AD123" i="3" s="1"/>
  <c r="AE126" i="3"/>
  <c r="AC128" i="3"/>
  <c r="AD128" i="3" s="1"/>
  <c r="AC130" i="3"/>
  <c r="AD130" i="3" s="1"/>
  <c r="AE134" i="3"/>
  <c r="AE139" i="3"/>
  <c r="AC143" i="3"/>
  <c r="AD143" i="3" s="1"/>
  <c r="AE145" i="3"/>
  <c r="AE149" i="3"/>
  <c r="AC151" i="3"/>
  <c r="AD151" i="3" s="1"/>
  <c r="AE153" i="3"/>
  <c r="AE163" i="3"/>
  <c r="AE165" i="3"/>
  <c r="AC167" i="3"/>
  <c r="AD167" i="3" s="1"/>
  <c r="AC169" i="3"/>
  <c r="AD169" i="3" s="1"/>
  <c r="AC6" i="3"/>
  <c r="AD6" i="3" s="1"/>
  <c r="AC11" i="3"/>
  <c r="AD11" i="3" s="1"/>
  <c r="AC14" i="3"/>
  <c r="AD14" i="3" s="1"/>
  <c r="AC21" i="3"/>
  <c r="AD21" i="3" s="1"/>
  <c r="AE23" i="3"/>
  <c r="AC25" i="3"/>
  <c r="AD25" i="3" s="1"/>
  <c r="AE29" i="3"/>
  <c r="AE32" i="3"/>
  <c r="AE34" i="3"/>
  <c r="AE36" i="3"/>
  <c r="AE43" i="3"/>
  <c r="AE45" i="3"/>
  <c r="AE48" i="3"/>
  <c r="AC50" i="3"/>
  <c r="AD50" i="3" s="1"/>
  <c r="AE51" i="3"/>
  <c r="AE53" i="3"/>
  <c r="AC61" i="3"/>
  <c r="AD61" i="3" s="1"/>
  <c r="AE67" i="3"/>
  <c r="AE74" i="3"/>
  <c r="AE81" i="3"/>
  <c r="AC100" i="3"/>
  <c r="AD100" i="3" s="1"/>
  <c r="AC105" i="3"/>
  <c r="AD105" i="3" s="1"/>
  <c r="AE108" i="3"/>
  <c r="AE112" i="3"/>
  <c r="AE124" i="3"/>
  <c r="AC141" i="3"/>
  <c r="AD141" i="3" s="1"/>
  <c r="AE150" i="3"/>
  <c r="AC154" i="3"/>
  <c r="AD154" i="3" s="1"/>
  <c r="AE160" i="3"/>
  <c r="AE164" i="3"/>
  <c r="AC16" i="3"/>
  <c r="AD16" i="3" s="1"/>
  <c r="AC17" i="3"/>
  <c r="AD17" i="3" s="1"/>
  <c r="AE129" i="3"/>
  <c r="AE133" i="3"/>
  <c r="AE148" i="3"/>
  <c r="AE17" i="3"/>
  <c r="AC18" i="3"/>
  <c r="AD18" i="3" s="1"/>
  <c r="AE19" i="3"/>
  <c r="AE22" i="3"/>
  <c r="AC27" i="3"/>
  <c r="AD27" i="3" s="1"/>
  <c r="AE28" i="3"/>
  <c r="AC32" i="3"/>
  <c r="AD32" i="3" s="1"/>
  <c r="AE40" i="3"/>
  <c r="AC42" i="3"/>
  <c r="AC48" i="3"/>
  <c r="AE52" i="3"/>
  <c r="AC58" i="3"/>
  <c r="AC60" i="3"/>
  <c r="AD60" i="3" s="1"/>
  <c r="AE65" i="3"/>
  <c r="AC71" i="3"/>
  <c r="AD71" i="3" s="1"/>
  <c r="AE73" i="3"/>
  <c r="AC76" i="3"/>
  <c r="AD76" i="3" s="1"/>
  <c r="AC77" i="3"/>
  <c r="AD77" i="3" s="1"/>
  <c r="AC93" i="3"/>
  <c r="AE96" i="3"/>
  <c r="AC98" i="3"/>
  <c r="AD98" i="3" s="1"/>
  <c r="AE100" i="3"/>
  <c r="AE102" i="3"/>
  <c r="AE106" i="3"/>
  <c r="AC108" i="3"/>
  <c r="AD108" i="3" s="1"/>
  <c r="AC110" i="3"/>
  <c r="AD110" i="3" s="1"/>
  <c r="AC112" i="3"/>
  <c r="AD112" i="3" s="1"/>
  <c r="AE116" i="3"/>
  <c r="AC118" i="3"/>
  <c r="AD118" i="3" s="1"/>
  <c r="AE122" i="3"/>
  <c r="AC129" i="3"/>
  <c r="AD129" i="3" s="1"/>
  <c r="AC131" i="3"/>
  <c r="AD131" i="3" s="1"/>
  <c r="AC133" i="3"/>
  <c r="AD133" i="3" s="1"/>
  <c r="AE135" i="3"/>
  <c r="AC137" i="3"/>
  <c r="AD137" i="3" s="1"/>
  <c r="AE143" i="3"/>
  <c r="AC147" i="3"/>
  <c r="AD147" i="3" s="1"/>
  <c r="AE151" i="3"/>
  <c r="AC153" i="3"/>
  <c r="AD153" i="3" s="1"/>
  <c r="AC155" i="3"/>
  <c r="AD155" i="3" s="1"/>
  <c r="AC159" i="3"/>
  <c r="AD159" i="3" s="1"/>
  <c r="AC161" i="3"/>
  <c r="AD161" i="3" s="1"/>
  <c r="AE166" i="3"/>
  <c r="AC168" i="3"/>
  <c r="AD168" i="3" s="1"/>
  <c r="AE85" i="3"/>
  <c r="AC86" i="3"/>
  <c r="AD86" i="3" s="1"/>
  <c r="AE86" i="3"/>
  <c r="AC87" i="3"/>
  <c r="AD87" i="3" s="1"/>
  <c r="AE87" i="3"/>
  <c r="AC88" i="3"/>
  <c r="AD88" i="3" s="1"/>
  <c r="AE88" i="3"/>
  <c r="AC89" i="3"/>
  <c r="AD89" i="3" s="1"/>
  <c r="AE89" i="3"/>
  <c r="AC90" i="3"/>
  <c r="AD90" i="3" s="1"/>
  <c r="AE90" i="3"/>
  <c r="AC91" i="3"/>
  <c r="AD91" i="3" s="1"/>
  <c r="AE91" i="3"/>
  <c r="AC92" i="3"/>
  <c r="AE99" i="3"/>
  <c r="AC101" i="3"/>
  <c r="AD101" i="3" s="1"/>
  <c r="AC104" i="3"/>
  <c r="AD104" i="3" s="1"/>
  <c r="AE107" i="3"/>
  <c r="AC109" i="3"/>
  <c r="AD109" i="3" s="1"/>
  <c r="AC114" i="3"/>
  <c r="AD114" i="3" s="1"/>
  <c r="AC117" i="3"/>
  <c r="AD117" i="3" s="1"/>
  <c r="AC119" i="3"/>
  <c r="AD119" i="3" s="1"/>
  <c r="AE120" i="3"/>
  <c r="AC127" i="3"/>
  <c r="AD127" i="3" s="1"/>
  <c r="AC136" i="3"/>
  <c r="AD136" i="3" s="1"/>
  <c r="AE20" i="3"/>
  <c r="AC150" i="3"/>
  <c r="AD150" i="3" s="1"/>
  <c r="AC152" i="3"/>
  <c r="AD152" i="3" s="1"/>
  <c r="AC156" i="3"/>
  <c r="AD156" i="3" s="1"/>
  <c r="AE159" i="3"/>
  <c r="AE161" i="3"/>
  <c r="AC163" i="3"/>
  <c r="AD163" i="3" s="1"/>
  <c r="AC170" i="3"/>
  <c r="AE92" i="3"/>
  <c r="AE24" i="3"/>
  <c r="AE79" i="3"/>
  <c r="AE97" i="3"/>
  <c r="AE94" i="3"/>
  <c r="AE66" i="3"/>
  <c r="AE95" i="3"/>
  <c r="AE58" i="3"/>
  <c r="AE72" i="3"/>
  <c r="AE57" i="3"/>
  <c r="AE93" i="3"/>
  <c r="AC171" i="3"/>
  <c r="AE171" i="3"/>
  <c r="F14" i="1"/>
  <c r="AD179" i="3" l="1"/>
  <c r="AD42" i="3"/>
  <c r="AD57" i="3"/>
  <c r="AD94" i="3"/>
  <c r="AD92" i="3"/>
  <c r="AD20" i="3"/>
  <c r="AD38" i="3"/>
  <c r="AD79" i="3"/>
  <c r="AD95" i="3"/>
  <c r="AD24" i="3"/>
  <c r="AD66" i="3"/>
  <c r="AD72" i="3"/>
  <c r="AD97" i="3"/>
  <c r="AD48" i="3"/>
  <c r="AD58" i="3"/>
  <c r="AD93" i="3"/>
  <c r="AD171" i="3"/>
  <c r="F22" i="35" l="1"/>
  <c r="C22" i="35"/>
  <c r="C21" i="35"/>
  <c r="C20" i="35"/>
  <c r="F19" i="35"/>
  <c r="F20" i="35" s="1"/>
  <c r="C19" i="35"/>
  <c r="C18" i="35"/>
  <c r="F17" i="35"/>
  <c r="F18" i="35" s="1"/>
  <c r="C17" i="35"/>
  <c r="C16" i="35"/>
  <c r="F15" i="35"/>
  <c r="F16" i="35" s="1"/>
  <c r="C15" i="35"/>
  <c r="C14" i="35"/>
  <c r="C13" i="35"/>
  <c r="F12" i="35"/>
  <c r="F13" i="35" s="1"/>
  <c r="C12" i="35"/>
  <c r="C11" i="35"/>
  <c r="C10" i="35"/>
  <c r="C9" i="35"/>
  <c r="F8" i="35"/>
  <c r="F9" i="35" s="1"/>
  <c r="C8" i="35"/>
  <c r="C7" i="35"/>
  <c r="F6" i="35"/>
  <c r="F7" i="35" s="1"/>
  <c r="C6" i="35"/>
  <c r="C5" i="35"/>
  <c r="C4" i="35"/>
  <c r="C3" i="35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20" i="35" s="1"/>
  <c r="A21" i="35" s="1"/>
  <c r="A22" i="35" s="1"/>
  <c r="F2" i="35"/>
  <c r="F5" i="35" s="1"/>
  <c r="C2" i="35"/>
  <c r="F3" i="35" l="1"/>
  <c r="F4" i="35"/>
  <c r="F10" i="35"/>
  <c r="F14" i="35"/>
  <c r="F11" i="35"/>
  <c r="A42" i="17" l="1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D13" i="16" l="1"/>
  <c r="AZ15" i="16" s="1"/>
  <c r="B5" i="5" l="1"/>
  <c r="A5" i="5"/>
  <c r="AS13" i="16"/>
  <c r="AT13" i="16"/>
  <c r="AU13" i="16"/>
  <c r="AV13" i="16"/>
  <c r="AW13" i="16"/>
  <c r="AX13" i="16"/>
  <c r="AY13" i="16"/>
  <c r="Y171" i="3" l="1"/>
  <c r="W171" i="3"/>
  <c r="X171" i="3" s="1"/>
  <c r="N9" i="22"/>
  <c r="E13" i="16" l="1"/>
  <c r="BB15" i="16" s="1"/>
  <c r="H8" i="22" l="1"/>
  <c r="F15" i="34" l="1"/>
  <c r="F16" i="34" s="1"/>
  <c r="F6" i="34"/>
  <c r="F7" i="34" s="1"/>
  <c r="A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F2" i="34"/>
  <c r="F5" i="34" s="1"/>
  <c r="F3" i="34" l="1"/>
  <c r="F4" i="34"/>
  <c r="AZ13" i="16" l="1"/>
  <c r="G13" i="29" l="1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AJ13" i="29"/>
  <c r="AK13" i="29"/>
  <c r="AL13" i="29"/>
  <c r="AM13" i="29"/>
  <c r="AN13" i="29"/>
  <c r="AO13" i="29"/>
  <c r="AP13" i="29"/>
  <c r="AQ13" i="29"/>
  <c r="AR13" i="29"/>
  <c r="AS13" i="29"/>
  <c r="AT13" i="29"/>
  <c r="AU13" i="29"/>
  <c r="AV13" i="29"/>
  <c r="AW13" i="29"/>
  <c r="AX13" i="29"/>
  <c r="AY13" i="29"/>
  <c r="AZ13" i="29"/>
  <c r="BB13" i="29"/>
  <c r="F13" i="29"/>
  <c r="F21" i="25" l="1"/>
  <c r="F24" i="25" s="1"/>
  <c r="F17" i="25"/>
  <c r="C22" i="25"/>
  <c r="C21" i="25"/>
  <c r="C17" i="25"/>
  <c r="C18" i="25"/>
  <c r="A3" i="25"/>
  <c r="A4" i="25" s="1"/>
  <c r="A5" i="25" s="1"/>
  <c r="A6" i="25" s="1"/>
  <c r="A7" i="25" s="1"/>
  <c r="F19" i="25" l="1"/>
  <c r="F20" i="25"/>
  <c r="A8" i="25"/>
  <c r="A9" i="25" s="1"/>
  <c r="A10" i="25" s="1"/>
  <c r="A11" i="25" s="1"/>
  <c r="F18" i="25"/>
  <c r="F22" i="25"/>
  <c r="A12" i="25" l="1"/>
  <c r="A13" i="25" s="1"/>
  <c r="A14" i="25" s="1"/>
  <c r="A15" i="25"/>
  <c r="A16" i="25" s="1"/>
  <c r="A17" i="25" s="1"/>
  <c r="A18" i="25" s="1"/>
  <c r="A22" i="25" s="1"/>
  <c r="P18" i="4"/>
  <c r="P20" i="4" s="1"/>
  <c r="C178" i="22"/>
  <c r="E178" i="22" l="1"/>
  <c r="D178" i="22" l="1"/>
  <c r="E14" i="1" l="1"/>
  <c r="D14" i="1"/>
  <c r="G14" i="1" l="1"/>
  <c r="G17" i="1" s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C14" i="1"/>
  <c r="H40" i="24" s="1"/>
  <c r="BB13" i="16"/>
  <c r="H23" i="23" s="1"/>
  <c r="G13" i="16"/>
  <c r="C38" i="32" s="1"/>
  <c r="G19" i="25" s="1"/>
  <c r="H20" i="25" s="1"/>
  <c r="N20" i="25" s="1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C36" i="32" s="1"/>
  <c r="G17" i="35" s="1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F13" i="16"/>
  <c r="BC16" i="1" l="1"/>
  <c r="D17" i="16"/>
  <c r="BB16" i="16"/>
  <c r="D18" i="16"/>
  <c r="H18" i="35"/>
  <c r="N17" i="35"/>
  <c r="AZ16" i="16"/>
  <c r="BA34" i="15"/>
  <c r="C45" i="32"/>
  <c r="G23" i="25" s="1"/>
  <c r="D39" i="32"/>
  <c r="G17" i="25"/>
  <c r="D37" i="32"/>
  <c r="Y181" i="3"/>
  <c r="F15" i="25"/>
  <c r="F16" i="25" s="1"/>
  <c r="C15" i="25"/>
  <c r="C16" i="25"/>
  <c r="C31" i="32"/>
  <c r="A150" i="22"/>
  <c r="A147" i="22"/>
  <c r="A146" i="22"/>
  <c r="A143" i="22"/>
  <c r="A142" i="22"/>
  <c r="N24" i="25" l="1"/>
  <c r="H24" i="25"/>
  <c r="D19" i="16"/>
  <c r="D46" i="32"/>
  <c r="G21" i="35"/>
  <c r="H22" i="35" s="1"/>
  <c r="N22" i="35" s="1"/>
  <c r="N17" i="25"/>
  <c r="H18" i="25"/>
  <c r="A179" i="22"/>
  <c r="A178" i="22"/>
  <c r="A172" i="22"/>
  <c r="A135" i="22"/>
  <c r="A136" i="22"/>
  <c r="A137" i="22"/>
  <c r="A138" i="22"/>
  <c r="A139" i="22"/>
  <c r="A140" i="22"/>
  <c r="A141" i="22"/>
  <c r="A144" i="22"/>
  <c r="A145" i="22"/>
  <c r="A148" i="22"/>
  <c r="A149" i="22"/>
  <c r="A151" i="22"/>
  <c r="A152" i="22"/>
  <c r="A134" i="22"/>
  <c r="A74" i="22"/>
  <c r="F6" i="25"/>
  <c r="F7" i="25" s="1"/>
  <c r="F2" i="25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" i="17"/>
  <c r="F5" i="25" l="1"/>
  <c r="F3" i="25"/>
  <c r="F4" i="25"/>
  <c r="O179" i="22" l="1"/>
  <c r="G157" i="22"/>
  <c r="F157" i="22"/>
  <c r="O178" i="22" l="1"/>
  <c r="N136" i="22" l="1"/>
  <c r="N137" i="22"/>
  <c r="N138" i="22"/>
  <c r="N139" i="22"/>
  <c r="N140" i="22"/>
  <c r="N141" i="22"/>
  <c r="N14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R10" i="4"/>
  <c r="R11" i="4"/>
  <c r="R9" i="4"/>
  <c r="R18" i="4" l="1"/>
  <c r="H43" i="24" s="1"/>
  <c r="H4" i="20"/>
  <c r="I4" i="20" s="1"/>
  <c r="J4" i="20"/>
  <c r="AF180" i="3" l="1"/>
  <c r="AG180" i="3" s="1"/>
  <c r="AH179" i="3"/>
  <c r="AH180" i="3"/>
  <c r="AF179" i="3"/>
  <c r="AG179" i="3" s="1"/>
  <c r="AH7" i="3"/>
  <c r="AH8" i="3"/>
  <c r="AH10" i="3"/>
  <c r="AH12" i="3"/>
  <c r="AF16" i="3"/>
  <c r="AG16" i="3" s="1"/>
  <c r="AF19" i="3"/>
  <c r="AG19" i="3" s="1"/>
  <c r="AH21" i="3"/>
  <c r="AF24" i="3"/>
  <c r="AG24" i="3" s="1"/>
  <c r="AH27" i="3"/>
  <c r="AF29" i="3"/>
  <c r="AG29" i="3" s="1"/>
  <c r="AF31" i="3"/>
  <c r="AG31" i="3" s="1"/>
  <c r="AH33" i="3"/>
  <c r="AF37" i="3"/>
  <c r="AG37" i="3" s="1"/>
  <c r="AF40" i="3"/>
  <c r="AG40" i="3" s="1"/>
  <c r="AF42" i="3"/>
  <c r="AG42" i="3" s="1"/>
  <c r="AH45" i="3"/>
  <c r="AF48" i="3"/>
  <c r="AG48" i="3" s="1"/>
  <c r="AH50" i="3"/>
  <c r="AH52" i="3"/>
  <c r="AH54" i="3"/>
  <c r="AF58" i="3"/>
  <c r="AG58" i="3" s="1"/>
  <c r="AH60" i="3"/>
  <c r="AF63" i="3"/>
  <c r="AG63" i="3" s="1"/>
  <c r="AH74" i="3"/>
  <c r="AF78" i="3"/>
  <c r="AG78" i="3" s="1"/>
  <c r="AF81" i="3"/>
  <c r="AG81" i="3" s="1"/>
  <c r="AH83" i="3"/>
  <c r="AH86" i="3"/>
  <c r="AH89" i="3"/>
  <c r="AH92" i="3"/>
  <c r="AH95" i="3"/>
  <c r="AF98" i="3"/>
  <c r="AG98" i="3" s="1"/>
  <c r="AH100" i="3"/>
  <c r="AH102" i="3"/>
  <c r="AF106" i="3"/>
  <c r="AG106" i="3" s="1"/>
  <c r="AH109" i="3"/>
  <c r="AH112" i="3"/>
  <c r="AH115" i="3"/>
  <c r="AH118" i="3"/>
  <c r="AF121" i="3"/>
  <c r="AG121" i="3" s="1"/>
  <c r="AF124" i="3"/>
  <c r="AG124" i="3" s="1"/>
  <c r="AF128" i="3"/>
  <c r="AG128" i="3" s="1"/>
  <c r="AH131" i="3"/>
  <c r="AF135" i="3"/>
  <c r="AG135" i="3" s="1"/>
  <c r="AF138" i="3"/>
  <c r="AG138" i="3" s="1"/>
  <c r="AF141" i="3"/>
  <c r="AG141" i="3" s="1"/>
  <c r="AH143" i="3"/>
  <c r="AF146" i="3"/>
  <c r="AG146" i="3" s="1"/>
  <c r="AH149" i="3"/>
  <c r="AF153" i="3"/>
  <c r="AG153" i="3" s="1"/>
  <c r="AH156" i="3"/>
  <c r="AH159" i="3"/>
  <c r="AH161" i="3"/>
  <c r="AH163" i="3"/>
  <c r="AH167" i="3"/>
  <c r="AH169" i="3"/>
  <c r="AH6" i="3"/>
  <c r="AH9" i="3"/>
  <c r="AF12" i="3"/>
  <c r="AG12" i="3" s="1"/>
  <c r="AH14" i="3"/>
  <c r="AH16" i="3"/>
  <c r="AH18" i="3"/>
  <c r="AH20" i="3"/>
  <c r="AH22" i="3"/>
  <c r="AH24" i="3"/>
  <c r="AF27" i="3"/>
  <c r="AG27" i="3" s="1"/>
  <c r="AH28" i="3"/>
  <c r="AH31" i="3"/>
  <c r="AH34" i="3"/>
  <c r="AF36" i="3"/>
  <c r="AG36" i="3" s="1"/>
  <c r="AF39" i="3"/>
  <c r="AG39" i="3" s="1"/>
  <c r="AH41" i="3"/>
  <c r="AF44" i="3"/>
  <c r="AG44" i="3" s="1"/>
  <c r="AF47" i="3"/>
  <c r="AG47" i="3" s="1"/>
  <c r="AF49" i="3"/>
  <c r="AG49" i="3" s="1"/>
  <c r="AF52" i="3"/>
  <c r="AG52" i="3" s="1"/>
  <c r="AH53" i="3"/>
  <c r="AF56" i="3"/>
  <c r="AH59" i="3"/>
  <c r="AH61" i="3"/>
  <c r="AH63" i="3"/>
  <c r="AH65" i="3"/>
  <c r="AH76" i="3"/>
  <c r="AF80" i="3"/>
  <c r="AG80" i="3" s="1"/>
  <c r="AF83" i="3"/>
  <c r="AG83" i="3" s="1"/>
  <c r="AF86" i="3"/>
  <c r="AG86" i="3" s="1"/>
  <c r="AF89" i="3"/>
  <c r="AG89" i="3" s="1"/>
  <c r="AF92" i="3"/>
  <c r="AG92" i="3" s="1"/>
  <c r="AF95" i="3"/>
  <c r="AG95" i="3" s="1"/>
  <c r="AF97" i="3"/>
  <c r="AG97" i="3" s="1"/>
  <c r="AF101" i="3"/>
  <c r="AG101" i="3" s="1"/>
  <c r="AF104" i="3"/>
  <c r="AG104" i="3" s="1"/>
  <c r="AF107" i="3"/>
  <c r="AG107" i="3" s="1"/>
  <c r="AH108" i="3"/>
  <c r="AH110" i="3"/>
  <c r="AH113" i="3"/>
  <c r="AF116" i="3"/>
  <c r="AG116" i="3" s="1"/>
  <c r="AF119" i="3"/>
  <c r="AG119" i="3" s="1"/>
  <c r="AH121" i="3"/>
  <c r="AH124" i="3"/>
  <c r="AF127" i="3"/>
  <c r="AG127" i="3" s="1"/>
  <c r="AH129" i="3"/>
  <c r="AF132" i="3"/>
  <c r="AG132" i="3" s="1"/>
  <c r="AH134" i="3"/>
  <c r="AF137" i="3"/>
  <c r="AG137" i="3" s="1"/>
  <c r="AH139" i="3"/>
  <c r="AF142" i="3"/>
  <c r="AG142" i="3" s="1"/>
  <c r="AF145" i="3"/>
  <c r="AG145" i="3" s="1"/>
  <c r="AF148" i="3"/>
  <c r="AG148" i="3" s="1"/>
  <c r="AF151" i="3"/>
  <c r="AG151" i="3" s="1"/>
  <c r="AH153" i="3"/>
  <c r="AF156" i="3"/>
  <c r="AG156" i="3" s="1"/>
  <c r="AF159" i="3"/>
  <c r="AG159" i="3" s="1"/>
  <c r="AF7" i="3"/>
  <c r="AG7" i="3" s="1"/>
  <c r="AF11" i="3"/>
  <c r="AG11" i="3" s="1"/>
  <c r="AH13" i="3"/>
  <c r="AF15" i="3"/>
  <c r="AG15" i="3" s="1"/>
  <c r="AH17" i="3"/>
  <c r="AH19" i="3"/>
  <c r="AF22" i="3"/>
  <c r="AG22" i="3" s="1"/>
  <c r="AF25" i="3"/>
  <c r="AF28" i="3"/>
  <c r="AG28" i="3" s="1"/>
  <c r="AF32" i="3"/>
  <c r="AG32" i="3" s="1"/>
  <c r="AF34" i="3"/>
  <c r="AG34" i="3" s="1"/>
  <c r="AH35" i="3"/>
  <c r="AH37" i="3"/>
  <c r="AF41" i="3"/>
  <c r="AG41" i="3" s="1"/>
  <c r="AH42" i="3"/>
  <c r="AF45" i="3"/>
  <c r="AG45" i="3" s="1"/>
  <c r="AH47" i="3"/>
  <c r="AH49" i="3"/>
  <c r="AH51" i="3"/>
  <c r="AF55" i="3"/>
  <c r="AG55" i="3" s="1"/>
  <c r="AF59" i="3"/>
  <c r="AG59" i="3" s="1"/>
  <c r="AF60" i="3"/>
  <c r="AG60" i="3" s="1"/>
  <c r="AH62" i="3"/>
  <c r="AF65" i="3"/>
  <c r="AG65" i="3" s="1"/>
  <c r="AF77" i="3"/>
  <c r="AH80" i="3"/>
  <c r="AH84" i="3"/>
  <c r="AH87" i="3"/>
  <c r="AF90" i="3"/>
  <c r="AG90" i="3" s="1"/>
  <c r="AF93" i="3"/>
  <c r="AG93" i="3" s="1"/>
  <c r="AH96" i="3"/>
  <c r="AH99" i="3"/>
  <c r="AF102" i="3"/>
  <c r="AG102" i="3" s="1"/>
  <c r="AH106" i="3"/>
  <c r="AF110" i="3"/>
  <c r="AG110" i="3" s="1"/>
  <c r="AF113" i="3"/>
  <c r="AG113" i="3" s="1"/>
  <c r="AH116" i="3"/>
  <c r="AF120" i="3"/>
  <c r="AG120" i="3" s="1"/>
  <c r="AF123" i="3"/>
  <c r="AG123" i="3" s="1"/>
  <c r="AF126" i="3"/>
  <c r="AG126" i="3" s="1"/>
  <c r="AF130" i="3"/>
  <c r="AG130" i="3" s="1"/>
  <c r="AF133" i="3"/>
  <c r="AG133" i="3" s="1"/>
  <c r="AF136" i="3"/>
  <c r="AG136" i="3" s="1"/>
  <c r="AF139" i="3"/>
  <c r="AG139" i="3" s="1"/>
  <c r="AF143" i="3"/>
  <c r="AG143" i="3" s="1"/>
  <c r="AH145" i="3"/>
  <c r="AF149" i="3"/>
  <c r="AG149" i="3" s="1"/>
  <c r="AF152" i="3"/>
  <c r="AG152" i="3" s="1"/>
  <c r="AH154" i="3"/>
  <c r="AF158" i="3"/>
  <c r="AG158" i="3" s="1"/>
  <c r="AH160" i="3"/>
  <c r="AH162" i="3"/>
  <c r="AH164" i="3"/>
  <c r="AH166" i="3"/>
  <c r="AH168" i="3"/>
  <c r="AF8" i="3"/>
  <c r="AG8" i="3" s="1"/>
  <c r="AF10" i="3"/>
  <c r="AG10" i="3" s="1"/>
  <c r="AF13" i="3"/>
  <c r="AG13" i="3" s="1"/>
  <c r="AH15" i="3"/>
  <c r="AF18" i="3"/>
  <c r="AG18" i="3" s="1"/>
  <c r="AF21" i="3"/>
  <c r="AG21" i="3" s="1"/>
  <c r="AF23" i="3"/>
  <c r="AG23" i="3" s="1"/>
  <c r="AH26" i="3"/>
  <c r="AF30" i="3"/>
  <c r="AG30" i="3" s="1"/>
  <c r="AF33" i="3"/>
  <c r="AG33" i="3" s="1"/>
  <c r="AH36" i="3"/>
  <c r="AH38" i="3"/>
  <c r="AH40" i="3"/>
  <c r="AF43" i="3"/>
  <c r="AG43" i="3" s="1"/>
  <c r="AH44" i="3"/>
  <c r="AH46" i="3"/>
  <c r="AF50" i="3"/>
  <c r="AG50" i="3" s="1"/>
  <c r="AF53" i="3"/>
  <c r="AG53" i="3" s="1"/>
  <c r="AH55" i="3"/>
  <c r="AH58" i="3"/>
  <c r="AF62" i="3"/>
  <c r="AG62" i="3" s="1"/>
  <c r="AH64" i="3"/>
  <c r="AF74" i="3"/>
  <c r="AG74" i="3" s="1"/>
  <c r="AH78" i="3"/>
  <c r="AH81" i="3"/>
  <c r="AF84" i="3"/>
  <c r="AG84" i="3" s="1"/>
  <c r="AF87" i="3"/>
  <c r="AG87" i="3" s="1"/>
  <c r="AF91" i="3"/>
  <c r="AG91" i="3" s="1"/>
  <c r="AH94" i="3"/>
  <c r="AH97" i="3"/>
  <c r="AF103" i="3"/>
  <c r="AG103" i="3" s="1"/>
  <c r="AF105" i="3"/>
  <c r="AG105" i="3" s="1"/>
  <c r="AF108" i="3"/>
  <c r="AG108" i="3" s="1"/>
  <c r="AH111" i="3"/>
  <c r="AF114" i="3"/>
  <c r="AG114" i="3" s="1"/>
  <c r="AF117" i="3"/>
  <c r="AG117" i="3" s="1"/>
  <c r="AH119" i="3"/>
  <c r="AH122" i="3"/>
  <c r="AH125" i="3"/>
  <c r="AH127" i="3"/>
  <c r="AH130" i="3"/>
  <c r="AH133" i="3"/>
  <c r="AH135" i="3"/>
  <c r="AH138" i="3"/>
  <c r="AH141" i="3"/>
  <c r="AH144" i="3"/>
  <c r="AF147" i="3"/>
  <c r="AG147" i="3" s="1"/>
  <c r="AF150" i="3"/>
  <c r="AG150" i="3" s="1"/>
  <c r="AH152" i="3"/>
  <c r="AF155" i="3"/>
  <c r="AG155" i="3" s="1"/>
  <c r="AH157" i="3"/>
  <c r="AF161" i="3"/>
  <c r="AG161" i="3" s="1"/>
  <c r="AF164" i="3"/>
  <c r="AG164" i="3" s="1"/>
  <c r="AF166" i="3"/>
  <c r="AG166" i="3" s="1"/>
  <c r="AF169" i="3"/>
  <c r="AG169" i="3" s="1"/>
  <c r="AF6" i="3"/>
  <c r="AG6" i="3" s="1"/>
  <c r="AF9" i="3"/>
  <c r="AG9" i="3" s="1"/>
  <c r="AH11" i="3"/>
  <c r="AF14" i="3"/>
  <c r="AG14" i="3" s="1"/>
  <c r="AF17" i="3"/>
  <c r="AG17" i="3" s="1"/>
  <c r="AF20" i="3"/>
  <c r="AG20" i="3" s="1"/>
  <c r="AH23" i="3"/>
  <c r="AF26" i="3"/>
  <c r="AG26" i="3" s="1"/>
  <c r="AH29" i="3"/>
  <c r="AH30" i="3"/>
  <c r="AH32" i="3"/>
  <c r="AF35" i="3"/>
  <c r="AG35" i="3" s="1"/>
  <c r="AF38" i="3"/>
  <c r="AG38" i="3" s="1"/>
  <c r="AH39" i="3"/>
  <c r="AH43" i="3"/>
  <c r="AF46" i="3"/>
  <c r="AG46" i="3" s="1"/>
  <c r="AH48" i="3"/>
  <c r="AF51" i="3"/>
  <c r="AG51" i="3" s="1"/>
  <c r="AF54" i="3"/>
  <c r="AG54" i="3" s="1"/>
  <c r="AF57" i="3"/>
  <c r="AF61" i="3"/>
  <c r="AG61" i="3" s="1"/>
  <c r="AF64" i="3"/>
  <c r="AG64" i="3" s="1"/>
  <c r="AF75" i="3"/>
  <c r="AF79" i="3"/>
  <c r="AG79" i="3" s="1"/>
  <c r="AH82" i="3"/>
  <c r="AH85" i="3"/>
  <c r="AH88" i="3"/>
  <c r="AH91" i="3"/>
  <c r="AF94" i="3"/>
  <c r="AG94" i="3" s="1"/>
  <c r="AH98" i="3"/>
  <c r="AF100" i="3"/>
  <c r="AG100" i="3" s="1"/>
  <c r="AH103" i="3"/>
  <c r="AH105" i="3"/>
  <c r="AF109" i="3"/>
  <c r="AG109" i="3" s="1"/>
  <c r="AF112" i="3"/>
  <c r="AG112" i="3" s="1"/>
  <c r="AF115" i="3"/>
  <c r="AG115" i="3" s="1"/>
  <c r="AF118" i="3"/>
  <c r="AG118" i="3" s="1"/>
  <c r="AF122" i="3"/>
  <c r="AG122" i="3" s="1"/>
  <c r="AF125" i="3"/>
  <c r="AG125" i="3" s="1"/>
  <c r="AH128" i="3"/>
  <c r="AF131" i="3"/>
  <c r="AG131" i="3" s="1"/>
  <c r="AF134" i="3"/>
  <c r="AG134" i="3" s="1"/>
  <c r="AH137" i="3"/>
  <c r="AH140" i="3"/>
  <c r="AH142" i="3"/>
  <c r="AH147" i="3"/>
  <c r="AH150" i="3"/>
  <c r="AF154" i="3"/>
  <c r="AG154" i="3" s="1"/>
  <c r="AF157" i="3"/>
  <c r="AG157" i="3" s="1"/>
  <c r="AF160" i="3"/>
  <c r="AG160" i="3" s="1"/>
  <c r="AF163" i="3"/>
  <c r="AG163" i="3" s="1"/>
  <c r="AH165" i="3"/>
  <c r="AF168" i="3"/>
  <c r="AG168" i="3" s="1"/>
  <c r="AF170" i="3"/>
  <c r="AF66" i="3"/>
  <c r="AG66" i="3" s="1"/>
  <c r="AH66" i="3"/>
  <c r="AF67" i="3"/>
  <c r="AG67" i="3" s="1"/>
  <c r="AH67" i="3"/>
  <c r="AF68" i="3"/>
  <c r="AG68" i="3" s="1"/>
  <c r="AH68" i="3"/>
  <c r="AF69" i="3"/>
  <c r="AG69" i="3" s="1"/>
  <c r="AH69" i="3"/>
  <c r="AF70" i="3"/>
  <c r="AG70" i="3" s="1"/>
  <c r="AH70" i="3"/>
  <c r="AF71" i="3"/>
  <c r="AG71" i="3" s="1"/>
  <c r="AH71" i="3"/>
  <c r="AF72" i="3"/>
  <c r="AG72" i="3" s="1"/>
  <c r="AH72" i="3"/>
  <c r="AF73" i="3"/>
  <c r="AF76" i="3"/>
  <c r="AG76" i="3" s="1"/>
  <c r="AH79" i="3"/>
  <c r="AF82" i="3"/>
  <c r="AG82" i="3" s="1"/>
  <c r="AF85" i="3"/>
  <c r="AG85" i="3" s="1"/>
  <c r="AF88" i="3"/>
  <c r="AG88" i="3" s="1"/>
  <c r="AH90" i="3"/>
  <c r="AH93" i="3"/>
  <c r="AF96" i="3"/>
  <c r="AG96" i="3" s="1"/>
  <c r="AF99" i="3"/>
  <c r="AG99" i="3" s="1"/>
  <c r="AH101" i="3"/>
  <c r="AH104" i="3"/>
  <c r="AH107" i="3"/>
  <c r="AF111" i="3"/>
  <c r="AG111" i="3" s="1"/>
  <c r="AH114" i="3"/>
  <c r="AH117" i="3"/>
  <c r="AH120" i="3"/>
  <c r="AH123" i="3"/>
  <c r="AH126" i="3"/>
  <c r="AF129" i="3"/>
  <c r="AG129" i="3" s="1"/>
  <c r="AH132" i="3"/>
  <c r="AH136" i="3"/>
  <c r="AF140" i="3"/>
  <c r="AG140" i="3" s="1"/>
  <c r="AF144" i="3"/>
  <c r="AG144" i="3" s="1"/>
  <c r="AH146" i="3"/>
  <c r="AH148" i="3"/>
  <c r="AH151" i="3"/>
  <c r="AH155" i="3"/>
  <c r="AH158" i="3"/>
  <c r="AF162" i="3"/>
  <c r="AG162" i="3" s="1"/>
  <c r="AF165" i="3"/>
  <c r="AG165" i="3" s="1"/>
  <c r="AF167" i="3"/>
  <c r="AG167" i="3" s="1"/>
  <c r="AH73" i="3"/>
  <c r="AH25" i="3"/>
  <c r="AH57" i="3"/>
  <c r="AH75" i="3"/>
  <c r="AH77" i="3"/>
  <c r="AF171" i="3"/>
  <c r="AG171" i="3" s="1"/>
  <c r="AH171" i="3"/>
  <c r="AF178" i="3"/>
  <c r="AG178" i="3" s="1"/>
  <c r="AH181" i="3"/>
  <c r="AF181" i="3"/>
  <c r="AG181" i="3" s="1"/>
  <c r="AH178" i="3"/>
  <c r="AF177" i="3"/>
  <c r="AG177" i="3" s="1"/>
  <c r="AH177" i="3"/>
  <c r="E31" i="32"/>
  <c r="R20" i="4"/>
  <c r="K3" i="19" a="1"/>
  <c r="C177" i="22"/>
  <c r="A177" i="22" s="1"/>
  <c r="E150" i="22"/>
  <c r="C175" i="22"/>
  <c r="A175" i="22" s="1"/>
  <c r="C176" i="22"/>
  <c r="A176" i="22" s="1"/>
  <c r="E149" i="22"/>
  <c r="AG57" i="3" l="1"/>
  <c r="AG77" i="3"/>
  <c r="AG25" i="3"/>
  <c r="AG75" i="3"/>
  <c r="AG73" i="3"/>
  <c r="G15" i="25"/>
  <c r="G15" i="35"/>
  <c r="H16" i="35" s="1"/>
  <c r="N16" i="35" s="1"/>
  <c r="D31" i="32"/>
  <c r="E176" i="22"/>
  <c r="H16" i="25" l="1"/>
  <c r="N16" i="25" s="1"/>
  <c r="G15" i="34"/>
  <c r="H16" i="34" s="1"/>
  <c r="C3" i="25"/>
  <c r="C4" i="25"/>
  <c r="C5" i="25"/>
  <c r="C6" i="25"/>
  <c r="C7" i="25"/>
  <c r="C2" i="25"/>
  <c r="N15" i="34" l="1"/>
  <c r="D176" i="22"/>
  <c r="E141" i="22"/>
  <c r="E142" i="22"/>
  <c r="E143" i="22"/>
  <c r="E144" i="22"/>
  <c r="E145" i="22"/>
  <c r="E146" i="22"/>
  <c r="E147" i="22"/>
  <c r="E148" i="22"/>
  <c r="E175" i="22"/>
  <c r="O176" i="22" l="1"/>
  <c r="D175" i="22"/>
  <c r="K4" i="17" l="1"/>
  <c r="L4" i="17" s="1"/>
  <c r="M4" i="17" s="1"/>
  <c r="AE181" i="3" l="1"/>
  <c r="AC177" i="3"/>
  <c r="AC178" i="3"/>
  <c r="AC181" i="3"/>
  <c r="AD181" i="3" s="1"/>
  <c r="C5" i="32"/>
  <c r="O175" i="22" l="1"/>
  <c r="C6" i="32"/>
  <c r="C7" i="32" s="1"/>
  <c r="M150" i="17"/>
  <c r="C8" i="32" l="1"/>
  <c r="K150" i="17"/>
  <c r="D172" i="22" l="1"/>
  <c r="AE183" i="3" l="1"/>
  <c r="AC183" i="3"/>
  <c r="AD183" i="3" s="1"/>
  <c r="AE182" i="3"/>
  <c r="AC182" i="3"/>
  <c r="AD182" i="3" s="1"/>
  <c r="AE5" i="3"/>
  <c r="AC5" i="3"/>
  <c r="AC172" i="3" s="1"/>
  <c r="O172" i="22" l="1"/>
  <c r="C182" i="3"/>
  <c r="E182" i="3"/>
  <c r="F182" i="3"/>
  <c r="G182" i="3"/>
  <c r="W182" i="3"/>
  <c r="X182" i="3" s="1"/>
  <c r="Y182" i="3"/>
  <c r="D182" i="3" l="1"/>
  <c r="H182" i="3"/>
  <c r="T182" i="3" s="1"/>
  <c r="U182" i="3" s="1"/>
  <c r="J182" i="3"/>
  <c r="V182" i="3" s="1"/>
  <c r="I182" i="3" l="1"/>
  <c r="E12" i="19" l="1"/>
  <c r="E11" i="19"/>
  <c r="E10" i="19"/>
  <c r="C10" i="19"/>
  <c r="E9" i="19"/>
  <c r="C9" i="19"/>
  <c r="E8" i="19"/>
  <c r="C8" i="19"/>
  <c r="E7" i="19"/>
  <c r="C7" i="19"/>
  <c r="E6" i="19"/>
  <c r="C6" i="19"/>
  <c r="E5" i="19"/>
  <c r="C5" i="19"/>
  <c r="E4" i="19"/>
  <c r="C4" i="19"/>
  <c r="H3" i="19" a="1"/>
  <c r="C174" i="22"/>
  <c r="A174" i="22" s="1"/>
  <c r="C173" i="22"/>
  <c r="A173" i="22" s="1"/>
  <c r="C171" i="22"/>
  <c r="A171" i="22" s="1"/>
  <c r="C170" i="22"/>
  <c r="A170" i="22" s="1"/>
  <c r="C169" i="22"/>
  <c r="A169" i="22" s="1"/>
  <c r="C168" i="22"/>
  <c r="A168" i="22" s="1"/>
  <c r="C167" i="22"/>
  <c r="A167" i="22" s="1"/>
  <c r="C166" i="22"/>
  <c r="A166" i="22" s="1"/>
  <c r="C165" i="22"/>
  <c r="A165" i="22" s="1"/>
  <c r="C164" i="22"/>
  <c r="A164" i="22" s="1"/>
  <c r="C163" i="22"/>
  <c r="A163" i="22" s="1"/>
  <c r="C162" i="22"/>
  <c r="A162" i="22" s="1"/>
  <c r="C161" i="22"/>
  <c r="A161" i="22" s="1"/>
  <c r="E140" i="22"/>
  <c r="E139" i="22"/>
  <c r="E138" i="22"/>
  <c r="E137" i="22"/>
  <c r="E136" i="22"/>
  <c r="N135" i="22"/>
  <c r="E135" i="22"/>
  <c r="N134" i="22"/>
  <c r="E134" i="22"/>
  <c r="N112" i="22"/>
  <c r="I111" i="22"/>
  <c r="H111" i="22"/>
  <c r="G111" i="22"/>
  <c r="F111" i="22"/>
  <c r="E111" i="22"/>
  <c r="N110" i="22"/>
  <c r="N133" i="22" s="1"/>
  <c r="I110" i="22"/>
  <c r="H110" i="22"/>
  <c r="G110" i="22"/>
  <c r="F110" i="22"/>
  <c r="E110" i="22"/>
  <c r="C105" i="22"/>
  <c r="A105" i="22" s="1"/>
  <c r="D74" i="22"/>
  <c r="C73" i="22"/>
  <c r="A73" i="22" s="1"/>
  <c r="C72" i="22"/>
  <c r="A72" i="22" s="1"/>
  <c r="E48" i="22"/>
  <c r="E79" i="22" s="1"/>
  <c r="E46" i="22"/>
  <c r="E45" i="22"/>
  <c r="E44" i="22"/>
  <c r="E43" i="22"/>
  <c r="D43" i="22"/>
  <c r="E42" i="22"/>
  <c r="D42" i="22"/>
  <c r="E41" i="22"/>
  <c r="E74" i="22" s="1"/>
  <c r="D41" i="22"/>
  <c r="E40" i="22"/>
  <c r="E73" i="22" s="1"/>
  <c r="E104" i="22" s="1"/>
  <c r="D40" i="22"/>
  <c r="E39" i="22"/>
  <c r="E72" i="22" s="1"/>
  <c r="E103" i="22" s="1"/>
  <c r="D39" i="22"/>
  <c r="I8" i="22"/>
  <c r="N7" i="22"/>
  <c r="N6" i="22"/>
  <c r="G181" i="3"/>
  <c r="F176" i="3"/>
  <c r="AD175" i="3"/>
  <c r="G174" i="3"/>
  <c r="F174" i="3"/>
  <c r="E174" i="3"/>
  <c r="C174" i="3"/>
  <c r="H174" i="3" s="1"/>
  <c r="S5" i="3"/>
  <c r="S172" i="3" s="1"/>
  <c r="Q5" i="3"/>
  <c r="P5" i="3"/>
  <c r="N5" i="3"/>
  <c r="M5" i="3"/>
  <c r="M172" i="3" s="1"/>
  <c r="K5" i="3"/>
  <c r="K172" i="3" s="1"/>
  <c r="G5" i="3"/>
  <c r="G172" i="3" s="1"/>
  <c r="F5" i="3"/>
  <c r="F172" i="3" s="1"/>
  <c r="E5" i="3"/>
  <c r="C5" i="3"/>
  <c r="C172" i="3" s="1"/>
  <c r="Y183" i="3"/>
  <c r="W183" i="3"/>
  <c r="X183" i="3" s="1"/>
  <c r="E176" i="5"/>
  <c r="D176" i="5"/>
  <c r="E175" i="5"/>
  <c r="D175" i="5"/>
  <c r="E174" i="5"/>
  <c r="D174" i="5"/>
  <c r="D173" i="5"/>
  <c r="E172" i="5"/>
  <c r="Y174" i="3" s="1"/>
  <c r="Y178" i="3"/>
  <c r="W177" i="3"/>
  <c r="W178" i="3"/>
  <c r="X178" i="3" s="1"/>
  <c r="Y177" i="3"/>
  <c r="R5" i="3"/>
  <c r="Q172" i="3"/>
  <c r="R172" i="3" s="1"/>
  <c r="L172" i="3"/>
  <c r="E151" i="22"/>
  <c r="E167" i="22"/>
  <c r="C103" i="22"/>
  <c r="A103" i="22" s="1"/>
  <c r="E168" i="22"/>
  <c r="C104" i="22"/>
  <c r="A104" i="22" s="1"/>
  <c r="E161" i="22"/>
  <c r="E169" i="22"/>
  <c r="E170" i="22"/>
  <c r="E163" i="22"/>
  <c r="E171" i="22"/>
  <c r="E164" i="22"/>
  <c r="E165" i="22"/>
  <c r="D174" i="22"/>
  <c r="E166" i="22"/>
  <c r="O180" i="22"/>
  <c r="E162" i="22"/>
  <c r="D162" i="22"/>
  <c r="K4" i="20"/>
  <c r="L4" i="20" s="1"/>
  <c r="D174" i="3"/>
  <c r="N8" i="22"/>
  <c r="AF182" i="3"/>
  <c r="G176" i="3"/>
  <c r="C178" i="3"/>
  <c r="H178" i="3" s="1"/>
  <c r="T178" i="3" s="1"/>
  <c r="E178" i="3"/>
  <c r="J178" i="3" s="1"/>
  <c r="E181" i="3"/>
  <c r="J181" i="3" s="1"/>
  <c r="V181" i="3" s="1"/>
  <c r="D167" i="22"/>
  <c r="W176" i="3"/>
  <c r="N172" i="3"/>
  <c r="H5" i="3"/>
  <c r="E176" i="3"/>
  <c r="O5" i="3"/>
  <c r="C177" i="3"/>
  <c r="H177" i="3" s="1"/>
  <c r="E177" i="22"/>
  <c r="E177" i="3"/>
  <c r="J177" i="3" s="1"/>
  <c r="C176" i="3"/>
  <c r="F181" i="3"/>
  <c r="P172" i="3"/>
  <c r="P173" i="3" s="1"/>
  <c r="D168" i="22"/>
  <c r="I30" i="20"/>
  <c r="C13" i="32" s="1"/>
  <c r="AF5" i="3"/>
  <c r="AF172" i="3" s="1"/>
  <c r="AF183" i="3"/>
  <c r="AH5" i="3"/>
  <c r="S173" i="3"/>
  <c r="M173" i="3"/>
  <c r="L5" i="3"/>
  <c r="D5" i="3"/>
  <c r="J5" i="3"/>
  <c r="E105" i="22"/>
  <c r="J174" i="3"/>
  <c r="C181" i="3"/>
  <c r="E174" i="22"/>
  <c r="AF176" i="3"/>
  <c r="Y176" i="3"/>
  <c r="E173" i="22"/>
  <c r="W181" i="3"/>
  <c r="X181" i="3" s="1"/>
  <c r="W174" i="3"/>
  <c r="D172" i="5"/>
  <c r="G41" i="22"/>
  <c r="G40" i="22"/>
  <c r="G43" i="22"/>
  <c r="G39" i="22"/>
  <c r="G42" i="22"/>
  <c r="F40" i="22"/>
  <c r="F43" i="22"/>
  <c r="F41" i="22"/>
  <c r="F42" i="22"/>
  <c r="F39" i="22"/>
  <c r="H43" i="22"/>
  <c r="H40" i="22"/>
  <c r="H41" i="22"/>
  <c r="H42" i="22"/>
  <c r="H39" i="22"/>
  <c r="C14" i="22" a="1"/>
  <c r="I40" i="22"/>
  <c r="I43" i="22"/>
  <c r="I39" i="22"/>
  <c r="I42" i="22"/>
  <c r="I41" i="22"/>
  <c r="H38" i="22" l="1"/>
  <c r="I38" i="22"/>
  <c r="C71" i="22"/>
  <c r="A71" i="22" s="1"/>
  <c r="G38" i="22"/>
  <c r="F38" i="22"/>
  <c r="E38" i="22"/>
  <c r="E71" i="22" s="1"/>
  <c r="E102" i="22" s="1"/>
  <c r="D38" i="22"/>
  <c r="C102" i="22"/>
  <c r="A102" i="22" s="1"/>
  <c r="I37" i="22"/>
  <c r="G37" i="22"/>
  <c r="H37" i="22"/>
  <c r="F37" i="22"/>
  <c r="C70" i="22"/>
  <c r="E37" i="22"/>
  <c r="E70" i="22" s="1"/>
  <c r="E101" i="22" s="1"/>
  <c r="D37" i="22"/>
  <c r="AH56" i="3"/>
  <c r="AH170" i="3"/>
  <c r="AG170" i="3" s="1"/>
  <c r="F175" i="3"/>
  <c r="I177" i="3"/>
  <c r="V178" i="3"/>
  <c r="U178" i="3" s="1"/>
  <c r="I178" i="3"/>
  <c r="W175" i="3"/>
  <c r="X177" i="3"/>
  <c r="H176" i="3"/>
  <c r="C175" i="3"/>
  <c r="T177" i="3"/>
  <c r="M4" i="20"/>
  <c r="T5" i="3"/>
  <c r="T172" i="3" s="1"/>
  <c r="H172" i="3"/>
  <c r="C49" i="22"/>
  <c r="F28" i="22"/>
  <c r="H16" i="22"/>
  <c r="I16" i="22"/>
  <c r="I20" i="22"/>
  <c r="D178" i="3"/>
  <c r="D176" i="3"/>
  <c r="V177" i="3"/>
  <c r="AG182" i="3"/>
  <c r="H35" i="22"/>
  <c r="D36" i="22"/>
  <c r="C69" i="22"/>
  <c r="A69" i="22" s="1"/>
  <c r="E36" i="22"/>
  <c r="E69" i="22" s="1"/>
  <c r="E100" i="22" s="1"/>
  <c r="H36" i="22"/>
  <c r="I36" i="22"/>
  <c r="G36" i="22"/>
  <c r="F36" i="22"/>
  <c r="F35" i="22"/>
  <c r="E35" i="22"/>
  <c r="E68" i="22" s="1"/>
  <c r="E99" i="22" s="1"/>
  <c r="D35" i="22"/>
  <c r="C68" i="22"/>
  <c r="A68" i="22" s="1"/>
  <c r="G35" i="22"/>
  <c r="I35" i="22"/>
  <c r="G175" i="3"/>
  <c r="X176" i="3"/>
  <c r="Y175" i="3"/>
  <c r="J176" i="3"/>
  <c r="V176" i="3" s="1"/>
  <c r="E175" i="3"/>
  <c r="D177" i="3"/>
  <c r="D170" i="22"/>
  <c r="AG5" i="3"/>
  <c r="I5" i="3"/>
  <c r="V5" i="3"/>
  <c r="H181" i="3"/>
  <c r="T181" i="3" s="1"/>
  <c r="U181" i="3" s="1"/>
  <c r="D181" i="3"/>
  <c r="AG176" i="3"/>
  <c r="AF174" i="3"/>
  <c r="AF186" i="3" s="1"/>
  <c r="AF187" i="3" s="1"/>
  <c r="I174" i="3"/>
  <c r="V174" i="3"/>
  <c r="T174" i="3"/>
  <c r="X174" i="3"/>
  <c r="C65" i="22"/>
  <c r="A65" i="22" s="1"/>
  <c r="C57" i="22"/>
  <c r="A57" i="22" s="1"/>
  <c r="E34" i="22"/>
  <c r="E67" i="22" s="1"/>
  <c r="E98" i="22" s="1"/>
  <c r="G33" i="22"/>
  <c r="I32" i="22"/>
  <c r="E30" i="22"/>
  <c r="E63" i="22" s="1"/>
  <c r="E94" i="22" s="1"/>
  <c r="G29" i="22"/>
  <c r="I28" i="22"/>
  <c r="E26" i="22"/>
  <c r="E59" i="22" s="1"/>
  <c r="E90" i="22" s="1"/>
  <c r="C62" i="22"/>
  <c r="A62" i="22" s="1"/>
  <c r="C54" i="22"/>
  <c r="A54" i="22" s="1"/>
  <c r="C67" i="22"/>
  <c r="A67" i="22" s="1"/>
  <c r="A59" i="22"/>
  <c r="C51" i="22"/>
  <c r="A51" i="22" s="1"/>
  <c r="C48" i="22"/>
  <c r="C79" i="22" s="1"/>
  <c r="E33" i="22"/>
  <c r="E66" i="22" s="1"/>
  <c r="E97" i="22" s="1"/>
  <c r="G32" i="22"/>
  <c r="I31" i="22"/>
  <c r="E29" i="22"/>
  <c r="E62" i="22" s="1"/>
  <c r="E93" i="22" s="1"/>
  <c r="G28" i="22"/>
  <c r="I27" i="22"/>
  <c r="E25" i="22"/>
  <c r="E58" i="22" s="1"/>
  <c r="E89" i="22" s="1"/>
  <c r="G24" i="22"/>
  <c r="I23" i="22"/>
  <c r="E21" i="22"/>
  <c r="E54" i="22" s="1"/>
  <c r="E85" i="22" s="1"/>
  <c r="G20" i="22"/>
  <c r="C64" i="22"/>
  <c r="A64" i="22" s="1"/>
  <c r="C56" i="22"/>
  <c r="A56" i="22" s="1"/>
  <c r="C61" i="22"/>
  <c r="A61" i="22" s="1"/>
  <c r="C53" i="22"/>
  <c r="A53" i="22" s="1"/>
  <c r="I34" i="22"/>
  <c r="E32" i="22"/>
  <c r="E65" i="22" s="1"/>
  <c r="E96" i="22" s="1"/>
  <c r="G31" i="22"/>
  <c r="I30" i="22"/>
  <c r="E28" i="22"/>
  <c r="E61" i="22" s="1"/>
  <c r="E92" i="22" s="1"/>
  <c r="G27" i="22"/>
  <c r="I26" i="22"/>
  <c r="C63" i="22"/>
  <c r="A63" i="22" s="1"/>
  <c r="C55" i="22"/>
  <c r="A55" i="22" s="1"/>
  <c r="G34" i="22"/>
  <c r="I33" i="22"/>
  <c r="E31" i="22"/>
  <c r="E64" i="22" s="1"/>
  <c r="E95" i="22" s="1"/>
  <c r="G30" i="22"/>
  <c r="I29" i="22"/>
  <c r="E27" i="22"/>
  <c r="E60" i="22" s="1"/>
  <c r="E91" i="22" s="1"/>
  <c r="G26" i="22"/>
  <c r="I25" i="22"/>
  <c r="C60" i="22"/>
  <c r="A60" i="22" s="1"/>
  <c r="C52" i="22"/>
  <c r="A52" i="22" s="1"/>
  <c r="C58" i="22"/>
  <c r="A58" i="22" s="1"/>
  <c r="D32" i="22"/>
  <c r="H30" i="22"/>
  <c r="F27" i="22"/>
  <c r="I24" i="22"/>
  <c r="E19" i="22"/>
  <c r="E52" i="22" s="1"/>
  <c r="E83" i="22" s="1"/>
  <c r="G18" i="22"/>
  <c r="I17" i="22"/>
  <c r="H33" i="22"/>
  <c r="F30" i="22"/>
  <c r="D27" i="22"/>
  <c r="H25" i="22"/>
  <c r="H24" i="22"/>
  <c r="H23" i="22"/>
  <c r="I22" i="22"/>
  <c r="D19" i="22"/>
  <c r="F18" i="22"/>
  <c r="H17" i="22"/>
  <c r="F33" i="22"/>
  <c r="D30" i="22"/>
  <c r="H28" i="22"/>
  <c r="G25" i="22"/>
  <c r="F24" i="22"/>
  <c r="G23" i="22"/>
  <c r="H22" i="22"/>
  <c r="I21" i="22"/>
  <c r="E18" i="22"/>
  <c r="E51" i="22" s="1"/>
  <c r="E82" i="22" s="1"/>
  <c r="G17" i="22"/>
  <c r="C50" i="22"/>
  <c r="A50" i="22" s="1"/>
  <c r="D33" i="22"/>
  <c r="H31" i="22"/>
  <c r="F25" i="22"/>
  <c r="E24" i="22"/>
  <c r="E57" i="22" s="1"/>
  <c r="E88" i="22" s="1"/>
  <c r="F23" i="22"/>
  <c r="G22" i="22"/>
  <c r="H21" i="22"/>
  <c r="D18" i="22"/>
  <c r="F17" i="22"/>
  <c r="H34" i="22"/>
  <c r="F31" i="22"/>
  <c r="D28" i="22"/>
  <c r="H26" i="22"/>
  <c r="D25" i="22"/>
  <c r="D24" i="22"/>
  <c r="E23" i="22"/>
  <c r="E56" i="22" s="1"/>
  <c r="E87" i="22" s="1"/>
  <c r="F22" i="22"/>
  <c r="G21" i="22"/>
  <c r="H20" i="22"/>
  <c r="I19" i="22"/>
  <c r="E17" i="22"/>
  <c r="E50" i="22" s="1"/>
  <c r="E81" i="22" s="1"/>
  <c r="G16" i="22"/>
  <c r="C66" i="22"/>
  <c r="A66" i="22" s="1"/>
  <c r="F34" i="22"/>
  <c r="D31" i="22"/>
  <c r="H29" i="22"/>
  <c r="F26" i="22"/>
  <c r="D23" i="22"/>
  <c r="E22" i="22"/>
  <c r="E55" i="22" s="1"/>
  <c r="E86" i="22" s="1"/>
  <c r="F21" i="22"/>
  <c r="F20" i="22"/>
  <c r="H19" i="22"/>
  <c r="D17" i="22"/>
  <c r="F16" i="22"/>
  <c r="D34" i="22"/>
  <c r="H32" i="22"/>
  <c r="F29" i="22"/>
  <c r="D26" i="22"/>
  <c r="D22" i="22"/>
  <c r="D21" i="22"/>
  <c r="E20" i="22"/>
  <c r="E53" i="22" s="1"/>
  <c r="E84" i="22" s="1"/>
  <c r="G19" i="22"/>
  <c r="I18" i="22"/>
  <c r="E16" i="22"/>
  <c r="F32" i="22"/>
  <c r="D29" i="22"/>
  <c r="H27" i="22"/>
  <c r="D20" i="22"/>
  <c r="F19" i="22"/>
  <c r="H18" i="22"/>
  <c r="D16" i="22"/>
  <c r="G53" i="22" l="1"/>
  <c r="H54" i="22"/>
  <c r="H61" i="22"/>
  <c r="H64" i="22"/>
  <c r="H65" i="22"/>
  <c r="F67" i="22"/>
  <c r="F51" i="22"/>
  <c r="H55" i="22"/>
  <c r="H50" i="22"/>
  <c r="H57" i="22"/>
  <c r="H62" i="22"/>
  <c r="H59" i="22"/>
  <c r="H60" i="22"/>
  <c r="G50" i="22"/>
  <c r="H67" i="22"/>
  <c r="H56" i="22"/>
  <c r="H44" i="22"/>
  <c r="H52" i="22" s="1"/>
  <c r="H68" i="22"/>
  <c r="H99" i="22" s="1"/>
  <c r="AI179" i="3"/>
  <c r="AG56" i="3"/>
  <c r="C101" i="22"/>
  <c r="A101" i="22" s="1"/>
  <c r="A70" i="22"/>
  <c r="AI15" i="3"/>
  <c r="AI45" i="3"/>
  <c r="AI51" i="3"/>
  <c r="AI54" i="3"/>
  <c r="AI59" i="3"/>
  <c r="AI74" i="3"/>
  <c r="AI76" i="3"/>
  <c r="AI78" i="3"/>
  <c r="AI98" i="3"/>
  <c r="AI104" i="3"/>
  <c r="AI109" i="3"/>
  <c r="AI117" i="3"/>
  <c r="AI124" i="3"/>
  <c r="AI127" i="3"/>
  <c r="AI130" i="3"/>
  <c r="AI151" i="3"/>
  <c r="AI152" i="3"/>
  <c r="AI167" i="3"/>
  <c r="AI19" i="3"/>
  <c r="AI21" i="3"/>
  <c r="AI22" i="3"/>
  <c r="AI23" i="3"/>
  <c r="AI25" i="3"/>
  <c r="AI32" i="3"/>
  <c r="AI39" i="3"/>
  <c r="AI65" i="3"/>
  <c r="AI71" i="3"/>
  <c r="AI73" i="3"/>
  <c r="AI84" i="3"/>
  <c r="AI99" i="3"/>
  <c r="AI101" i="3"/>
  <c r="AI106" i="3"/>
  <c r="AI110" i="3"/>
  <c r="AI112" i="3"/>
  <c r="AI119" i="3"/>
  <c r="AI123" i="3"/>
  <c r="AI137" i="3"/>
  <c r="AI150" i="3"/>
  <c r="AI154" i="3"/>
  <c r="AI159" i="3"/>
  <c r="AI162" i="3"/>
  <c r="AI165" i="3"/>
  <c r="AI169" i="3"/>
  <c r="AI6" i="3"/>
  <c r="AI11" i="3"/>
  <c r="AI14" i="3"/>
  <c r="AI30" i="3"/>
  <c r="AI36" i="3"/>
  <c r="AI44" i="3"/>
  <c r="AI53" i="3"/>
  <c r="AI60" i="3"/>
  <c r="AI61" i="3"/>
  <c r="AI80" i="3"/>
  <c r="AI83" i="3"/>
  <c r="AI102" i="3"/>
  <c r="AI114" i="3"/>
  <c r="AI116" i="3"/>
  <c r="AI120" i="3"/>
  <c r="AI129" i="3"/>
  <c r="AI132" i="3"/>
  <c r="AI135" i="3"/>
  <c r="AI142" i="3"/>
  <c r="AI153" i="3"/>
  <c r="AI158" i="3"/>
  <c r="AI160" i="3"/>
  <c r="AI163" i="3"/>
  <c r="AI28" i="3"/>
  <c r="AI47" i="3"/>
  <c r="AI52" i="3"/>
  <c r="AI64" i="3"/>
  <c r="AI68" i="3"/>
  <c r="AI69" i="3"/>
  <c r="AI81" i="3"/>
  <c r="AI100" i="3"/>
  <c r="AI105" i="3"/>
  <c r="AI107" i="3"/>
  <c r="AI108" i="3"/>
  <c r="AI111" i="3"/>
  <c r="AI121" i="3"/>
  <c r="AI131" i="3"/>
  <c r="AI147" i="3"/>
  <c r="AI155" i="3"/>
  <c r="AI161" i="3"/>
  <c r="AI7" i="3"/>
  <c r="AI8" i="3"/>
  <c r="AI10" i="3"/>
  <c r="AI12" i="3"/>
  <c r="AI13" i="3"/>
  <c r="AI18" i="3"/>
  <c r="AI26" i="3"/>
  <c r="AI27" i="3"/>
  <c r="AI31" i="3"/>
  <c r="AI40" i="3"/>
  <c r="AI41" i="3"/>
  <c r="AI63" i="3"/>
  <c r="AI118" i="3"/>
  <c r="AI122" i="3"/>
  <c r="AI133" i="3"/>
  <c r="AI136" i="3"/>
  <c r="AI143" i="3"/>
  <c r="AI144" i="3"/>
  <c r="AI16" i="3"/>
  <c r="AI17" i="3"/>
  <c r="AI29" i="3"/>
  <c r="AI33" i="3"/>
  <c r="AI34" i="3"/>
  <c r="AI35" i="3"/>
  <c r="AI37" i="3"/>
  <c r="AI43" i="3"/>
  <c r="AI46" i="3"/>
  <c r="AI49" i="3"/>
  <c r="AI50" i="3"/>
  <c r="AI55" i="3"/>
  <c r="AI62" i="3"/>
  <c r="AI67" i="3"/>
  <c r="AI82" i="3"/>
  <c r="AI113" i="3"/>
  <c r="AI125" i="3"/>
  <c r="AI126" i="3"/>
  <c r="AI134" i="3"/>
  <c r="AI138" i="3"/>
  <c r="AI145" i="3"/>
  <c r="AI148" i="3"/>
  <c r="AI149" i="3"/>
  <c r="AI156" i="3"/>
  <c r="AI157" i="3"/>
  <c r="AI164" i="3"/>
  <c r="AI85" i="3"/>
  <c r="Z85" i="3" s="1"/>
  <c r="AL85" i="3" s="1"/>
  <c r="AI86" i="3"/>
  <c r="AI87" i="3"/>
  <c r="AI88" i="3"/>
  <c r="AI89" i="3"/>
  <c r="AI90" i="3"/>
  <c r="AI91" i="3"/>
  <c r="AI96" i="3"/>
  <c r="AI103" i="3"/>
  <c r="AI115" i="3"/>
  <c r="AI128" i="3"/>
  <c r="AI139" i="3"/>
  <c r="AI140" i="3"/>
  <c r="AI141" i="3"/>
  <c r="AI146" i="3"/>
  <c r="AI166" i="3"/>
  <c r="AI168" i="3"/>
  <c r="AI75" i="3"/>
  <c r="AI77" i="3"/>
  <c r="AI56" i="3"/>
  <c r="Z56" i="3" s="1"/>
  <c r="AL56" i="3" s="1"/>
  <c r="T176" i="3"/>
  <c r="T175" i="3" s="1"/>
  <c r="H175" i="3"/>
  <c r="U177" i="3"/>
  <c r="U176" i="3"/>
  <c r="A49" i="22"/>
  <c r="E49" i="22"/>
  <c r="E80" i="22" s="1"/>
  <c r="C89" i="22"/>
  <c r="A89" i="22" s="1"/>
  <c r="C94" i="22"/>
  <c r="A94" i="22" s="1"/>
  <c r="C87" i="22"/>
  <c r="A87" i="22" s="1"/>
  <c r="C98" i="22"/>
  <c r="A98" i="22" s="1"/>
  <c r="C96" i="22"/>
  <c r="A96" i="22" s="1"/>
  <c r="C93" i="22"/>
  <c r="A93" i="22" s="1"/>
  <c r="C83" i="22"/>
  <c r="A83" i="22" s="1"/>
  <c r="C85" i="22"/>
  <c r="A85" i="22" s="1"/>
  <c r="C91" i="22"/>
  <c r="A91" i="22" s="1"/>
  <c r="C95" i="22"/>
  <c r="A95" i="22" s="1"/>
  <c r="C99" i="22"/>
  <c r="A99" i="22" s="1"/>
  <c r="C100" i="22"/>
  <c r="A100" i="22" s="1"/>
  <c r="C84" i="22"/>
  <c r="A84" i="22" s="1"/>
  <c r="C82" i="22"/>
  <c r="A82" i="22" s="1"/>
  <c r="C97" i="22"/>
  <c r="A97" i="22" s="1"/>
  <c r="C81" i="22"/>
  <c r="A81" i="22" s="1"/>
  <c r="C86" i="22"/>
  <c r="A86" i="22" s="1"/>
  <c r="C92" i="22"/>
  <c r="A92" i="22" s="1"/>
  <c r="A90" i="22"/>
  <c r="C88" i="22"/>
  <c r="A88" i="22" s="1"/>
  <c r="J175" i="3"/>
  <c r="I176" i="3"/>
  <c r="D161" i="22"/>
  <c r="D169" i="22"/>
  <c r="D165" i="22"/>
  <c r="U5" i="3"/>
  <c r="D166" i="22"/>
  <c r="U174" i="3"/>
  <c r="D173" i="22"/>
  <c r="V175" i="3"/>
  <c r="I181" i="3"/>
  <c r="I44" i="22"/>
  <c r="I57" i="22" s="1"/>
  <c r="C80" i="22"/>
  <c r="AI5" i="3"/>
  <c r="F44" i="22"/>
  <c r="F68" i="22" s="1"/>
  <c r="F99" i="22" s="1"/>
  <c r="G44" i="22"/>
  <c r="G59" i="22" s="1"/>
  <c r="G61" i="22" l="1"/>
  <c r="F66" i="22"/>
  <c r="G58" i="22"/>
  <c r="G89" i="22" s="1"/>
  <c r="G67" i="22"/>
  <c r="G98" i="22" s="1"/>
  <c r="H58" i="22"/>
  <c r="F50" i="22"/>
  <c r="F61" i="22"/>
  <c r="N61" i="22" s="1"/>
  <c r="F54" i="22"/>
  <c r="H63" i="22"/>
  <c r="H51" i="22"/>
  <c r="H53" i="22"/>
  <c r="F65" i="22"/>
  <c r="I60" i="22"/>
  <c r="G65" i="22"/>
  <c r="G63" i="22"/>
  <c r="G94" i="22" s="1"/>
  <c r="I52" i="22"/>
  <c r="G60" i="22"/>
  <c r="F59" i="22"/>
  <c r="I66" i="22"/>
  <c r="I97" i="22" s="1"/>
  <c r="I61" i="22"/>
  <c r="G57" i="22"/>
  <c r="F57" i="22"/>
  <c r="I65" i="22"/>
  <c r="I96" i="22" s="1"/>
  <c r="F62" i="22"/>
  <c r="I51" i="22"/>
  <c r="I58" i="22"/>
  <c r="I89" i="22" s="1"/>
  <c r="G55" i="22"/>
  <c r="I54" i="22"/>
  <c r="F60" i="22"/>
  <c r="G66" i="22"/>
  <c r="G51" i="22"/>
  <c r="N51" i="22" s="1"/>
  <c r="G62" i="22"/>
  <c r="F63" i="22"/>
  <c r="G54" i="22"/>
  <c r="F92" i="22"/>
  <c r="I55" i="22"/>
  <c r="F58" i="22"/>
  <c r="G64" i="22"/>
  <c r="F56" i="22"/>
  <c r="G52" i="22"/>
  <c r="I53" i="22"/>
  <c r="H93" i="22"/>
  <c r="I67" i="22"/>
  <c r="F64" i="22"/>
  <c r="I63" i="22"/>
  <c r="F55" i="22"/>
  <c r="G56" i="22"/>
  <c r="I59" i="22"/>
  <c r="I90" i="22" s="1"/>
  <c r="I64" i="22"/>
  <c r="I50" i="22"/>
  <c r="I56" i="22"/>
  <c r="F52" i="22"/>
  <c r="I62" i="22"/>
  <c r="H66" i="22"/>
  <c r="F53" i="22"/>
  <c r="H70" i="22"/>
  <c r="H101" i="22" s="1"/>
  <c r="I69" i="22"/>
  <c r="I100" i="22" s="1"/>
  <c r="I68" i="22"/>
  <c r="I99" i="22" s="1"/>
  <c r="F69" i="22"/>
  <c r="F100" i="22" s="1"/>
  <c r="I49" i="22"/>
  <c r="I74" i="22"/>
  <c r="I73" i="22"/>
  <c r="I104" i="22" s="1"/>
  <c r="I71" i="22"/>
  <c r="I102" i="22" s="1"/>
  <c r="I72" i="22"/>
  <c r="I103" i="22" s="1"/>
  <c r="I70" i="22"/>
  <c r="I101" i="22" s="1"/>
  <c r="H73" i="22"/>
  <c r="H104" i="22" s="1"/>
  <c r="H72" i="22"/>
  <c r="H103" i="22" s="1"/>
  <c r="H71" i="22"/>
  <c r="H102" i="22" s="1"/>
  <c r="H74" i="22"/>
  <c r="G68" i="22"/>
  <c r="G70" i="22"/>
  <c r="G101" i="22" s="1"/>
  <c r="G74" i="22"/>
  <c r="G71" i="22"/>
  <c r="G102" i="22" s="1"/>
  <c r="G72" i="22"/>
  <c r="G103" i="22" s="1"/>
  <c r="G73" i="22"/>
  <c r="G104" i="22" s="1"/>
  <c r="H69" i="22"/>
  <c r="H100" i="22" s="1"/>
  <c r="F70" i="22"/>
  <c r="F101" i="22" s="1"/>
  <c r="F71" i="22"/>
  <c r="F102" i="22" s="1"/>
  <c r="F74" i="22"/>
  <c r="F73" i="22"/>
  <c r="F104" i="22" s="1"/>
  <c r="F72" i="22"/>
  <c r="G69" i="22"/>
  <c r="G100" i="22" s="1"/>
  <c r="AK179" i="3"/>
  <c r="AB179" i="3" s="1"/>
  <c r="Z179" i="3"/>
  <c r="AJ179" i="3"/>
  <c r="AD180" i="3"/>
  <c r="Z15" i="3"/>
  <c r="AJ15" i="3"/>
  <c r="Z45" i="3"/>
  <c r="AJ45" i="3"/>
  <c r="Z51" i="3"/>
  <c r="AJ51" i="3"/>
  <c r="Z54" i="3"/>
  <c r="AJ54" i="3"/>
  <c r="Z59" i="3"/>
  <c r="AJ59" i="3"/>
  <c r="Z74" i="3"/>
  <c r="AJ74" i="3"/>
  <c r="Z76" i="3"/>
  <c r="AJ76" i="3"/>
  <c r="Z78" i="3"/>
  <c r="AJ78" i="3"/>
  <c r="Z98" i="3"/>
  <c r="AJ98" i="3"/>
  <c r="Z104" i="3"/>
  <c r="AJ104" i="3"/>
  <c r="Z109" i="3"/>
  <c r="AJ109" i="3"/>
  <c r="Z117" i="3"/>
  <c r="AJ117" i="3"/>
  <c r="Z124" i="3"/>
  <c r="AJ124" i="3"/>
  <c r="Z127" i="3"/>
  <c r="AJ127" i="3"/>
  <c r="Z130" i="3"/>
  <c r="AJ130" i="3"/>
  <c r="Z151" i="3"/>
  <c r="AJ151" i="3"/>
  <c r="Z152" i="3"/>
  <c r="AJ152" i="3"/>
  <c r="Z167" i="3"/>
  <c r="AJ167" i="3"/>
  <c r="Z19" i="3"/>
  <c r="AJ19" i="3"/>
  <c r="Z21" i="3"/>
  <c r="AJ21" i="3"/>
  <c r="Z22" i="3"/>
  <c r="AJ22" i="3"/>
  <c r="Z23" i="3"/>
  <c r="AJ23" i="3"/>
  <c r="Z25" i="3"/>
  <c r="AJ25" i="3"/>
  <c r="Z32" i="3"/>
  <c r="AJ32" i="3"/>
  <c r="Z39" i="3"/>
  <c r="AJ39" i="3"/>
  <c r="Z65" i="3"/>
  <c r="AJ65" i="3"/>
  <c r="Z71" i="3"/>
  <c r="AJ71" i="3"/>
  <c r="Z73" i="3"/>
  <c r="AJ73" i="3"/>
  <c r="Z84" i="3"/>
  <c r="AJ84" i="3"/>
  <c r="Z99" i="3"/>
  <c r="AJ99" i="3"/>
  <c r="Z101" i="3"/>
  <c r="AJ101" i="3"/>
  <c r="Z106" i="3"/>
  <c r="AJ106" i="3"/>
  <c r="Z110" i="3"/>
  <c r="AJ110" i="3"/>
  <c r="Z112" i="3"/>
  <c r="AJ112" i="3"/>
  <c r="Z119" i="3"/>
  <c r="AJ119" i="3"/>
  <c r="Z123" i="3"/>
  <c r="AJ123" i="3"/>
  <c r="Z137" i="3"/>
  <c r="AJ137" i="3"/>
  <c r="Z150" i="3"/>
  <c r="AJ150" i="3"/>
  <c r="Z154" i="3"/>
  <c r="AJ154" i="3"/>
  <c r="Z159" i="3"/>
  <c r="AJ159" i="3"/>
  <c r="Z162" i="3"/>
  <c r="AJ162" i="3"/>
  <c r="Z165" i="3"/>
  <c r="AJ165" i="3"/>
  <c r="Z169" i="3"/>
  <c r="AJ169" i="3"/>
  <c r="Z6" i="3"/>
  <c r="AJ6" i="3"/>
  <c r="Z11" i="3"/>
  <c r="AJ11" i="3"/>
  <c r="Z14" i="3"/>
  <c r="AJ14" i="3"/>
  <c r="Z30" i="3"/>
  <c r="AJ30" i="3"/>
  <c r="Z36" i="3"/>
  <c r="AJ36" i="3"/>
  <c r="Z44" i="3"/>
  <c r="AJ44" i="3"/>
  <c r="Z53" i="3"/>
  <c r="AJ53" i="3"/>
  <c r="Z60" i="3"/>
  <c r="AJ60" i="3"/>
  <c r="Z61" i="3"/>
  <c r="AJ61" i="3"/>
  <c r="Z80" i="3"/>
  <c r="Z83" i="3"/>
  <c r="AJ83" i="3"/>
  <c r="Z102" i="3"/>
  <c r="AJ102" i="3"/>
  <c r="Z114" i="3"/>
  <c r="AJ114" i="3"/>
  <c r="Z116" i="3"/>
  <c r="AJ116" i="3"/>
  <c r="Z120" i="3"/>
  <c r="AJ120" i="3"/>
  <c r="Z129" i="3"/>
  <c r="AJ129" i="3"/>
  <c r="Z132" i="3"/>
  <c r="AJ132" i="3"/>
  <c r="Z135" i="3"/>
  <c r="AJ135" i="3"/>
  <c r="Z142" i="3"/>
  <c r="AJ142" i="3"/>
  <c r="Z153" i="3"/>
  <c r="AJ153" i="3"/>
  <c r="Z158" i="3"/>
  <c r="AJ158" i="3"/>
  <c r="Z160" i="3"/>
  <c r="AJ160" i="3"/>
  <c r="Z163" i="3"/>
  <c r="AJ163" i="3"/>
  <c r="Z28" i="3"/>
  <c r="AJ28" i="3"/>
  <c r="Z47" i="3"/>
  <c r="AJ47" i="3"/>
  <c r="Z52" i="3"/>
  <c r="AJ52" i="3"/>
  <c r="Z64" i="3"/>
  <c r="AJ64" i="3"/>
  <c r="Z68" i="3"/>
  <c r="AJ68" i="3"/>
  <c r="Z69" i="3"/>
  <c r="AJ69" i="3"/>
  <c r="Z81" i="3"/>
  <c r="AJ81" i="3"/>
  <c r="Z100" i="3"/>
  <c r="AJ100" i="3"/>
  <c r="Z105" i="3"/>
  <c r="AJ105" i="3"/>
  <c r="Z107" i="3"/>
  <c r="AJ107" i="3"/>
  <c r="Z108" i="3"/>
  <c r="AJ108" i="3"/>
  <c r="Z111" i="3"/>
  <c r="AJ111" i="3"/>
  <c r="Z121" i="3"/>
  <c r="AJ121" i="3"/>
  <c r="Z131" i="3"/>
  <c r="AJ131" i="3"/>
  <c r="Z147" i="3"/>
  <c r="AJ147" i="3"/>
  <c r="Z155" i="3"/>
  <c r="AJ155" i="3"/>
  <c r="Z161" i="3"/>
  <c r="AJ161" i="3"/>
  <c r="Z7" i="3"/>
  <c r="AJ7" i="3"/>
  <c r="Z8" i="3"/>
  <c r="AJ8" i="3"/>
  <c r="Z10" i="3"/>
  <c r="AJ10" i="3"/>
  <c r="Z12" i="3"/>
  <c r="AJ12" i="3"/>
  <c r="Z13" i="3"/>
  <c r="AJ13" i="3"/>
  <c r="Z18" i="3"/>
  <c r="AJ18" i="3"/>
  <c r="Z26" i="3"/>
  <c r="AJ26" i="3"/>
  <c r="Z27" i="3"/>
  <c r="AJ27" i="3"/>
  <c r="Z31" i="3"/>
  <c r="AJ31" i="3"/>
  <c r="Z40" i="3"/>
  <c r="AJ40" i="3"/>
  <c r="Z41" i="3"/>
  <c r="AJ41" i="3"/>
  <c r="Z63" i="3"/>
  <c r="AJ63" i="3"/>
  <c r="Z118" i="3"/>
  <c r="AJ118" i="3"/>
  <c r="Z122" i="3"/>
  <c r="AJ122" i="3"/>
  <c r="Z133" i="3"/>
  <c r="AJ133" i="3"/>
  <c r="Z136" i="3"/>
  <c r="AJ136" i="3"/>
  <c r="Z143" i="3"/>
  <c r="AJ143" i="3"/>
  <c r="Z144" i="3"/>
  <c r="AJ144" i="3"/>
  <c r="Z16" i="3"/>
  <c r="AJ16" i="3"/>
  <c r="Z17" i="3"/>
  <c r="AJ17" i="3"/>
  <c r="Z29" i="3"/>
  <c r="AJ29" i="3"/>
  <c r="Z33" i="3"/>
  <c r="AJ33" i="3"/>
  <c r="Z34" i="3"/>
  <c r="AJ34" i="3"/>
  <c r="Z35" i="3"/>
  <c r="AJ35" i="3"/>
  <c r="Z37" i="3"/>
  <c r="AJ37" i="3"/>
  <c r="Z43" i="3"/>
  <c r="AJ43" i="3"/>
  <c r="Z46" i="3"/>
  <c r="AJ46" i="3"/>
  <c r="Z49" i="3"/>
  <c r="AJ49" i="3"/>
  <c r="Z50" i="3"/>
  <c r="AJ50" i="3"/>
  <c r="Z55" i="3"/>
  <c r="AJ55" i="3"/>
  <c r="Z62" i="3"/>
  <c r="AJ62" i="3"/>
  <c r="Z67" i="3"/>
  <c r="AJ67" i="3"/>
  <c r="Z82" i="3"/>
  <c r="AJ82" i="3"/>
  <c r="Z113" i="3"/>
  <c r="AJ113" i="3"/>
  <c r="Z125" i="3"/>
  <c r="AJ125" i="3"/>
  <c r="Z126" i="3"/>
  <c r="AJ126" i="3"/>
  <c r="Z134" i="3"/>
  <c r="AJ134" i="3"/>
  <c r="Z138" i="3"/>
  <c r="AJ138" i="3"/>
  <c r="Z145" i="3"/>
  <c r="AJ145" i="3"/>
  <c r="Z148" i="3"/>
  <c r="AJ148" i="3"/>
  <c r="Z149" i="3"/>
  <c r="AJ149" i="3"/>
  <c r="Z156" i="3"/>
  <c r="AJ156" i="3"/>
  <c r="Z157" i="3"/>
  <c r="AJ157" i="3"/>
  <c r="Z164" i="3"/>
  <c r="AJ164" i="3"/>
  <c r="Z86" i="3"/>
  <c r="AJ86" i="3"/>
  <c r="Z87" i="3"/>
  <c r="AJ87" i="3"/>
  <c r="Z88" i="3"/>
  <c r="AJ88" i="3"/>
  <c r="Z89" i="3"/>
  <c r="AJ89" i="3"/>
  <c r="Z90" i="3"/>
  <c r="AJ90" i="3"/>
  <c r="Z91" i="3"/>
  <c r="AJ91" i="3"/>
  <c r="Z96" i="3"/>
  <c r="AJ96" i="3"/>
  <c r="Z103" i="3"/>
  <c r="AJ103" i="3"/>
  <c r="Z115" i="3"/>
  <c r="AJ115" i="3"/>
  <c r="Z128" i="3"/>
  <c r="AJ128" i="3"/>
  <c r="Z139" i="3"/>
  <c r="AJ139" i="3"/>
  <c r="Z140" i="3"/>
  <c r="AJ140" i="3"/>
  <c r="Z141" i="3"/>
  <c r="AJ141" i="3"/>
  <c r="Z146" i="3"/>
  <c r="AJ146" i="3"/>
  <c r="Z166" i="3"/>
  <c r="AJ166" i="3"/>
  <c r="Z168" i="3"/>
  <c r="AJ168" i="3"/>
  <c r="Z75" i="3"/>
  <c r="Z77" i="3"/>
  <c r="AK65" i="3"/>
  <c r="AB65" i="3" s="1"/>
  <c r="AN65" i="3" s="1"/>
  <c r="AK29" i="3"/>
  <c r="AB29" i="3" s="1"/>
  <c r="AN29" i="3" s="1"/>
  <c r="AK6" i="3"/>
  <c r="AB6" i="3" s="1"/>
  <c r="AN6" i="3" s="1"/>
  <c r="AK8" i="3"/>
  <c r="AB8" i="3" s="1"/>
  <c r="AN8" i="3" s="1"/>
  <c r="AK18" i="3"/>
  <c r="AB18" i="3" s="1"/>
  <c r="AN18" i="3" s="1"/>
  <c r="AK21" i="3"/>
  <c r="AB21" i="3" s="1"/>
  <c r="AN21" i="3" s="1"/>
  <c r="AK32" i="3"/>
  <c r="AB32" i="3" s="1"/>
  <c r="AN32" i="3" s="1"/>
  <c r="AK40" i="3"/>
  <c r="AB40" i="3" s="1"/>
  <c r="AN40" i="3" s="1"/>
  <c r="AK60" i="3"/>
  <c r="AB60" i="3" s="1"/>
  <c r="AN60" i="3" s="1"/>
  <c r="AK61" i="3"/>
  <c r="AB61" i="3" s="1"/>
  <c r="AN61" i="3" s="1"/>
  <c r="AK99" i="3"/>
  <c r="AB99" i="3" s="1"/>
  <c r="AN99" i="3" s="1"/>
  <c r="AK107" i="3"/>
  <c r="AB107" i="3" s="1"/>
  <c r="AN107" i="3" s="1"/>
  <c r="AK118" i="3"/>
  <c r="AB118" i="3" s="1"/>
  <c r="AN118" i="3" s="1"/>
  <c r="AK119" i="3"/>
  <c r="AB119" i="3" s="1"/>
  <c r="AN119" i="3" s="1"/>
  <c r="AK122" i="3"/>
  <c r="AB122" i="3" s="1"/>
  <c r="AN122" i="3" s="1"/>
  <c r="AK129" i="3"/>
  <c r="AB129" i="3" s="1"/>
  <c r="AN129" i="3" s="1"/>
  <c r="AK144" i="3"/>
  <c r="AB144" i="3" s="1"/>
  <c r="AN144" i="3" s="1"/>
  <c r="AK145" i="3"/>
  <c r="AB145" i="3" s="1"/>
  <c r="AN145" i="3" s="1"/>
  <c r="AK146" i="3"/>
  <c r="AB146" i="3" s="1"/>
  <c r="AN146" i="3" s="1"/>
  <c r="AK149" i="3"/>
  <c r="AB149" i="3" s="1"/>
  <c r="AN149" i="3" s="1"/>
  <c r="AK156" i="3"/>
  <c r="AB156" i="3" s="1"/>
  <c r="AN156" i="3" s="1"/>
  <c r="AK158" i="3"/>
  <c r="AB158" i="3" s="1"/>
  <c r="AN158" i="3" s="1"/>
  <c r="AK168" i="3"/>
  <c r="AB168" i="3" s="1"/>
  <c r="AN168" i="3" s="1"/>
  <c r="AK10" i="3"/>
  <c r="AB10" i="3" s="1"/>
  <c r="AN10" i="3" s="1"/>
  <c r="AK12" i="3"/>
  <c r="AB12" i="3" s="1"/>
  <c r="AN12" i="3" s="1"/>
  <c r="AK13" i="3"/>
  <c r="AB13" i="3" s="1"/>
  <c r="AN13" i="3" s="1"/>
  <c r="AK14" i="3"/>
  <c r="AB14" i="3" s="1"/>
  <c r="AN14" i="3" s="1"/>
  <c r="AK26" i="3"/>
  <c r="AB26" i="3" s="1"/>
  <c r="AN26" i="3" s="1"/>
  <c r="AK28" i="3"/>
  <c r="AB28" i="3" s="1"/>
  <c r="AN28" i="3" s="1"/>
  <c r="AK33" i="3"/>
  <c r="AB33" i="3" s="1"/>
  <c r="AN33" i="3" s="1"/>
  <c r="AK45" i="3"/>
  <c r="AB45" i="3" s="1"/>
  <c r="AN45" i="3" s="1"/>
  <c r="AK64" i="3"/>
  <c r="AB64" i="3" s="1"/>
  <c r="AN64" i="3" s="1"/>
  <c r="AK67" i="3"/>
  <c r="AB67" i="3" s="1"/>
  <c r="AN67" i="3" s="1"/>
  <c r="AK80" i="3"/>
  <c r="AB80" i="3" s="1"/>
  <c r="AN80" i="3" s="1"/>
  <c r="AK98" i="3"/>
  <c r="AB98" i="3" s="1"/>
  <c r="AN98" i="3" s="1"/>
  <c r="AK108" i="3"/>
  <c r="AB108" i="3" s="1"/>
  <c r="AN108" i="3" s="1"/>
  <c r="AK115" i="3"/>
  <c r="AB115" i="3" s="1"/>
  <c r="AN115" i="3" s="1"/>
  <c r="AK126" i="3"/>
  <c r="AB126" i="3" s="1"/>
  <c r="AN126" i="3" s="1"/>
  <c r="AK133" i="3"/>
  <c r="AB133" i="3" s="1"/>
  <c r="AN133" i="3" s="1"/>
  <c r="AK151" i="3"/>
  <c r="AB151" i="3" s="1"/>
  <c r="AN151" i="3" s="1"/>
  <c r="AK152" i="3"/>
  <c r="AB152" i="3" s="1"/>
  <c r="AN152" i="3" s="1"/>
  <c r="AK160" i="3"/>
  <c r="AB160" i="3" s="1"/>
  <c r="AN160" i="3" s="1"/>
  <c r="AK163" i="3"/>
  <c r="AB163" i="3" s="1"/>
  <c r="AN163" i="3" s="1"/>
  <c r="AK167" i="3"/>
  <c r="AB167" i="3" s="1"/>
  <c r="AN167" i="3" s="1"/>
  <c r="AK27" i="3"/>
  <c r="AB27" i="3" s="1"/>
  <c r="AN27" i="3" s="1"/>
  <c r="AK34" i="3"/>
  <c r="AB34" i="3" s="1"/>
  <c r="AN34" i="3" s="1"/>
  <c r="AK35" i="3"/>
  <c r="AB35" i="3" s="1"/>
  <c r="AN35" i="3" s="1"/>
  <c r="AK41" i="3"/>
  <c r="AB41" i="3" s="1"/>
  <c r="AN41" i="3" s="1"/>
  <c r="AK62" i="3"/>
  <c r="AB62" i="3" s="1"/>
  <c r="AN62" i="3" s="1"/>
  <c r="AK73" i="3"/>
  <c r="AB73" i="3" s="1"/>
  <c r="AN73" i="3" s="1"/>
  <c r="AK96" i="3"/>
  <c r="AB96" i="3" s="1"/>
  <c r="AN96" i="3" s="1"/>
  <c r="AK100" i="3"/>
  <c r="AB100" i="3" s="1"/>
  <c r="AN100" i="3" s="1"/>
  <c r="AK112" i="3"/>
  <c r="AB112" i="3" s="1"/>
  <c r="AN112" i="3" s="1"/>
  <c r="AK121" i="3"/>
  <c r="AB121" i="3" s="1"/>
  <c r="AN121" i="3" s="1"/>
  <c r="AK128" i="3"/>
  <c r="AB128" i="3" s="1"/>
  <c r="AN128" i="3" s="1"/>
  <c r="AK130" i="3"/>
  <c r="AB130" i="3" s="1"/>
  <c r="AN130" i="3" s="1"/>
  <c r="AK136" i="3"/>
  <c r="AB136" i="3" s="1"/>
  <c r="AN136" i="3" s="1"/>
  <c r="AK143" i="3"/>
  <c r="AB143" i="3" s="1"/>
  <c r="AN143" i="3" s="1"/>
  <c r="AK147" i="3"/>
  <c r="AB147" i="3" s="1"/>
  <c r="AN147" i="3" s="1"/>
  <c r="AK150" i="3"/>
  <c r="AB150" i="3" s="1"/>
  <c r="AN150" i="3" s="1"/>
  <c r="AK161" i="3"/>
  <c r="AB161" i="3" s="1"/>
  <c r="AN161" i="3" s="1"/>
  <c r="AK166" i="3"/>
  <c r="AB166" i="3" s="1"/>
  <c r="AN166" i="3" s="1"/>
  <c r="AK22" i="3"/>
  <c r="AB22" i="3" s="1"/>
  <c r="AN22" i="3" s="1"/>
  <c r="AK31" i="3"/>
  <c r="AB31" i="3" s="1"/>
  <c r="AN31" i="3" s="1"/>
  <c r="AK43" i="3"/>
  <c r="AB43" i="3" s="1"/>
  <c r="AN43" i="3" s="1"/>
  <c r="AK49" i="3"/>
  <c r="AB49" i="3" s="1"/>
  <c r="AN49" i="3" s="1"/>
  <c r="AK50" i="3"/>
  <c r="AB50" i="3" s="1"/>
  <c r="AN50" i="3" s="1"/>
  <c r="AK82" i="3"/>
  <c r="AB82" i="3" s="1"/>
  <c r="AN82" i="3" s="1"/>
  <c r="AK101" i="3"/>
  <c r="AB101" i="3" s="1"/>
  <c r="AN101" i="3" s="1"/>
  <c r="AK102" i="3"/>
  <c r="AB102" i="3" s="1"/>
  <c r="AN102" i="3" s="1"/>
  <c r="AK103" i="3"/>
  <c r="AB103" i="3" s="1"/>
  <c r="AN103" i="3" s="1"/>
  <c r="AK109" i="3"/>
  <c r="AB109" i="3" s="1"/>
  <c r="AN109" i="3" s="1"/>
  <c r="AK117" i="3"/>
  <c r="AB117" i="3" s="1"/>
  <c r="AN117" i="3" s="1"/>
  <c r="AK124" i="3"/>
  <c r="AB124" i="3" s="1"/>
  <c r="AN124" i="3" s="1"/>
  <c r="AK132" i="3"/>
  <c r="AB132" i="3" s="1"/>
  <c r="AN132" i="3" s="1"/>
  <c r="AK135" i="3"/>
  <c r="AB135" i="3" s="1"/>
  <c r="AN135" i="3" s="1"/>
  <c r="AK137" i="3"/>
  <c r="AB137" i="3" s="1"/>
  <c r="AN137" i="3" s="1"/>
  <c r="AK140" i="3"/>
  <c r="AB140" i="3" s="1"/>
  <c r="AN140" i="3" s="1"/>
  <c r="AK141" i="3"/>
  <c r="AB141" i="3" s="1"/>
  <c r="AN141" i="3" s="1"/>
  <c r="AK159" i="3"/>
  <c r="AB159" i="3" s="1"/>
  <c r="AN159" i="3" s="1"/>
  <c r="AK11" i="3"/>
  <c r="AB11" i="3" s="1"/>
  <c r="AN11" i="3" s="1"/>
  <c r="AK15" i="3"/>
  <c r="AB15" i="3" s="1"/>
  <c r="AN15" i="3" s="1"/>
  <c r="AK19" i="3"/>
  <c r="AB19" i="3" s="1"/>
  <c r="AN19" i="3" s="1"/>
  <c r="AK37" i="3"/>
  <c r="AB37" i="3" s="1"/>
  <c r="AN37" i="3" s="1"/>
  <c r="AK39" i="3"/>
  <c r="AB39" i="3" s="1"/>
  <c r="AN39" i="3" s="1"/>
  <c r="AK46" i="3"/>
  <c r="AB46" i="3" s="1"/>
  <c r="AN46" i="3" s="1"/>
  <c r="AK59" i="3"/>
  <c r="AB59" i="3" s="1"/>
  <c r="AN59" i="3" s="1"/>
  <c r="AK76" i="3"/>
  <c r="AB76" i="3" s="1"/>
  <c r="AN76" i="3" s="1"/>
  <c r="AK78" i="3"/>
  <c r="AB78" i="3" s="1"/>
  <c r="AN78" i="3" s="1"/>
  <c r="AK106" i="3"/>
  <c r="AB106" i="3" s="1"/>
  <c r="AN106" i="3" s="1"/>
  <c r="AK113" i="3"/>
  <c r="AB113" i="3" s="1"/>
  <c r="AN113" i="3" s="1"/>
  <c r="AK116" i="3"/>
  <c r="AB116" i="3" s="1"/>
  <c r="AN116" i="3" s="1"/>
  <c r="AK131" i="3"/>
  <c r="AB131" i="3" s="1"/>
  <c r="AN131" i="3" s="1"/>
  <c r="AK139" i="3"/>
  <c r="AB139" i="3" s="1"/>
  <c r="AN139" i="3" s="1"/>
  <c r="AK148" i="3"/>
  <c r="AB148" i="3" s="1"/>
  <c r="AN148" i="3" s="1"/>
  <c r="AK155" i="3"/>
  <c r="AB155" i="3" s="1"/>
  <c r="AN155" i="3" s="1"/>
  <c r="AK165" i="3"/>
  <c r="AB165" i="3" s="1"/>
  <c r="AN165" i="3" s="1"/>
  <c r="AK16" i="3"/>
  <c r="AB16" i="3" s="1"/>
  <c r="AN16" i="3" s="1"/>
  <c r="AK17" i="3"/>
  <c r="AB17" i="3" s="1"/>
  <c r="AN17" i="3" s="1"/>
  <c r="AK25" i="3"/>
  <c r="AB25" i="3" s="1"/>
  <c r="AN25" i="3" s="1"/>
  <c r="AK30" i="3"/>
  <c r="AB30" i="3" s="1"/>
  <c r="AN30" i="3" s="1"/>
  <c r="AK36" i="3"/>
  <c r="AB36" i="3" s="1"/>
  <c r="AN36" i="3" s="1"/>
  <c r="AK44" i="3"/>
  <c r="AB44" i="3" s="1"/>
  <c r="AN44" i="3" s="1"/>
  <c r="AK53" i="3"/>
  <c r="AB53" i="3" s="1"/>
  <c r="AN53" i="3" s="1"/>
  <c r="AK54" i="3"/>
  <c r="AB54" i="3" s="1"/>
  <c r="AN54" i="3" s="1"/>
  <c r="AK63" i="3"/>
  <c r="AB63" i="3" s="1"/>
  <c r="AN63" i="3" s="1"/>
  <c r="AK68" i="3"/>
  <c r="AB68" i="3" s="1"/>
  <c r="AN68" i="3" s="1"/>
  <c r="AK81" i="3"/>
  <c r="AB81" i="3" s="1"/>
  <c r="AN81" i="3" s="1"/>
  <c r="AK83" i="3"/>
  <c r="AB83" i="3" s="1"/>
  <c r="AN83" i="3" s="1"/>
  <c r="AK104" i="3"/>
  <c r="AB104" i="3" s="1"/>
  <c r="AN104" i="3" s="1"/>
  <c r="AK114" i="3"/>
  <c r="AB114" i="3" s="1"/>
  <c r="AN114" i="3" s="1"/>
  <c r="AK120" i="3"/>
  <c r="AB120" i="3" s="1"/>
  <c r="AN120" i="3" s="1"/>
  <c r="AK123" i="3"/>
  <c r="AB123" i="3" s="1"/>
  <c r="AN123" i="3" s="1"/>
  <c r="AK127" i="3"/>
  <c r="AB127" i="3" s="1"/>
  <c r="AN127" i="3" s="1"/>
  <c r="AK162" i="3"/>
  <c r="AB162" i="3" s="1"/>
  <c r="AN162" i="3" s="1"/>
  <c r="AK169" i="3"/>
  <c r="AB169" i="3" s="1"/>
  <c r="AN169" i="3" s="1"/>
  <c r="AK87" i="3"/>
  <c r="AB87" i="3" s="1"/>
  <c r="AN87" i="3" s="1"/>
  <c r="AK88" i="3"/>
  <c r="AB88" i="3" s="1"/>
  <c r="AN88" i="3" s="1"/>
  <c r="AK91" i="3"/>
  <c r="AB91" i="3" s="1"/>
  <c r="AN91" i="3" s="1"/>
  <c r="AK105" i="3"/>
  <c r="AB105" i="3" s="1"/>
  <c r="AN105" i="3" s="1"/>
  <c r="AK110" i="3"/>
  <c r="AB110" i="3" s="1"/>
  <c r="AN110" i="3" s="1"/>
  <c r="AK111" i="3"/>
  <c r="AB111" i="3" s="1"/>
  <c r="AN111" i="3" s="1"/>
  <c r="AK125" i="3"/>
  <c r="AB125" i="3" s="1"/>
  <c r="AN125" i="3" s="1"/>
  <c r="AK134" i="3"/>
  <c r="AB134" i="3" s="1"/>
  <c r="AN134" i="3" s="1"/>
  <c r="AK138" i="3"/>
  <c r="AB138" i="3" s="1"/>
  <c r="AN138" i="3" s="1"/>
  <c r="AK142" i="3"/>
  <c r="AB142" i="3" s="1"/>
  <c r="AN142" i="3" s="1"/>
  <c r="AK153" i="3"/>
  <c r="AB153" i="3" s="1"/>
  <c r="AN153" i="3" s="1"/>
  <c r="AK154" i="3"/>
  <c r="AB154" i="3" s="1"/>
  <c r="AN154" i="3" s="1"/>
  <c r="AK157" i="3"/>
  <c r="AB157" i="3" s="1"/>
  <c r="AN157" i="3" s="1"/>
  <c r="AK164" i="3"/>
  <c r="AB164" i="3" s="1"/>
  <c r="AN164" i="3" s="1"/>
  <c r="AK56" i="3"/>
  <c r="AK84" i="3"/>
  <c r="AB84" i="3" s="1"/>
  <c r="AN84" i="3" s="1"/>
  <c r="AK75" i="3"/>
  <c r="AB75" i="3" s="1"/>
  <c r="AN75" i="3" s="1"/>
  <c r="AK77" i="3"/>
  <c r="AB77" i="3" s="1"/>
  <c r="AN77" i="3" s="1"/>
  <c r="AK74" i="3"/>
  <c r="AB74" i="3" s="1"/>
  <c r="AN74" i="3" s="1"/>
  <c r="AK71" i="3"/>
  <c r="AB71" i="3" s="1"/>
  <c r="AN71" i="3" s="1"/>
  <c r="AK7" i="3"/>
  <c r="AB7" i="3" s="1"/>
  <c r="AN7" i="3" s="1"/>
  <c r="O4" i="17"/>
  <c r="P4" i="17" s="1"/>
  <c r="Q4" i="17" s="1"/>
  <c r="H49" i="22"/>
  <c r="AE178" i="3"/>
  <c r="AD178" i="3" s="1"/>
  <c r="AE177" i="3"/>
  <c r="AD177" i="3" s="1"/>
  <c r="O168" i="22"/>
  <c r="O174" i="22"/>
  <c r="O167" i="22"/>
  <c r="D84" i="22"/>
  <c r="H84" i="22" s="1"/>
  <c r="D89" i="22"/>
  <c r="H89" i="22" s="1"/>
  <c r="D81" i="22"/>
  <c r="F81" i="22" s="1"/>
  <c r="D92" i="22"/>
  <c r="G92" i="22" s="1"/>
  <c r="D90" i="22"/>
  <c r="G90" i="22" s="1"/>
  <c r="D82" i="22"/>
  <c r="H82" i="22" s="1"/>
  <c r="A80" i="22"/>
  <c r="C24" i="32" s="1"/>
  <c r="D94" i="22"/>
  <c r="H94" i="22" s="1"/>
  <c r="AH176" i="3"/>
  <c r="AH182" i="3"/>
  <c r="I161" i="22"/>
  <c r="H161" i="22"/>
  <c r="G161" i="22"/>
  <c r="F161" i="22"/>
  <c r="D85" i="22"/>
  <c r="F85" i="22" s="1"/>
  <c r="D93" i="22"/>
  <c r="D91" i="22"/>
  <c r="H91" i="22" s="1"/>
  <c r="Z5" i="3"/>
  <c r="AA5" i="3" s="1"/>
  <c r="D177" i="22"/>
  <c r="D100" i="22"/>
  <c r="D104" i="22"/>
  <c r="D102" i="22"/>
  <c r="D105" i="22"/>
  <c r="D101" i="22"/>
  <c r="D98" i="22"/>
  <c r="F98" i="22" s="1"/>
  <c r="D103" i="22"/>
  <c r="D99" i="22"/>
  <c r="D97" i="22"/>
  <c r="D96" i="22"/>
  <c r="H96" i="22" s="1"/>
  <c r="D87" i="22"/>
  <c r="H87" i="22" s="1"/>
  <c r="C5" i="5"/>
  <c r="D95" i="22"/>
  <c r="H95" i="22" s="1"/>
  <c r="AH183" i="3"/>
  <c r="AG183" i="3" s="1"/>
  <c r="D83" i="22"/>
  <c r="H83" i="22" s="1"/>
  <c r="D171" i="22"/>
  <c r="D86" i="22"/>
  <c r="H86" i="22" s="1"/>
  <c r="D163" i="22"/>
  <c r="AJ5" i="3"/>
  <c r="F49" i="22"/>
  <c r="D80" i="22"/>
  <c r="AK5" i="3"/>
  <c r="G49" i="22"/>
  <c r="G85" i="22" l="1"/>
  <c r="G81" i="22"/>
  <c r="N81" i="22" s="1"/>
  <c r="N100" i="22"/>
  <c r="G84" i="22"/>
  <c r="I84" i="22"/>
  <c r="I81" i="22"/>
  <c r="I95" i="22"/>
  <c r="H81" i="22"/>
  <c r="H90" i="22"/>
  <c r="G95" i="22"/>
  <c r="N102" i="22"/>
  <c r="I82" i="22"/>
  <c r="F97" i="22"/>
  <c r="N68" i="22"/>
  <c r="G99" i="22"/>
  <c r="N99" i="22" s="1"/>
  <c r="I87" i="22"/>
  <c r="N62" i="22"/>
  <c r="F93" i="22"/>
  <c r="N72" i="22"/>
  <c r="F103" i="22"/>
  <c r="N103" i="22" s="1"/>
  <c r="N50" i="22"/>
  <c r="G83" i="22"/>
  <c r="N63" i="22"/>
  <c r="F94" i="22"/>
  <c r="G91" i="22"/>
  <c r="N104" i="22"/>
  <c r="H85" i="22"/>
  <c r="N56" i="22"/>
  <c r="AI72" i="3" s="1"/>
  <c r="F87" i="22"/>
  <c r="G93" i="22"/>
  <c r="H98" i="22"/>
  <c r="N98" i="22" s="1"/>
  <c r="I83" i="22"/>
  <c r="H97" i="22"/>
  <c r="G87" i="22"/>
  <c r="N58" i="22"/>
  <c r="F89" i="22"/>
  <c r="N89" i="22" s="1"/>
  <c r="G97" i="22"/>
  <c r="N97" i="22" s="1"/>
  <c r="G96" i="22"/>
  <c r="N101" i="22"/>
  <c r="I93" i="22"/>
  <c r="F82" i="22"/>
  <c r="F86" i="22"/>
  <c r="N55" i="22"/>
  <c r="I86" i="22"/>
  <c r="N60" i="22"/>
  <c r="F91" i="22"/>
  <c r="N66" i="22"/>
  <c r="I91" i="22"/>
  <c r="N52" i="22"/>
  <c r="AI70" i="3" s="1"/>
  <c r="F83" i="22"/>
  <c r="I94" i="22"/>
  <c r="H92" i="22"/>
  <c r="N92" i="22" s="1"/>
  <c r="F96" i="22"/>
  <c r="N65" i="22"/>
  <c r="N59" i="22"/>
  <c r="F90" i="22"/>
  <c r="N74" i="22"/>
  <c r="O105" i="22" s="1"/>
  <c r="I85" i="22"/>
  <c r="N57" i="22"/>
  <c r="N64" i="22"/>
  <c r="F95" i="22"/>
  <c r="N95" i="22" s="1"/>
  <c r="F84" i="22"/>
  <c r="N53" i="22"/>
  <c r="G82" i="22"/>
  <c r="N54" i="22"/>
  <c r="I98" i="22"/>
  <c r="N67" i="22"/>
  <c r="G86" i="22"/>
  <c r="I92" i="22"/>
  <c r="N71" i="22"/>
  <c r="N73" i="22"/>
  <c r="N69" i="22"/>
  <c r="N70" i="22"/>
  <c r="AJ80" i="3"/>
  <c r="AA179" i="3"/>
  <c r="AM179" i="3"/>
  <c r="AE70" i="3"/>
  <c r="AD70" i="3" s="1"/>
  <c r="AE9" i="3"/>
  <c r="AD9" i="3" s="1"/>
  <c r="AE170" i="3"/>
  <c r="AD170" i="3" s="1"/>
  <c r="AA15" i="3"/>
  <c r="AL15" i="3"/>
  <c r="AM15" i="3" s="1"/>
  <c r="AL45" i="3"/>
  <c r="AM45" i="3" s="1"/>
  <c r="AA45" i="3"/>
  <c r="AA51" i="3"/>
  <c r="AL51" i="3"/>
  <c r="AM51" i="3" s="1"/>
  <c r="AL54" i="3"/>
  <c r="AM54" i="3" s="1"/>
  <c r="AA54" i="3"/>
  <c r="AL59" i="3"/>
  <c r="AM59" i="3" s="1"/>
  <c r="AA59" i="3"/>
  <c r="AA74" i="3"/>
  <c r="AL74" i="3"/>
  <c r="AM74" i="3" s="1"/>
  <c r="AA76" i="3"/>
  <c r="AL76" i="3"/>
  <c r="AM76" i="3" s="1"/>
  <c r="AL78" i="3"/>
  <c r="AM78" i="3" s="1"/>
  <c r="AA78" i="3"/>
  <c r="AA98" i="3"/>
  <c r="AL98" i="3"/>
  <c r="AM98" i="3" s="1"/>
  <c r="AL104" i="3"/>
  <c r="AM104" i="3" s="1"/>
  <c r="AA104" i="3"/>
  <c r="AA109" i="3"/>
  <c r="AL109" i="3"/>
  <c r="AM109" i="3" s="1"/>
  <c r="AL117" i="3"/>
  <c r="AM117" i="3" s="1"/>
  <c r="AA117" i="3"/>
  <c r="AL124" i="3"/>
  <c r="AM124" i="3" s="1"/>
  <c r="AA124" i="3"/>
  <c r="AL127" i="3"/>
  <c r="AM127" i="3" s="1"/>
  <c r="AA127" i="3"/>
  <c r="AL130" i="3"/>
  <c r="AM130" i="3" s="1"/>
  <c r="AA130" i="3"/>
  <c r="AA151" i="3"/>
  <c r="AL151" i="3"/>
  <c r="AM151" i="3" s="1"/>
  <c r="AL152" i="3"/>
  <c r="AM152" i="3" s="1"/>
  <c r="AA152" i="3"/>
  <c r="AL167" i="3"/>
  <c r="AM167" i="3" s="1"/>
  <c r="AA167" i="3"/>
  <c r="AA19" i="3"/>
  <c r="AL19" i="3"/>
  <c r="AM19" i="3" s="1"/>
  <c r="AA21" i="3"/>
  <c r="AL21" i="3"/>
  <c r="AM21" i="3" s="1"/>
  <c r="AA22" i="3"/>
  <c r="AL22" i="3"/>
  <c r="AM22" i="3" s="1"/>
  <c r="AA23" i="3"/>
  <c r="AL23" i="3"/>
  <c r="AM23" i="3" s="1"/>
  <c r="AA25" i="3"/>
  <c r="AL25" i="3"/>
  <c r="AM25" i="3" s="1"/>
  <c r="AL32" i="3"/>
  <c r="AM32" i="3" s="1"/>
  <c r="AA32" i="3"/>
  <c r="AL39" i="3"/>
  <c r="AM39" i="3" s="1"/>
  <c r="AA39" i="3"/>
  <c r="AA65" i="3"/>
  <c r="AL65" i="3"/>
  <c r="AM65" i="3" s="1"/>
  <c r="AA71" i="3"/>
  <c r="AL71" i="3"/>
  <c r="AM71" i="3" s="1"/>
  <c r="AA73" i="3"/>
  <c r="AL73" i="3"/>
  <c r="AM73" i="3" s="1"/>
  <c r="AL84" i="3"/>
  <c r="AM84" i="3" s="1"/>
  <c r="AA84" i="3"/>
  <c r="AA99" i="3"/>
  <c r="AL99" i="3"/>
  <c r="AM99" i="3" s="1"/>
  <c r="AA101" i="3"/>
  <c r="AL101" i="3"/>
  <c r="AM101" i="3" s="1"/>
  <c r="AA106" i="3"/>
  <c r="AL106" i="3"/>
  <c r="AM106" i="3" s="1"/>
  <c r="AA110" i="3"/>
  <c r="AL110" i="3"/>
  <c r="AM110" i="3" s="1"/>
  <c r="AL112" i="3"/>
  <c r="AM112" i="3" s="1"/>
  <c r="AA112" i="3"/>
  <c r="AA119" i="3"/>
  <c r="AL119" i="3"/>
  <c r="AM119" i="3" s="1"/>
  <c r="AL123" i="3"/>
  <c r="AM123" i="3" s="1"/>
  <c r="AA123" i="3"/>
  <c r="AL137" i="3"/>
  <c r="AM137" i="3" s="1"/>
  <c r="AA137" i="3"/>
  <c r="AL150" i="3"/>
  <c r="AM150" i="3" s="1"/>
  <c r="AA150" i="3"/>
  <c r="AL154" i="3"/>
  <c r="AM154" i="3" s="1"/>
  <c r="AA154" i="3"/>
  <c r="AL159" i="3"/>
  <c r="AM159" i="3" s="1"/>
  <c r="AA159" i="3"/>
  <c r="AA162" i="3"/>
  <c r="AL162" i="3"/>
  <c r="AM162" i="3" s="1"/>
  <c r="AA165" i="3"/>
  <c r="AL165" i="3"/>
  <c r="AM165" i="3" s="1"/>
  <c r="AA169" i="3"/>
  <c r="AL169" i="3"/>
  <c r="AM169" i="3" s="1"/>
  <c r="AL6" i="3"/>
  <c r="AM6" i="3" s="1"/>
  <c r="AA6" i="3"/>
  <c r="AA11" i="3"/>
  <c r="AL11" i="3"/>
  <c r="AM11" i="3" s="1"/>
  <c r="AA14" i="3"/>
  <c r="AL14" i="3"/>
  <c r="AM14" i="3" s="1"/>
  <c r="AL30" i="3"/>
  <c r="AM30" i="3" s="1"/>
  <c r="AA30" i="3"/>
  <c r="AL36" i="3"/>
  <c r="AM36" i="3" s="1"/>
  <c r="AA36" i="3"/>
  <c r="AL44" i="3"/>
  <c r="AM44" i="3" s="1"/>
  <c r="AA44" i="3"/>
  <c r="AA53" i="3"/>
  <c r="AL53" i="3"/>
  <c r="AM53" i="3" s="1"/>
  <c r="AL60" i="3"/>
  <c r="AM60" i="3" s="1"/>
  <c r="AA60" i="3"/>
  <c r="AL61" i="3"/>
  <c r="AM61" i="3" s="1"/>
  <c r="AA61" i="3"/>
  <c r="AL80" i="3"/>
  <c r="AM80" i="3" s="1"/>
  <c r="AA80" i="3"/>
  <c r="AL83" i="3"/>
  <c r="AM83" i="3" s="1"/>
  <c r="AA83" i="3"/>
  <c r="AA102" i="3"/>
  <c r="AL102" i="3"/>
  <c r="AM102" i="3" s="1"/>
  <c r="AA114" i="3"/>
  <c r="AL114" i="3"/>
  <c r="AM114" i="3" s="1"/>
  <c r="AL116" i="3"/>
  <c r="AM116" i="3" s="1"/>
  <c r="AA116" i="3"/>
  <c r="AL120" i="3"/>
  <c r="AM120" i="3" s="1"/>
  <c r="AA120" i="3"/>
  <c r="AL129" i="3"/>
  <c r="AM129" i="3" s="1"/>
  <c r="AA129" i="3"/>
  <c r="AA132" i="3"/>
  <c r="AL132" i="3"/>
  <c r="AM132" i="3" s="1"/>
  <c r="AL135" i="3"/>
  <c r="AM135" i="3" s="1"/>
  <c r="AA135" i="3"/>
  <c r="AL142" i="3"/>
  <c r="AM142" i="3" s="1"/>
  <c r="AA142" i="3"/>
  <c r="AA153" i="3"/>
  <c r="AL153" i="3"/>
  <c r="AM153" i="3" s="1"/>
  <c r="AA158" i="3"/>
  <c r="AL158" i="3"/>
  <c r="AM158" i="3" s="1"/>
  <c r="AA160" i="3"/>
  <c r="AL160" i="3"/>
  <c r="AM160" i="3" s="1"/>
  <c r="AA163" i="3"/>
  <c r="AL163" i="3"/>
  <c r="AM163" i="3" s="1"/>
  <c r="AA28" i="3"/>
  <c r="AL28" i="3"/>
  <c r="AM28" i="3" s="1"/>
  <c r="AL47" i="3"/>
  <c r="AA47" i="3"/>
  <c r="AA52" i="3"/>
  <c r="AL52" i="3"/>
  <c r="AM52" i="3" s="1"/>
  <c r="AA64" i="3"/>
  <c r="AL64" i="3"/>
  <c r="AM64" i="3" s="1"/>
  <c r="AA68" i="3"/>
  <c r="AL68" i="3"/>
  <c r="AM68" i="3" s="1"/>
  <c r="AA69" i="3"/>
  <c r="AL69" i="3"/>
  <c r="AM69" i="3" s="1"/>
  <c r="AL81" i="3"/>
  <c r="AM81" i="3" s="1"/>
  <c r="AA81" i="3"/>
  <c r="AA100" i="3"/>
  <c r="AL100" i="3"/>
  <c r="AM100" i="3" s="1"/>
  <c r="AA105" i="3"/>
  <c r="AL105" i="3"/>
  <c r="AM105" i="3" s="1"/>
  <c r="AL107" i="3"/>
  <c r="AM107" i="3" s="1"/>
  <c r="AA107" i="3"/>
  <c r="AL108" i="3"/>
  <c r="AM108" i="3" s="1"/>
  <c r="AA108" i="3"/>
  <c r="AA111" i="3"/>
  <c r="AL111" i="3"/>
  <c r="AM111" i="3" s="1"/>
  <c r="AA121" i="3"/>
  <c r="AL121" i="3"/>
  <c r="AM121" i="3" s="1"/>
  <c r="AL131" i="3"/>
  <c r="AM131" i="3" s="1"/>
  <c r="AA131" i="3"/>
  <c r="AL147" i="3"/>
  <c r="AM147" i="3" s="1"/>
  <c r="AA147" i="3"/>
  <c r="AL155" i="3"/>
  <c r="AM155" i="3" s="1"/>
  <c r="AA155" i="3"/>
  <c r="AA161" i="3"/>
  <c r="AL161" i="3"/>
  <c r="AM161" i="3" s="1"/>
  <c r="AL7" i="3"/>
  <c r="AM7" i="3" s="1"/>
  <c r="AA7" i="3"/>
  <c r="AL8" i="3"/>
  <c r="AM8" i="3" s="1"/>
  <c r="AA8" i="3"/>
  <c r="AA10" i="3"/>
  <c r="AL10" i="3"/>
  <c r="AM10" i="3" s="1"/>
  <c r="AA12" i="3"/>
  <c r="AL12" i="3"/>
  <c r="AM12" i="3" s="1"/>
  <c r="AA13" i="3"/>
  <c r="AL13" i="3"/>
  <c r="AM13" i="3" s="1"/>
  <c r="AA18" i="3"/>
  <c r="AL18" i="3"/>
  <c r="AM18" i="3" s="1"/>
  <c r="AL26" i="3"/>
  <c r="AM26" i="3" s="1"/>
  <c r="AA26" i="3"/>
  <c r="AA27" i="3"/>
  <c r="AL27" i="3"/>
  <c r="AM27" i="3" s="1"/>
  <c r="AL31" i="3"/>
  <c r="AM31" i="3" s="1"/>
  <c r="AA31" i="3"/>
  <c r="AL40" i="3"/>
  <c r="AM40" i="3" s="1"/>
  <c r="AA40" i="3"/>
  <c r="AL41" i="3"/>
  <c r="AM41" i="3" s="1"/>
  <c r="AA41" i="3"/>
  <c r="AL63" i="3"/>
  <c r="AM63" i="3" s="1"/>
  <c r="AA63" i="3"/>
  <c r="AL118" i="3"/>
  <c r="AM118" i="3" s="1"/>
  <c r="AA118" i="3"/>
  <c r="AA122" i="3"/>
  <c r="AL122" i="3"/>
  <c r="AM122" i="3" s="1"/>
  <c r="AA133" i="3"/>
  <c r="AL133" i="3"/>
  <c r="AM133" i="3" s="1"/>
  <c r="AA136" i="3"/>
  <c r="AL136" i="3"/>
  <c r="AM136" i="3" s="1"/>
  <c r="AA143" i="3"/>
  <c r="AL143" i="3"/>
  <c r="AM143" i="3" s="1"/>
  <c r="AA144" i="3"/>
  <c r="AL144" i="3"/>
  <c r="AM144" i="3" s="1"/>
  <c r="AA16" i="3"/>
  <c r="AL16" i="3"/>
  <c r="AM16" i="3" s="1"/>
  <c r="AA17" i="3"/>
  <c r="AL17" i="3"/>
  <c r="AM17" i="3" s="1"/>
  <c r="AA29" i="3"/>
  <c r="AL29" i="3"/>
  <c r="AM29" i="3" s="1"/>
  <c r="AL33" i="3"/>
  <c r="AM33" i="3" s="1"/>
  <c r="AA33" i="3"/>
  <c r="AL34" i="3"/>
  <c r="AM34" i="3" s="1"/>
  <c r="AA34" i="3"/>
  <c r="AL35" i="3"/>
  <c r="AM35" i="3" s="1"/>
  <c r="AA35" i="3"/>
  <c r="AL37" i="3"/>
  <c r="AM37" i="3" s="1"/>
  <c r="AA37" i="3"/>
  <c r="AL43" i="3"/>
  <c r="AM43" i="3" s="1"/>
  <c r="AA43" i="3"/>
  <c r="AL46" i="3"/>
  <c r="AM46" i="3" s="1"/>
  <c r="AA46" i="3"/>
  <c r="AL49" i="3"/>
  <c r="AM49" i="3" s="1"/>
  <c r="AA49" i="3"/>
  <c r="AL50" i="3"/>
  <c r="AM50" i="3" s="1"/>
  <c r="AA50" i="3"/>
  <c r="AL55" i="3"/>
  <c r="AM55" i="3" s="1"/>
  <c r="AA55" i="3"/>
  <c r="AL62" i="3"/>
  <c r="AM62" i="3" s="1"/>
  <c r="AA62" i="3"/>
  <c r="AA67" i="3"/>
  <c r="AL67" i="3"/>
  <c r="AM67" i="3" s="1"/>
  <c r="AL82" i="3"/>
  <c r="AM82" i="3" s="1"/>
  <c r="AA82" i="3"/>
  <c r="AA113" i="3"/>
  <c r="AL113" i="3"/>
  <c r="AM113" i="3" s="1"/>
  <c r="AA125" i="3"/>
  <c r="AL125" i="3"/>
  <c r="AM125" i="3" s="1"/>
  <c r="AA126" i="3"/>
  <c r="AL126" i="3"/>
  <c r="AM126" i="3" s="1"/>
  <c r="AA134" i="3"/>
  <c r="AL134" i="3"/>
  <c r="AM134" i="3" s="1"/>
  <c r="AA138" i="3"/>
  <c r="AL138" i="3"/>
  <c r="AM138" i="3" s="1"/>
  <c r="AL145" i="3"/>
  <c r="AM145" i="3" s="1"/>
  <c r="AA145" i="3"/>
  <c r="AL148" i="3"/>
  <c r="AM148" i="3" s="1"/>
  <c r="AA148" i="3"/>
  <c r="AL149" i="3"/>
  <c r="AM149" i="3" s="1"/>
  <c r="AA149" i="3"/>
  <c r="AL156" i="3"/>
  <c r="AM156" i="3" s="1"/>
  <c r="AA156" i="3"/>
  <c r="AL157" i="3"/>
  <c r="AM157" i="3" s="1"/>
  <c r="AA157" i="3"/>
  <c r="AL164" i="3"/>
  <c r="AM164" i="3" s="1"/>
  <c r="AA164" i="3"/>
  <c r="AL86" i="3"/>
  <c r="AM86" i="3" s="1"/>
  <c r="AA86" i="3"/>
  <c r="AL87" i="3"/>
  <c r="AM87" i="3" s="1"/>
  <c r="AA87" i="3"/>
  <c r="AA88" i="3"/>
  <c r="AL88" i="3"/>
  <c r="AM88" i="3" s="1"/>
  <c r="AA89" i="3"/>
  <c r="AL89" i="3"/>
  <c r="AM89" i="3" s="1"/>
  <c r="AA90" i="3"/>
  <c r="AL90" i="3"/>
  <c r="AM90" i="3" s="1"/>
  <c r="AA91" i="3"/>
  <c r="AL91" i="3"/>
  <c r="AM91" i="3" s="1"/>
  <c r="AA96" i="3"/>
  <c r="AL96" i="3"/>
  <c r="AM96" i="3" s="1"/>
  <c r="AA103" i="3"/>
  <c r="AL103" i="3"/>
  <c r="AM103" i="3" s="1"/>
  <c r="AA115" i="3"/>
  <c r="AL115" i="3"/>
  <c r="AM115" i="3" s="1"/>
  <c r="AL128" i="3"/>
  <c r="AM128" i="3" s="1"/>
  <c r="AA128" i="3"/>
  <c r="AL139" i="3"/>
  <c r="AM139" i="3" s="1"/>
  <c r="AA139" i="3"/>
  <c r="AL140" i="3"/>
  <c r="AM140" i="3" s="1"/>
  <c r="AA140" i="3"/>
  <c r="AA141" i="3"/>
  <c r="AL141" i="3"/>
  <c r="AM141" i="3" s="1"/>
  <c r="AA146" i="3"/>
  <c r="AL146" i="3"/>
  <c r="AM146" i="3" s="1"/>
  <c r="AL166" i="3"/>
  <c r="AM166" i="3" s="1"/>
  <c r="AA166" i="3"/>
  <c r="AA168" i="3"/>
  <c r="AL168" i="3"/>
  <c r="AM168" i="3" s="1"/>
  <c r="AA75" i="3"/>
  <c r="AL75" i="3"/>
  <c r="AM75" i="3" s="1"/>
  <c r="AA77" i="3"/>
  <c r="AL77" i="3"/>
  <c r="AM77" i="3" s="1"/>
  <c r="AB56" i="3"/>
  <c r="AJ56" i="3"/>
  <c r="AJ75" i="3"/>
  <c r="AJ77" i="3"/>
  <c r="AI170" i="3"/>
  <c r="AI94" i="3"/>
  <c r="AK47" i="3"/>
  <c r="AB47" i="3" s="1"/>
  <c r="AN47" i="3" s="1"/>
  <c r="E5" i="32"/>
  <c r="G2" i="25" s="1"/>
  <c r="N49" i="22"/>
  <c r="O170" i="22"/>
  <c r="AK52" i="3"/>
  <c r="AB52" i="3" s="1"/>
  <c r="AN52" i="3" s="1"/>
  <c r="AK51" i="3"/>
  <c r="AB51" i="3" s="1"/>
  <c r="AN51" i="3" s="1"/>
  <c r="AK85" i="3"/>
  <c r="C23" i="32"/>
  <c r="I80" i="22"/>
  <c r="H80" i="22"/>
  <c r="G80" i="22"/>
  <c r="F80" i="22"/>
  <c r="AK89" i="3"/>
  <c r="AB89" i="3" s="1"/>
  <c r="AN89" i="3" s="1"/>
  <c r="I75" i="22"/>
  <c r="G75" i="22"/>
  <c r="H75" i="22"/>
  <c r="AB5" i="3"/>
  <c r="AD176" i="3"/>
  <c r="E5" i="5"/>
  <c r="Y5" i="3" s="1"/>
  <c r="W5" i="3"/>
  <c r="D5" i="5"/>
  <c r="AH174" i="3"/>
  <c r="AG174" i="3" s="1"/>
  <c r="N161" i="22"/>
  <c r="AK86" i="3" s="1"/>
  <c r="AB86" i="3" s="1"/>
  <c r="AN86" i="3" s="1"/>
  <c r="F75" i="22"/>
  <c r="N90" i="22" l="1"/>
  <c r="O102" i="22"/>
  <c r="N85" i="22"/>
  <c r="AK93" i="3" s="1"/>
  <c r="AB93" i="3" s="1"/>
  <c r="N84" i="22"/>
  <c r="N86" i="22"/>
  <c r="O103" i="22"/>
  <c r="N96" i="22"/>
  <c r="N82" i="22"/>
  <c r="AK170" i="3" s="1"/>
  <c r="AB170" i="3" s="1"/>
  <c r="N87" i="22"/>
  <c r="AK72" i="3" s="1"/>
  <c r="AB72" i="3" s="1"/>
  <c r="N93" i="22"/>
  <c r="O104" i="22"/>
  <c r="N83" i="22"/>
  <c r="AK70" i="3" s="1"/>
  <c r="AB70" i="3" s="1"/>
  <c r="N94" i="22"/>
  <c r="N91" i="22"/>
  <c r="AI93" i="3"/>
  <c r="AI92" i="3"/>
  <c r="AI97" i="3"/>
  <c r="AI66" i="3"/>
  <c r="AI180" i="3"/>
  <c r="Z180" i="3" s="1"/>
  <c r="AI79" i="3"/>
  <c r="AK69" i="3"/>
  <c r="AB69" i="3" s="1"/>
  <c r="AN69" i="3" s="1"/>
  <c r="AI20" i="3"/>
  <c r="AI48" i="3"/>
  <c r="AI95" i="3"/>
  <c r="AI42" i="3"/>
  <c r="AI24" i="3"/>
  <c r="AO102" i="3"/>
  <c r="AO120" i="3"/>
  <c r="AO114" i="3"/>
  <c r="AI57" i="3"/>
  <c r="AI58" i="3"/>
  <c r="AI9" i="3"/>
  <c r="AI38" i="3"/>
  <c r="AA56" i="3"/>
  <c r="AN56" i="3"/>
  <c r="AM56" i="3" s="1"/>
  <c r="AM47" i="3"/>
  <c r="AO103" i="3"/>
  <c r="AO100" i="3"/>
  <c r="AO118" i="3"/>
  <c r="AO108" i="3"/>
  <c r="AO82" i="3"/>
  <c r="AO87" i="3"/>
  <c r="AO98" i="3"/>
  <c r="AO106" i="3"/>
  <c r="AO89" i="3"/>
  <c r="AO112" i="3"/>
  <c r="AO115" i="3"/>
  <c r="AO161" i="3"/>
  <c r="AO101" i="3"/>
  <c r="Z170" i="3"/>
  <c r="Z70" i="3"/>
  <c r="AL70" i="3" s="1"/>
  <c r="AJ72" i="3"/>
  <c r="Z72" i="3"/>
  <c r="AL72" i="3" s="1"/>
  <c r="Z94" i="3"/>
  <c r="AL94" i="3" s="1"/>
  <c r="AB85" i="3"/>
  <c r="AJ85" i="3"/>
  <c r="AO116" i="3"/>
  <c r="AO90" i="3"/>
  <c r="AO86" i="3"/>
  <c r="AO109" i="3"/>
  <c r="AO119" i="3"/>
  <c r="AO113" i="3"/>
  <c r="AO121" i="3"/>
  <c r="AO111" i="3"/>
  <c r="AO88" i="3"/>
  <c r="AO105" i="3"/>
  <c r="AO99" i="3"/>
  <c r="AO110" i="3"/>
  <c r="AO117" i="3"/>
  <c r="AO107" i="3"/>
  <c r="AO104" i="3"/>
  <c r="AO141" i="3"/>
  <c r="AO131" i="3"/>
  <c r="AO122" i="3"/>
  <c r="AO139" i="3"/>
  <c r="AK94" i="3"/>
  <c r="AB94" i="3" s="1"/>
  <c r="AK92" i="3"/>
  <c r="AB92" i="3" s="1"/>
  <c r="AK180" i="3"/>
  <c r="AK55" i="3"/>
  <c r="AB55" i="3" s="1"/>
  <c r="AN55" i="3" s="1"/>
  <c r="O101" i="22"/>
  <c r="O100" i="22"/>
  <c r="AO74" i="3"/>
  <c r="H4" i="25"/>
  <c r="N4" i="25" s="1"/>
  <c r="G2" i="34"/>
  <c r="G2" i="35"/>
  <c r="H4" i="35" s="1"/>
  <c r="N4" i="35" s="1"/>
  <c r="D5" i="32"/>
  <c r="AI171" i="3"/>
  <c r="AJ171" i="3" s="1"/>
  <c r="AO147" i="3"/>
  <c r="AO140" i="3"/>
  <c r="AO136" i="3"/>
  <c r="AO142" i="3"/>
  <c r="AI177" i="3"/>
  <c r="Z177" i="3" s="1"/>
  <c r="AI181" i="3"/>
  <c r="AJ181" i="3" s="1"/>
  <c r="AI178" i="3"/>
  <c r="AO8" i="3"/>
  <c r="AO145" i="3"/>
  <c r="AO150" i="3"/>
  <c r="O166" i="22"/>
  <c r="O162" i="22"/>
  <c r="AK90" i="3"/>
  <c r="AB90" i="3" s="1"/>
  <c r="AN90" i="3" s="1"/>
  <c r="N75" i="22"/>
  <c r="AO53" i="3"/>
  <c r="C20" i="32"/>
  <c r="AO67" i="3"/>
  <c r="C21" i="32"/>
  <c r="AO36" i="3"/>
  <c r="AO34" i="3"/>
  <c r="N80" i="22"/>
  <c r="AO149" i="3"/>
  <c r="O161" i="22"/>
  <c r="O173" i="22"/>
  <c r="O165" i="22"/>
  <c r="O169" i="22"/>
  <c r="AO159" i="3"/>
  <c r="AO162" i="3"/>
  <c r="AO165" i="3"/>
  <c r="AO169" i="3"/>
  <c r="AO164" i="3"/>
  <c r="AO168" i="3"/>
  <c r="AO167" i="3"/>
  <c r="AO166" i="3"/>
  <c r="AO158" i="3"/>
  <c r="AO163" i="3"/>
  <c r="AO160" i="3"/>
  <c r="AO63" i="3"/>
  <c r="AO29" i="3"/>
  <c r="AO21" i="3"/>
  <c r="AO43" i="3"/>
  <c r="AO54" i="3"/>
  <c r="AO62" i="3"/>
  <c r="AO154" i="3"/>
  <c r="AO65" i="3"/>
  <c r="AO134" i="3"/>
  <c r="AO155" i="3"/>
  <c r="AO22" i="3"/>
  <c r="AO18" i="3"/>
  <c r="AO157" i="3"/>
  <c r="AO19" i="3"/>
  <c r="AO11" i="3"/>
  <c r="AO16" i="3"/>
  <c r="AO15" i="3"/>
  <c r="AO64" i="3"/>
  <c r="AO12" i="3"/>
  <c r="AO59" i="3"/>
  <c r="AO151" i="3"/>
  <c r="AO35" i="3"/>
  <c r="AO28" i="3"/>
  <c r="AO33" i="3"/>
  <c r="AO14" i="3"/>
  <c r="AO17" i="3"/>
  <c r="X5" i="3"/>
  <c r="AI182" i="3"/>
  <c r="AJ182" i="3" s="1"/>
  <c r="AI183" i="3"/>
  <c r="AJ183" i="3" s="1"/>
  <c r="AI176" i="3"/>
  <c r="Z176" i="3" s="1"/>
  <c r="AN5" i="3"/>
  <c r="AL170" i="3" l="1"/>
  <c r="Z66" i="3"/>
  <c r="AL66" i="3" s="1"/>
  <c r="Z93" i="3"/>
  <c r="AL93" i="3" s="1"/>
  <c r="Z92" i="3"/>
  <c r="AL92" i="3" s="1"/>
  <c r="AJ97" i="3"/>
  <c r="Z97" i="3"/>
  <c r="AL97" i="3" s="1"/>
  <c r="AK58" i="3"/>
  <c r="AB58" i="3" s="1"/>
  <c r="O99" i="22"/>
  <c r="AB180" i="3"/>
  <c r="AJ180" i="3"/>
  <c r="AJ93" i="3"/>
  <c r="AJ70" i="3"/>
  <c r="AJ170" i="3"/>
  <c r="AJ92" i="3"/>
  <c r="AJ94" i="3"/>
  <c r="Z79" i="3"/>
  <c r="AL79" i="3" s="1"/>
  <c r="AJ79" i="3"/>
  <c r="AJ20" i="3"/>
  <c r="Z20" i="3"/>
  <c r="AL20" i="3" s="1"/>
  <c r="O98" i="22"/>
  <c r="Z48" i="3"/>
  <c r="AJ95" i="3"/>
  <c r="Z95" i="3"/>
  <c r="AL95" i="3" s="1"/>
  <c r="AK95" i="3"/>
  <c r="AB95" i="3" s="1"/>
  <c r="Z42" i="3"/>
  <c r="AK42" i="3"/>
  <c r="AB42" i="3" s="1"/>
  <c r="AN42" i="3" s="1"/>
  <c r="Z24" i="3"/>
  <c r="AL24" i="3" s="1"/>
  <c r="Z57" i="3"/>
  <c r="AL57" i="3" s="1"/>
  <c r="Z58" i="3"/>
  <c r="AL58" i="3" s="1"/>
  <c r="AK79" i="3"/>
  <c r="AB79" i="3" s="1"/>
  <c r="AJ9" i="3"/>
  <c r="Z9" i="3"/>
  <c r="AL9" i="3" s="1"/>
  <c r="AK20" i="3"/>
  <c r="AB20" i="3" s="1"/>
  <c r="AK97" i="3"/>
  <c r="AB97" i="3" s="1"/>
  <c r="AJ38" i="3"/>
  <c r="Z38" i="3"/>
  <c r="AK57" i="3"/>
  <c r="AB57" i="3" s="1"/>
  <c r="AK24" i="3"/>
  <c r="AB24" i="3" s="1"/>
  <c r="AK48" i="3"/>
  <c r="AB48" i="3" s="1"/>
  <c r="AN48" i="3" s="1"/>
  <c r="AK9" i="3"/>
  <c r="AB9" i="3" s="1"/>
  <c r="AN9" i="3" s="1"/>
  <c r="AK38" i="3"/>
  <c r="AB38" i="3" s="1"/>
  <c r="AN38" i="3" s="1"/>
  <c r="AA85" i="3"/>
  <c r="AN85" i="3"/>
  <c r="AM85" i="3" s="1"/>
  <c r="AA94" i="3"/>
  <c r="AN94" i="3"/>
  <c r="AM94" i="3" s="1"/>
  <c r="AN93" i="3"/>
  <c r="AA70" i="3"/>
  <c r="AN70" i="3"/>
  <c r="AM70" i="3" s="1"/>
  <c r="AA72" i="3"/>
  <c r="AN72" i="3"/>
  <c r="AM72" i="3" s="1"/>
  <c r="AN92" i="3"/>
  <c r="AN170" i="3"/>
  <c r="AM170" i="3" s="1"/>
  <c r="AA170" i="3"/>
  <c r="AO96" i="3"/>
  <c r="AO91" i="3"/>
  <c r="AO84" i="3"/>
  <c r="AO26" i="3"/>
  <c r="H4" i="34"/>
  <c r="N2" i="34"/>
  <c r="O97" i="22"/>
  <c r="AK177" i="3"/>
  <c r="Z171" i="3"/>
  <c r="AA171" i="3" s="1"/>
  <c r="AO7" i="3"/>
  <c r="AJ177" i="3"/>
  <c r="Z178" i="3"/>
  <c r="AK178" i="3"/>
  <c r="AJ178" i="3" s="1"/>
  <c r="AI172" i="3"/>
  <c r="O82" i="22"/>
  <c r="AO129" i="3"/>
  <c r="O80" i="22"/>
  <c r="AO13" i="3"/>
  <c r="AO32" i="3"/>
  <c r="AO44" i="3"/>
  <c r="O86" i="22"/>
  <c r="O87" i="22"/>
  <c r="O171" i="22"/>
  <c r="O85" i="22"/>
  <c r="O177" i="22"/>
  <c r="O90" i="22"/>
  <c r="O95" i="22"/>
  <c r="O94" i="22"/>
  <c r="AO50" i="3"/>
  <c r="O81" i="22"/>
  <c r="O84" i="22"/>
  <c r="O93" i="22"/>
  <c r="O89" i="22"/>
  <c r="AO25" i="3"/>
  <c r="O92" i="22"/>
  <c r="O91" i="22"/>
  <c r="C25" i="32"/>
  <c r="C26" i="32" s="1"/>
  <c r="AO68" i="3"/>
  <c r="AO45" i="3"/>
  <c r="AO49" i="3"/>
  <c r="E24" i="32"/>
  <c r="O96" i="22"/>
  <c r="O83" i="22"/>
  <c r="O163" i="22"/>
  <c r="AO132" i="3"/>
  <c r="AO130" i="3"/>
  <c r="AO138" i="3"/>
  <c r="AO124" i="3"/>
  <c r="AO127" i="3"/>
  <c r="AO152" i="3"/>
  <c r="AO153" i="3"/>
  <c r="AO133" i="3"/>
  <c r="AO148" i="3"/>
  <c r="AO137" i="3"/>
  <c r="AO146" i="3"/>
  <c r="AO128" i="3"/>
  <c r="AO144" i="3"/>
  <c r="AO135" i="3"/>
  <c r="AO156" i="3"/>
  <c r="AO125" i="3"/>
  <c r="AO143" i="3"/>
  <c r="AO46" i="3"/>
  <c r="D164" i="22"/>
  <c r="AI174" i="3"/>
  <c r="Z172" i="3" l="1"/>
  <c r="AM180" i="3"/>
  <c r="AA93" i="3"/>
  <c r="AM93" i="3"/>
  <c r="AA92" i="3"/>
  <c r="AM92" i="3"/>
  <c r="AJ58" i="3"/>
  <c r="AN58" i="3"/>
  <c r="AJ48" i="3"/>
  <c r="AJ42" i="3"/>
  <c r="AA180" i="3"/>
  <c r="AJ57" i="3"/>
  <c r="AJ24" i="3"/>
  <c r="AL42" i="3"/>
  <c r="AL48" i="3"/>
  <c r="AA95" i="3"/>
  <c r="AN95" i="3"/>
  <c r="AM95" i="3" s="1"/>
  <c r="AA42" i="3"/>
  <c r="AN79" i="3"/>
  <c r="AM79" i="3" s="1"/>
  <c r="AA79" i="3"/>
  <c r="AA58" i="3"/>
  <c r="AA20" i="3"/>
  <c r="AN20" i="3"/>
  <c r="AM20" i="3" s="1"/>
  <c r="AA97" i="3"/>
  <c r="AN97" i="3"/>
  <c r="AM97" i="3" s="1"/>
  <c r="AA24" i="3"/>
  <c r="AN24" i="3"/>
  <c r="AM24" i="3" s="1"/>
  <c r="AA9" i="3"/>
  <c r="AA57" i="3"/>
  <c r="AA48" i="3"/>
  <c r="AA38" i="3"/>
  <c r="AL38" i="3"/>
  <c r="AM38" i="3" s="1"/>
  <c r="AN57" i="3"/>
  <c r="AM57" i="3" s="1"/>
  <c r="AO85" i="3"/>
  <c r="AO73" i="3"/>
  <c r="AO77" i="3"/>
  <c r="H14" i="35"/>
  <c r="N14" i="35" s="1"/>
  <c r="H14" i="25"/>
  <c r="AL171" i="3"/>
  <c r="AM171" i="3" s="1"/>
  <c r="AO83" i="3"/>
  <c r="AB177" i="3"/>
  <c r="AO61" i="3"/>
  <c r="AO123" i="3"/>
  <c r="AO69" i="3"/>
  <c r="AI186" i="3"/>
  <c r="AI187" i="3" s="1"/>
  <c r="D24" i="32"/>
  <c r="AO60" i="3"/>
  <c r="AO27" i="3"/>
  <c r="G184" i="22"/>
  <c r="L30" i="20"/>
  <c r="E13" i="32" s="1"/>
  <c r="G6" i="35" s="1"/>
  <c r="H7" i="35" s="1"/>
  <c r="N7" i="35" s="1"/>
  <c r="AO47" i="3"/>
  <c r="AO93" i="3" l="1"/>
  <c r="AO92" i="3"/>
  <c r="AM58" i="3"/>
  <c r="AM42" i="3"/>
  <c r="AM48" i="3"/>
  <c r="AO95" i="3"/>
  <c r="AO79" i="3"/>
  <c r="AO97" i="3"/>
  <c r="AO94" i="3"/>
  <c r="AO24" i="3"/>
  <c r="AO81" i="3"/>
  <c r="AO78" i="3"/>
  <c r="AO75" i="3"/>
  <c r="AO76" i="3"/>
  <c r="N14" i="25"/>
  <c r="G13" i="34"/>
  <c r="N13" i="34" s="1"/>
  <c r="C170" i="5"/>
  <c r="C185" i="5" s="1"/>
  <c r="G6" i="25"/>
  <c r="E170" i="5"/>
  <c r="E185" i="5" s="1"/>
  <c r="F184" i="22"/>
  <c r="AK23" i="3"/>
  <c r="AB23" i="3" s="1"/>
  <c r="AN23" i="3" s="1"/>
  <c r="AH172" i="3"/>
  <c r="AG172" i="3" s="1"/>
  <c r="AO72" i="3"/>
  <c r="AO71" i="3"/>
  <c r="AO39" i="3"/>
  <c r="D13" i="32"/>
  <c r="AO51" i="3"/>
  <c r="AO41" i="3"/>
  <c r="AO57" i="3"/>
  <c r="AO48" i="3" l="1"/>
  <c r="AO42" i="3"/>
  <c r="H7" i="25"/>
  <c r="N7" i="25" s="1"/>
  <c r="G6" i="34"/>
  <c r="H7" i="34" s="1"/>
  <c r="AO9" i="3"/>
  <c r="E23" i="32"/>
  <c r="Y172" i="3"/>
  <c r="AO56" i="3"/>
  <c r="AO31" i="3"/>
  <c r="AO55" i="3"/>
  <c r="AO30" i="3"/>
  <c r="AO37" i="3"/>
  <c r="O164" i="22"/>
  <c r="AO70" i="3"/>
  <c r="AO10" i="3"/>
  <c r="AO52" i="3"/>
  <c r="AO40" i="3"/>
  <c r="AO38" i="3"/>
  <c r="AO20" i="3"/>
  <c r="AH186" i="3"/>
  <c r="AH187" i="3" s="1"/>
  <c r="H13" i="25" l="1"/>
  <c r="G12" i="25"/>
  <c r="N6" i="34"/>
  <c r="H13" i="35"/>
  <c r="N13" i="35" s="1"/>
  <c r="G12" i="35"/>
  <c r="W172" i="3"/>
  <c r="X172" i="3" s="1"/>
  <c r="D23" i="32"/>
  <c r="Y186" i="3"/>
  <c r="Y187" i="3" s="1"/>
  <c r="Y173" i="3"/>
  <c r="Z181" i="3"/>
  <c r="AA181" i="3" s="1"/>
  <c r="AE174" i="3"/>
  <c r="Z183" i="3"/>
  <c r="Z182" i="3"/>
  <c r="N13" i="25" l="1"/>
  <c r="G12" i="34"/>
  <c r="AA177" i="3"/>
  <c r="AA182" i="3"/>
  <c r="AA183" i="3"/>
  <c r="AD5" i="3"/>
  <c r="AB178" i="3"/>
  <c r="AC174" i="3"/>
  <c r="H14" i="34" l="1"/>
  <c r="N12" i="34"/>
  <c r="AC186" i="3"/>
  <c r="AC187" i="3" s="1"/>
  <c r="Z174" i="3"/>
  <c r="AO23" i="3"/>
  <c r="AM177" i="3"/>
  <c r="AM183" i="3"/>
  <c r="AM181" i="3"/>
  <c r="AM182" i="3"/>
  <c r="AA178" i="3"/>
  <c r="AM178" i="3"/>
  <c r="AL176" i="3"/>
  <c r="AL5" i="3"/>
  <c r="AL172" i="3" s="1"/>
  <c r="AD174" i="3"/>
  <c r="AL174" i="3" l="1"/>
  <c r="AM5" i="3"/>
  <c r="AL175" i="3" l="1"/>
  <c r="AL186" i="3"/>
  <c r="E172" i="3" l="1"/>
  <c r="E173" i="3" s="1"/>
  <c r="C43" i="32"/>
  <c r="G19" i="35" s="1"/>
  <c r="BC34" i="15"/>
  <c r="N19" i="35" l="1"/>
  <c r="H20" i="35"/>
  <c r="G21" i="25"/>
  <c r="D44" i="32"/>
  <c r="J172" i="3"/>
  <c r="I172" i="3" s="1"/>
  <c r="D172" i="3"/>
  <c r="V172" i="3" l="1"/>
  <c r="N21" i="25"/>
  <c r="H22" i="25"/>
  <c r="U172" i="3" l="1"/>
  <c r="V173" i="3"/>
  <c r="D88" i="22"/>
  <c r="I88" i="22" l="1"/>
  <c r="H88" i="22"/>
  <c r="F88" i="22"/>
  <c r="G88" i="22"/>
  <c r="I106" i="22"/>
  <c r="G106" i="22"/>
  <c r="H106" i="22"/>
  <c r="E6" i="32"/>
  <c r="G3" i="35" s="1"/>
  <c r="H5" i="35" s="1"/>
  <c r="N5" i="35" s="1"/>
  <c r="P150" i="17"/>
  <c r="N88" i="22" l="1"/>
  <c r="AK66" i="3"/>
  <c r="AE172" i="3"/>
  <c r="D6" i="32"/>
  <c r="G3" i="25"/>
  <c r="E7" i="32"/>
  <c r="D7" i="32" s="1"/>
  <c r="F106" i="22"/>
  <c r="AB66" i="3" l="1"/>
  <c r="AJ66" i="3"/>
  <c r="AK182" i="3"/>
  <c r="AB182" i="3" s="1"/>
  <c r="AK183" i="3"/>
  <c r="AB183" i="3" s="1"/>
  <c r="AK171" i="3"/>
  <c r="AB171" i="3" s="1"/>
  <c r="AN171" i="3" s="1"/>
  <c r="AK181" i="3"/>
  <c r="AB181" i="3" s="1"/>
  <c r="H5" i="25"/>
  <c r="N5" i="25" s="1"/>
  <c r="G3" i="34"/>
  <c r="AE186" i="3"/>
  <c r="AE187" i="3" s="1"/>
  <c r="AK176" i="3"/>
  <c r="E20" i="32"/>
  <c r="E8" i="32"/>
  <c r="AO126" i="3"/>
  <c r="N106" i="22"/>
  <c r="E21" i="32"/>
  <c r="O88" i="22"/>
  <c r="AD172" i="3"/>
  <c r="AA66" i="3" l="1"/>
  <c r="AN66" i="3"/>
  <c r="AM66" i="3" s="1"/>
  <c r="AB172" i="3"/>
  <c r="H42" i="24" s="1"/>
  <c r="H44" i="24" s="1"/>
  <c r="G8" i="35"/>
  <c r="H10" i="35" s="1"/>
  <c r="N10" i="35" s="1"/>
  <c r="G8" i="25"/>
  <c r="G9" i="35"/>
  <c r="H11" i="35" s="1"/>
  <c r="N11" i="35" s="1"/>
  <c r="G9" i="25"/>
  <c r="H5" i="34"/>
  <c r="N3" i="34"/>
  <c r="AK172" i="3"/>
  <c r="D20" i="32"/>
  <c r="AJ176" i="3"/>
  <c r="AB176" i="3"/>
  <c r="E25" i="32"/>
  <c r="D25" i="32" s="1"/>
  <c r="D21" i="32"/>
  <c r="H10" i="25" l="1"/>
  <c r="N10" i="25" s="1"/>
  <c r="G8" i="34"/>
  <c r="H11" i="25"/>
  <c r="N11" i="25" s="1"/>
  <c r="G9" i="34"/>
  <c r="AO66" i="3"/>
  <c r="H24" i="23"/>
  <c r="AJ174" i="3"/>
  <c r="AN176" i="3"/>
  <c r="AA176" i="3"/>
  <c r="E26" i="32"/>
  <c r="AJ172" i="3"/>
  <c r="AK186" i="3"/>
  <c r="AK187" i="3" s="1"/>
  <c r="H25" i="23" l="1"/>
  <c r="H11" i="34"/>
  <c r="N9" i="34"/>
  <c r="H10" i="34"/>
  <c r="N8" i="34"/>
  <c r="AN172" i="3"/>
  <c r="AA174" i="3"/>
  <c r="AN174" i="3"/>
  <c r="AM176" i="3"/>
  <c r="AB186" i="3"/>
  <c r="AA172" i="3"/>
  <c r="AO58" i="3"/>
  <c r="AN175" i="3" l="1"/>
  <c r="AM174" i="3"/>
  <c r="AM172" i="3"/>
  <c r="AN186" i="3"/>
  <c r="K3" i="19"/>
  <c r="H3" i="19"/>
  <c r="C1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Siriporn Boonrath</author>
  </authors>
  <commentList>
    <comment ref="T179" authorId="0" shapeId="0" xr:uid="{DC78BC44-B070-4AB4-9590-4AA7DE2154E9}">
      <text>
        <r>
          <rPr>
            <b/>
            <sz val="9"/>
            <color indexed="81"/>
            <rFont val="Tahoma"/>
            <family val="2"/>
          </rPr>
          <t>Siriporn Boonrath:</t>
        </r>
        <r>
          <rPr>
            <sz val="9"/>
            <color indexed="81"/>
            <rFont val="Tahoma"/>
            <family val="2"/>
          </rPr>
          <t xml:space="preserve">
Adj balance stock NBR12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<sst xmlns="http://schemas.openxmlformats.org/spreadsheetml/2006/main" count="22355" uniqueCount="5344">
  <si>
    <t>Date</t>
  </si>
  <si>
    <t>Journal</t>
  </si>
  <si>
    <t>Ref.</t>
  </si>
  <si>
    <t>Description</t>
  </si>
  <si>
    <t>Cost Center</t>
  </si>
  <si>
    <t>Debit</t>
  </si>
  <si>
    <t>Credit</t>
  </si>
  <si>
    <t>Balance</t>
  </si>
  <si>
    <t>Account Code : 1008/403 Account Name : SYNTHETICS LATEX</t>
  </si>
  <si>
    <t/>
  </si>
  <si>
    <t>Balance B/F</t>
  </si>
  <si>
    <t xml:space="preserve"> 01-May-26</t>
  </si>
  <si>
    <t>JV-26-05-0028</t>
  </si>
  <si>
    <t>Beginning Stock Compound Latex, Dispersion, Production dept of May'26</t>
  </si>
  <si>
    <t>Beginning Stock Compound latex in Compound dept of May'26</t>
  </si>
  <si>
    <t>Beginning Stock Compound latex in Dipping lines of May'26</t>
  </si>
  <si>
    <t xml:space="preserve"> 31-May-26</t>
  </si>
  <si>
    <t>JV-26-05-0125</t>
  </si>
  <si>
    <t>Trf NBR LATEX FROM P1,P2and P3 on May'26</t>
  </si>
  <si>
    <t>Trf NBR LATEX FROM STORE-P2 TO COM-P1 128,030 KG on May'26</t>
  </si>
  <si>
    <t>Trf NBR LATEX FROM STORE-P3 TO COM-P1 155,710 KG on May'26</t>
  </si>
  <si>
    <t>Trf NBR LATEX FROM COM-P3 TO COM-P1 4,671 KG on May'26</t>
  </si>
  <si>
    <t>Trf NBR LATEX FROM COM-P2 TO COM-P1 35,945 KG on May'26</t>
  </si>
  <si>
    <t>Trf NBR LATEX FROM COM-P1 TO COM-P2 30,760 KG on May'26</t>
  </si>
  <si>
    <t>Trf NBR LATEX FROM COM-P1 TO COM-P3 29,879 KG on May'26</t>
  </si>
  <si>
    <t>JV-26-05-0150</t>
  </si>
  <si>
    <t>Ending Balance Stock NBR and Chemical and Use of Plant 1 on May'26</t>
  </si>
  <si>
    <t>Balance Compound latex in Compound dept of May'26</t>
  </si>
  <si>
    <t>Balance Compound latex in Dipping lines of May'26</t>
  </si>
  <si>
    <t>Record Issue NBR latex-Comp from stock card Com P1 of May'26</t>
  </si>
  <si>
    <t xml:space="preserve">Total </t>
  </si>
  <si>
    <t xml:space="preserve">Grand Total </t>
  </si>
  <si>
    <t>Printed by Siriporn Boonrath  On 05-Jun-2026 09:52:26 PM</t>
  </si>
  <si>
    <t>Page -1 of 1</t>
  </si>
  <si>
    <t>Balance stock Compound</t>
  </si>
  <si>
    <t>Balance stock Dip+Com</t>
  </si>
  <si>
    <t>Total</t>
  </si>
  <si>
    <t>Diff</t>
  </si>
  <si>
    <t>Account Code : 7000/131 Account Name : PURCHASE SYNTHETICS LATEX</t>
  </si>
  <si>
    <t xml:space="preserve"> 01-Feb-26</t>
  </si>
  <si>
    <t>JV-26-02-0022</t>
  </si>
  <si>
    <t>ฺBeginning Stock NBR Latex and Chemical of Plant 1 on Feb'26</t>
  </si>
  <si>
    <t>Beginning Stock Compound latex in Compound dept of Feb'26</t>
  </si>
  <si>
    <t xml:space="preserve"> Compounding P1</t>
  </si>
  <si>
    <t>Beginning Stock Compound latex in Dipping lines of Feb'26</t>
  </si>
  <si>
    <t xml:space="preserve"> 28-Feb-26</t>
  </si>
  <si>
    <t>JV-26-02-0126</t>
  </si>
  <si>
    <t>Ending Balance Stock NBR and Chemical and Use of Plant 1 on Feb'26</t>
  </si>
  <si>
    <t>Balance Compound latex in Compound dept of Feb'26</t>
  </si>
  <si>
    <t>Record Issue NBR latex-Comp from stock card Com P1 of Feb'26</t>
  </si>
  <si>
    <t>Balance Compound latex in Dipping lines of Feb'26</t>
  </si>
  <si>
    <t>JV-26-02-0131</t>
  </si>
  <si>
    <t>Transfer Compound latex and Dispersion between plants of Feb'26</t>
  </si>
  <si>
    <t>Transfer Compound latex between plants of Feb'26</t>
  </si>
  <si>
    <t>Printed by Siriporn Boonrath  On 06-Mar-2026 10:03:26 AM</t>
  </si>
  <si>
    <t>Account Code : 1008/402 Account Name : CHEMICAL FOR NR GLOVES</t>
  </si>
  <si>
    <t>Beginning Stock Dispersion in Compound dept of May'26</t>
  </si>
  <si>
    <t>Beginning Stock Chemical in Production May'26</t>
  </si>
  <si>
    <t xml:space="preserve"> 06-May-26</t>
  </si>
  <si>
    <t>MIJ-26-05-0086</t>
  </si>
  <si>
    <t>MI-26-05-0092</t>
  </si>
  <si>
    <t>TEXKLEEN P22 (225KG/DRUM)(ALKALINE CLEANER ),(TEST) KLEEN S21 (225KG/DRUM) (ALAKLINE CLEANNER)</t>
  </si>
  <si>
    <t xml:space="preserve"> 09-May-26</t>
  </si>
  <si>
    <t>MIJ-26-05-0175</t>
  </si>
  <si>
    <t>MI-26-05-0187</t>
  </si>
  <si>
    <t>TEXKLEEN P22 (225KG/DRUM)(ALKALINE CLEANER )</t>
  </si>
  <si>
    <t xml:space="preserve"> 11-May-26</t>
  </si>
  <si>
    <t>MIJ-26-05-0176</t>
  </si>
  <si>
    <t>MI-26-05-0188</t>
  </si>
  <si>
    <t xml:space="preserve"> 13-May-26</t>
  </si>
  <si>
    <t>MIJ-26-05-0268</t>
  </si>
  <si>
    <t>MI-26-05-0292</t>
  </si>
  <si>
    <t>NITRIC ACID 68% (280 KGS/DRUM )</t>
  </si>
  <si>
    <t xml:space="preserve"> 15-May-26</t>
  </si>
  <si>
    <t>MIJ-26-05-0314</t>
  </si>
  <si>
    <t>MI-26-05-0345</t>
  </si>
  <si>
    <t>(TEST) SPECLEAN 10 (230KG/DRUM) - ALKALINE CLEANER</t>
  </si>
  <si>
    <t xml:space="preserve"> 18-May-26</t>
  </si>
  <si>
    <t>MIJ-26-05-0420</t>
  </si>
  <si>
    <t>MI-26-05-0469</t>
  </si>
  <si>
    <t>(TEST) SPECLEAN 10 (230KG/DRUM) - ALKALINE CLEANER,TEXKLEEN P22 (225KG/DRUM)(ALKALINE CLEANER )</t>
  </si>
  <si>
    <t xml:space="preserve"> 19-May-26</t>
  </si>
  <si>
    <t>PUR-26-05-0879</t>
  </si>
  <si>
    <t>PS-26-05-0649</t>
  </si>
  <si>
    <t>INV.NU-INV-1065-B BIO-F20 (100KG) - NUECHEMIE</t>
  </si>
  <si>
    <t xml:space="preserve"> 20-May-26</t>
  </si>
  <si>
    <t>MIJ-26-05-0459</t>
  </si>
  <si>
    <t>MI-26-05-0513</t>
  </si>
  <si>
    <t>MIJ-26-05-0460</t>
  </si>
  <si>
    <t>MI-26-05-0514</t>
  </si>
  <si>
    <t xml:space="preserve"> 22-May-26</t>
  </si>
  <si>
    <t>MIJ-26-05-0535</t>
  </si>
  <si>
    <t>MI-26-05-0595</t>
  </si>
  <si>
    <t xml:space="preserve"> 25-May-26</t>
  </si>
  <si>
    <t>MIJ-26-05-0593</t>
  </si>
  <si>
    <t>MI-26-05-0667</t>
  </si>
  <si>
    <t xml:space="preserve"> 26-May-26</t>
  </si>
  <si>
    <t>PUR-26-05-1091</t>
  </si>
  <si>
    <t>PS-26-05-0756</t>
  </si>
  <si>
    <t>INV.SO26050057 MAXSILK B280M(19000KG) - LEXIS CHEMICAL</t>
  </si>
  <si>
    <t xml:space="preserve"> 28-May-26</t>
  </si>
  <si>
    <t>MIJ-26-05-0667</t>
  </si>
  <si>
    <t>MI-26-05-0759</t>
  </si>
  <si>
    <t>NITRIC ACID 68% (280 KGS/DRUM ),(TEST) SPECLEAN 10 (230KG/DRUM) - ALKALINE CLEANER</t>
  </si>
  <si>
    <t xml:space="preserve"> 30-May-26</t>
  </si>
  <si>
    <t>MIJ-26-05-0760</t>
  </si>
  <si>
    <t>MI-26-05-0875</t>
  </si>
  <si>
    <t>JV-26-05-0126</t>
  </si>
  <si>
    <t>Trf Chemical from P1,P2 and P3 on May'26</t>
  </si>
  <si>
    <t>Trf Chemical from Store P2 to Store P1 17,040 kg on May'26</t>
  </si>
  <si>
    <t>Trf Chemical from Store P2 to Com P1 149,550 kg on May'26</t>
  </si>
  <si>
    <t>Trf Chemical from Store P3 to Com P1 1,000 kg on May'26</t>
  </si>
  <si>
    <t>Trf Chemical from Com P1 to Com P2 4,305.82 kg on May'26</t>
  </si>
  <si>
    <t>Trf Chemical from Com P2 to Com 1 1,101.20 kg on May'26</t>
  </si>
  <si>
    <t>Balance Dispersion in Compound dept of May'26</t>
  </si>
  <si>
    <t>Balance Chemical in Production May'26</t>
  </si>
  <si>
    <t>Balance Dispersion in Dipping lines of May'26</t>
  </si>
  <si>
    <t>Record Issue Che-Comp from stock card Com P1 of May'26</t>
  </si>
  <si>
    <t>Printed by Siriporn Boonrath  On 05-Jun-2026 09:52:59 PM</t>
  </si>
  <si>
    <t>Purchase</t>
  </si>
  <si>
    <t>Balance Stock Store</t>
  </si>
  <si>
    <t>Balance Stock Compound</t>
  </si>
  <si>
    <t>Balance stock production</t>
  </si>
  <si>
    <t>Account Code : 7000/122 Account Name : PURCHASES - CHEMICAL</t>
  </si>
  <si>
    <t>Beginning Stock Dispersion in Compound dept of Feb'26</t>
  </si>
  <si>
    <t xml:space="preserve"> Production P1</t>
  </si>
  <si>
    <t>Beginning Stock Chemical in Production Feb'26</t>
  </si>
  <si>
    <t xml:space="preserve"> 02-Feb-26</t>
  </si>
  <si>
    <t>MIJ-26-02-0007</t>
  </si>
  <si>
    <t>MI-26-02-0007</t>
  </si>
  <si>
    <t>NITRIC ACID 68% (280 KGS/DRUM ),TEXKLEEN P22 (225KG/DRUM)(ALKALINE CLEANER )</t>
  </si>
  <si>
    <t xml:space="preserve"> 06-Feb-26</t>
  </si>
  <si>
    <t>MIJ-26-02-0150</t>
  </si>
  <si>
    <t>MI-26-02-0164</t>
  </si>
  <si>
    <t xml:space="preserve"> 10-Feb-26</t>
  </si>
  <si>
    <t>MIJ-26-02-0218</t>
  </si>
  <si>
    <t>MI-26-02-0237</t>
  </si>
  <si>
    <t xml:space="preserve"> 12-Feb-26</t>
  </si>
  <si>
    <t>MIJ-26-02-0284</t>
  </si>
  <si>
    <t>MI-26-02-0325</t>
  </si>
  <si>
    <t xml:space="preserve"> 13-Feb-26</t>
  </si>
  <si>
    <t>MIJ-26-02-0294</t>
  </si>
  <si>
    <t>MI-26-02-0336</t>
  </si>
  <si>
    <t>TEXKLEEN P22 (225KG/DRUM)(ALKALINE CLEANER ),TEXKLEEN P22 (225KG/DRUM)(ALKALINE CLEANER )</t>
  </si>
  <si>
    <t xml:space="preserve"> 17-Feb-26</t>
  </si>
  <si>
    <t>MIJ-26-02-0361</t>
  </si>
  <si>
    <t>MI-26-02-0408</t>
  </si>
  <si>
    <t xml:space="preserve"> 20-Feb-26</t>
  </si>
  <si>
    <t>MIJ-26-02-0455</t>
  </si>
  <si>
    <t>MI-26-02-0520</t>
  </si>
  <si>
    <t>MIJ-26-02-0458</t>
  </si>
  <si>
    <t>MI-26-02-0527</t>
  </si>
  <si>
    <t xml:space="preserve"> 23-Feb-26</t>
  </si>
  <si>
    <t>MIJ-26-02-0541</t>
  </si>
  <si>
    <t>MI-26-02-0625</t>
  </si>
  <si>
    <t xml:space="preserve"> 25-Feb-26</t>
  </si>
  <si>
    <t>MIJ-26-02-0582</t>
  </si>
  <si>
    <t>MI-26-02-0671</t>
  </si>
  <si>
    <t xml:space="preserve"> 27-Feb-26</t>
  </si>
  <si>
    <t>MIJ-26-02-0696</t>
  </si>
  <si>
    <t>MI-26-02-0824</t>
  </si>
  <si>
    <t>Balance Dispersion in Compound dept of Feb'26</t>
  </si>
  <si>
    <t>Balance Chemical in Production Feb'26</t>
  </si>
  <si>
    <t>Record Issue Che-Comp from stock card Com P1 of Feb'26</t>
  </si>
  <si>
    <t>Transfer Dispersion between plants of Feb'26</t>
  </si>
  <si>
    <t>Printed by Siriporn Boonrath  On 11-Mar-2026 09:45:09 AM</t>
  </si>
  <si>
    <t>Net consumed Latex and Chemical on Apr'26</t>
  </si>
  <si>
    <t>Mar'26</t>
  </si>
  <si>
    <t>Closing stock</t>
  </si>
  <si>
    <t>Code</t>
  </si>
  <si>
    <t>Kgs</t>
  </si>
  <si>
    <t>Cost : Kg</t>
  </si>
  <si>
    <t>Value (Bht)</t>
  </si>
  <si>
    <t>CH101</t>
  </si>
  <si>
    <t>CHLORINE 99.5% (1,000 KGS CYLINDER) MOITURE 100 MG/KG MAX.</t>
  </si>
  <si>
    <t>CH102</t>
  </si>
  <si>
    <t>SODIUM HYDROXIDE 50% (1500 KGS/IBC)</t>
  </si>
  <si>
    <t>CH104</t>
  </si>
  <si>
    <t>SPECLEAN 11 (246 KGS /DRUM)</t>
  </si>
  <si>
    <t>CH105</t>
  </si>
  <si>
    <t>HISOL D203 (QA75/137) 200 KGS/DRUM (MOQ 400KG/TRIP)</t>
  </si>
  <si>
    <t>CH106</t>
  </si>
  <si>
    <t>OCTOSOL 643 (200KG/DRUM)</t>
  </si>
  <si>
    <t>CH109</t>
  </si>
  <si>
    <t>VIVASHIELD 9177 WAX (950KG/IBC)</t>
  </si>
  <si>
    <t>CH110</t>
  </si>
  <si>
    <t>CS COAT T403 (1000 KG/TANK)</t>
  </si>
  <si>
    <t>CH111</t>
  </si>
  <si>
    <t>ALKALINE CLEAN S4 (1100 KG/TANK)</t>
  </si>
  <si>
    <t>CH112</t>
  </si>
  <si>
    <t>TRUCOAT NR 12 (200KG/DRUM) MOQ=16,000KG/TRIP</t>
  </si>
  <si>
    <t>CH113</t>
  </si>
  <si>
    <t>CALCIUM NITRATE LIQUOR 54- 56% (300KG/DRUM)-MEYCHERN</t>
  </si>
  <si>
    <t>CH114</t>
  </si>
  <si>
    <t>TRANSCURE ZDB50 (225KG/DRUM)</t>
  </si>
  <si>
    <t>CH115</t>
  </si>
  <si>
    <t>TRANSACT ZNO60 (250KG/DRUM)</t>
  </si>
  <si>
    <t>CH116</t>
  </si>
  <si>
    <t>TRANSCURE S60 (250KG/DRUM)</t>
  </si>
  <si>
    <t>CH117</t>
  </si>
  <si>
    <t>TRANSTINT TIO270(250KG/DRUM)</t>
  </si>
  <si>
    <t>CH127</t>
  </si>
  <si>
    <t>CALCIUM NITRATE LIQUOR 54- 56% (L- 089B) (25,000KG/TANK)</t>
  </si>
  <si>
    <t>CH128</t>
  </si>
  <si>
    <t>FARSPERSE BLUE MPL1523 (20 KGS/PAIL)</t>
  </si>
  <si>
    <t>CH129</t>
  </si>
  <si>
    <t>FARSPERSE BLACK PB-ZBX (20 KGS/PAIL)</t>
  </si>
  <si>
    <t>CH130</t>
  </si>
  <si>
    <t>FARSPERSE ORANGE PO-HPA (20KG/DRUM)</t>
  </si>
  <si>
    <t>CH133</t>
  </si>
  <si>
    <t>CS COAT T406 (CALCIUM STEARATE 40%) (1000 KG/TANK)</t>
  </si>
  <si>
    <t>CH140</t>
  </si>
  <si>
    <t>HYDROTINT BLACK BA (20KG/PK) PIGMENT</t>
  </si>
  <si>
    <t>CH145</t>
  </si>
  <si>
    <t xml:space="preserve">  BIO-F20 (25KG/PACK) - TNG (BIOCIDE)</t>
  </si>
  <si>
    <t>CH146</t>
  </si>
  <si>
    <t>AQUWAX 078 (MOQ 9500KG/TRIP)</t>
  </si>
  <si>
    <t>CH147</t>
  </si>
  <si>
    <t>FARSPERSE GREEN MPG1814 (20KG/PAIL)</t>
  </si>
  <si>
    <t>CH148</t>
  </si>
  <si>
    <t>KOH 48% SOLUTION (1500KG/IBC) (TC GROUP)</t>
  </si>
  <si>
    <t>CH149</t>
  </si>
  <si>
    <t>EZSTRIP 2XL – 200 KG/DRUM</t>
  </si>
  <si>
    <t>CH150</t>
  </si>
  <si>
    <t>BIO-PLUS (1 Bag / 1 kg)</t>
  </si>
  <si>
    <t>CH156</t>
  </si>
  <si>
    <t>SA600 (1400KG/IBC)-TC GROUP</t>
  </si>
  <si>
    <t>CH159</t>
  </si>
  <si>
    <t>ANTIFOAM MM 7085 SE (25KG/DRUM)</t>
  </si>
  <si>
    <t>CH161</t>
  </si>
  <si>
    <t>PAC 10% (25KG/Drum)</t>
  </si>
  <si>
    <t>CH162</t>
  </si>
  <si>
    <t>ANTIFOAM KSE9020-AS (PACKAGE (KGS) : 20 KG/DRUM)</t>
  </si>
  <si>
    <t>CH163</t>
  </si>
  <si>
    <t>POLYMER R-1034 (25KG/Drum)</t>
  </si>
  <si>
    <t>CH164</t>
  </si>
  <si>
    <t>POLYMER R-5000 (25KG/Drum)</t>
  </si>
  <si>
    <t>CH165</t>
  </si>
  <si>
    <t>CABOWET GA100 (194KG/DRUM) (WETING AGENT)</t>
  </si>
  <si>
    <t>CH168</t>
  </si>
  <si>
    <t>ALPHALINK (ACELERATOR FREE CROSSLINKER) (200KG/DRUM)</t>
  </si>
  <si>
    <t>CH17</t>
  </si>
  <si>
    <t>SODIUM HYDROXIDE 98% (25/BAG)</t>
  </si>
  <si>
    <t>CH172</t>
  </si>
  <si>
    <t>TWT- ORANGE - ROS5</t>
  </si>
  <si>
    <t>CH173</t>
  </si>
  <si>
    <t xml:space="preserve">  FARSPERSE ORANGE PO-HPA -(SF) (20KG/DRUM) (PIGMENT SILICONE FREE)</t>
  </si>
  <si>
    <t>CH176</t>
  </si>
  <si>
    <t>KOH 48% SOLUTION (1490KG/IBC)THANODOM</t>
  </si>
  <si>
    <t>CH177</t>
  </si>
  <si>
    <t>TCK-90 ALKALINE CLEANING SOLUTION (240KGS/DRUM)/(1200KG/IBC)</t>
  </si>
  <si>
    <t>CH182</t>
  </si>
  <si>
    <t>DISPERCURE ACCB60 (ACCELERATOR BOOSTER ) (200KG/DRUM)</t>
  </si>
  <si>
    <t>CH184</t>
  </si>
  <si>
    <t>NOBEL 7400 (ANTI-TACK)</t>
  </si>
  <si>
    <t>CH186</t>
  </si>
  <si>
    <t>(TEST) RR100 RUBBER REMOVER FOR OFFLINE CLEANING (25KG/CARBOY)</t>
  </si>
  <si>
    <t>CH196</t>
  </si>
  <si>
    <t>TEXKLEEN P22 (200KG/DRUM)(ALKALINE CLEANER )</t>
  </si>
  <si>
    <t>CH199</t>
  </si>
  <si>
    <t>FARSPERSE BLACK PB-ZBX SF (20 KGS/PAIL) (PIGMENT SILICONE FREE)</t>
  </si>
  <si>
    <t>CH200</t>
  </si>
  <si>
    <t>FORMER CLEANER SF 101 - ALKALINE CLEANER</t>
  </si>
  <si>
    <t>CH201</t>
  </si>
  <si>
    <t>(TEST) TEGO ANTIFOAM-2290 (ANTIFOAM)</t>
  </si>
  <si>
    <t>CH202</t>
  </si>
  <si>
    <t>(TEST) CALNITE INNO+76 (Calcium Nitrate)</t>
  </si>
  <si>
    <t>CH203</t>
  </si>
  <si>
    <t>(TEST)CYCLARON927 (ANTI-TACK)</t>
  </si>
  <si>
    <t>CH206</t>
  </si>
  <si>
    <t>(TEST) OCTOWAX 817(M) (WAX)</t>
  </si>
  <si>
    <t>CH208</t>
  </si>
  <si>
    <t>(TEST) MRA-N23T (200KG/DR) - ANTI TACKY</t>
  </si>
  <si>
    <t>CH209</t>
  </si>
  <si>
    <t>(TEST) SPECLEAN8 (240KG/DRUM) - ALKALINE CLEANER</t>
  </si>
  <si>
    <t>CH211</t>
  </si>
  <si>
    <t xml:space="preserve">  (TEST) CALCIUM NITRATE TETRAHYDRATE CRYSTAL ( CALCIUM SALT )(25KG/BG)</t>
  </si>
  <si>
    <t>CH212</t>
  </si>
  <si>
    <t xml:space="preserve">  (TEST) POTASSIUM HYDROXIDE FLAKE 90% ( KOH ) ( 25 KGS / BAG )</t>
  </si>
  <si>
    <t>CH215</t>
  </si>
  <si>
    <t xml:space="preserve">  (TEST)ACUMIN H65 (1600KG/IBC) - FILLER</t>
  </si>
  <si>
    <t>CH216</t>
  </si>
  <si>
    <t xml:space="preserve">  (TEST)HYDROPERSE SWK-50 (1400KG/IBC) (FILLER)</t>
  </si>
  <si>
    <t>CH217</t>
  </si>
  <si>
    <t xml:space="preserve">  (TEST)TWT-BLUE RBL2/C (1523) (20KG/DRUM) (PIGMENT)</t>
  </si>
  <si>
    <t>CH218</t>
  </si>
  <si>
    <t xml:space="preserve">  (TEST)TWT-HIGH VIOLET-VI0002/A(20KG/DRUM) (PIGMENT)</t>
  </si>
  <si>
    <t>CH219</t>
  </si>
  <si>
    <t xml:space="preserve">  (TEST) TAMOL 9104 (25KG/PACK) DISPERSING AGENT</t>
  </si>
  <si>
    <t>CH22</t>
  </si>
  <si>
    <t>POTASSIUM HYDROXIDE (KOH) 95% (25 KGS/BAG)</t>
  </si>
  <si>
    <t>CH220</t>
  </si>
  <si>
    <t xml:space="preserve">  (TEST) MAXSI 01(25KG/Pail) SILICONE</t>
  </si>
  <si>
    <t>CH221</t>
  </si>
  <si>
    <t xml:space="preserve">  (TEST) SPECLEAN SC (220KG/DRUM) COMPOSITE CLEANER</t>
  </si>
  <si>
    <t>CH222</t>
  </si>
  <si>
    <t xml:space="preserve">  AQUAWAX 022S (950KG/IBC) -WAX</t>
  </si>
  <si>
    <t>CH223</t>
  </si>
  <si>
    <t xml:space="preserve">  (TEST) ECD 011 (1200KG/IBC) (CO-CROSSLINKER)</t>
  </si>
  <si>
    <t>CH224</t>
  </si>
  <si>
    <t xml:space="preserve">  (TEST) ESD090 (1200KG/IBC) (EXTENDER)</t>
  </si>
  <si>
    <t>CH225</t>
  </si>
  <si>
    <t xml:space="preserve">  (TEST) MRA-N55 (200KG/DR) - ANTI TACK</t>
  </si>
  <si>
    <t>CH227</t>
  </si>
  <si>
    <t xml:space="preserve">  (TEST) NEOPELEX G-15P (1000KG/IBC) (SDBS)</t>
  </si>
  <si>
    <t>CH228</t>
  </si>
  <si>
    <t xml:space="preserve">  (TEST) MRA-N59 (200KG/DR) - ANTI TACK</t>
  </si>
  <si>
    <t>CH229</t>
  </si>
  <si>
    <t xml:space="preserve">  (TEST) MRC600NB50(1400KG/IBC) MOQ: 23,800KG EXTENDER</t>
  </si>
  <si>
    <t>CH23</t>
  </si>
  <si>
    <t>AMMONIUM HYDROXIDE 180KGS /DRUM</t>
  </si>
  <si>
    <t>CH230</t>
  </si>
  <si>
    <t xml:space="preserve">  CALCIUM NITRATE LIQUOR 54- 56% (30,000KG/TANK)-MEY CHEMICAL</t>
  </si>
  <si>
    <t>CH233</t>
  </si>
  <si>
    <t xml:space="preserve">  (TEST) MAXSIL B280M(200kg/DRUM) - NBR POLYMER</t>
  </si>
  <si>
    <t>CH234</t>
  </si>
  <si>
    <t xml:space="preserve">  (TEST) MAXADD WT300(200KG/DRUM) - WETTING AGENT</t>
  </si>
  <si>
    <t>CH235</t>
  </si>
  <si>
    <t xml:space="preserve">  (TEST) MAXCO B3108M (200KG/DRUM) - ANTI TACK</t>
  </si>
  <si>
    <t>CH238</t>
  </si>
  <si>
    <t xml:space="preserve">  (TEST) OCTOWET LWA (200KG/DRUM)-WETTING AGENT</t>
  </si>
  <si>
    <t>CH240</t>
  </si>
  <si>
    <t xml:space="preserve">  (TEST) ALPHALINK 50 (200KG/DRUM),(1000KG/IBC) - ACELERATOR FREE CROSSLINKER</t>
  </si>
  <si>
    <t>CH249</t>
  </si>
  <si>
    <t xml:space="preserve">  (TEST) SULPHUR 60% 1200 KGS/IBC</t>
  </si>
  <si>
    <t>CH250</t>
  </si>
  <si>
    <t xml:space="preserve">  (TEST) ZINC OXIDE 60% (1400KG/IBC)</t>
  </si>
  <si>
    <t>CH251</t>
  </si>
  <si>
    <t xml:space="preserve">  (TEST) TITANIUM DIOXIDE 70% (TIO2 70%) (1400KG/IBC)</t>
  </si>
  <si>
    <t>CH252</t>
  </si>
  <si>
    <t xml:space="preserve">  (TEST) KLEEN S21 (225KG/DRUM) (ALAKLINE CLEANNER)</t>
  </si>
  <si>
    <t>CH26</t>
  </si>
  <si>
    <t>CH45</t>
  </si>
  <si>
    <t>CALCIUM NITRATE, SOLUTION 54-54% (310/DRUM),(25000KG/TANK)</t>
  </si>
  <si>
    <t>CH57</t>
  </si>
  <si>
    <t>CARBOWET LSF ( 213 KGS / DRUM )</t>
  </si>
  <si>
    <t>CH60</t>
  </si>
  <si>
    <t>RHODOLINE DF642 18KGS/DRUM</t>
  </si>
  <si>
    <t>CH88</t>
  </si>
  <si>
    <t>SURFYNOL DF 37 (DEFORMER) 20KGS./DRUM</t>
  </si>
  <si>
    <t>CH89</t>
  </si>
  <si>
    <t>SURFYNOL TG (SURFACTANT) 204.1 KGS./DRUM</t>
  </si>
  <si>
    <t>CH90</t>
  </si>
  <si>
    <t>ZDEC 50% 225 KGS/DRUM</t>
  </si>
  <si>
    <t>CH91</t>
  </si>
  <si>
    <t>ZDBC 50% 225 KGS/DRUM</t>
  </si>
  <si>
    <t>CH92</t>
  </si>
  <si>
    <t>SULPHUR 60% 250 KGS/DRUM</t>
  </si>
  <si>
    <t>CH93</t>
  </si>
  <si>
    <t>ZINC OXIDE 60% (ZNO) 250 KGS/DRUM</t>
  </si>
  <si>
    <t>CH94</t>
  </si>
  <si>
    <t>TIO2 70% (TITANIUM DIOXIDE) 250 KGS/DRUM</t>
  </si>
  <si>
    <t>CH95</t>
  </si>
  <si>
    <t>56% FARSPERSE BLUE PL-SRB 20 KGS / PAIL</t>
  </si>
  <si>
    <t>CH96</t>
  </si>
  <si>
    <t>47% FARSPERSE VIOLET PV-RLS 20 KGS/PAIL</t>
  </si>
  <si>
    <t>CH97</t>
  </si>
  <si>
    <t>ALKALINE FORMER CLEANING NOBEL 734 1,000 KGS/DRUM</t>
  </si>
  <si>
    <t>CH98</t>
  </si>
  <si>
    <t>ANTI-TACK NOBEL 7426 1,000 KGS/DRUM</t>
  </si>
  <si>
    <t>CH99</t>
  </si>
  <si>
    <t>NR POLYMER NOBEL 3006 ( 200 KGS / DRUM )</t>
  </si>
  <si>
    <t>N-SCH107</t>
  </si>
  <si>
    <t>SCH029</t>
  </si>
  <si>
    <t>TCK-90 ALKALINE CLEANING SOLUTION (240KGS/DRUM)/(1250KG/IBC)</t>
  </si>
  <si>
    <t>SCH032</t>
  </si>
  <si>
    <t>ACCELERATOR 50% ( ZNO-50 )</t>
  </si>
  <si>
    <t>SCH047</t>
  </si>
  <si>
    <t>CS COAT T502 (200 KGS.)</t>
  </si>
  <si>
    <t>SCH048</t>
  </si>
  <si>
    <t>CS COAT T503 (200 kg/drum)</t>
  </si>
  <si>
    <t>SCH049</t>
  </si>
  <si>
    <t>ALKALINE CLEANING ONLINE CLEAN CS2 (220/DRUM)</t>
  </si>
  <si>
    <t>SCH053</t>
  </si>
  <si>
    <t>KP25 (180/DRUM)</t>
  </si>
  <si>
    <t>SCH054</t>
  </si>
  <si>
    <t>MARLIPAL (200/DRUM)</t>
  </si>
  <si>
    <t>SCH056</t>
  </si>
  <si>
    <t>-cancle- OCTOSOL 643 (200KG/DRUM)</t>
  </si>
  <si>
    <t>SCH057</t>
  </si>
  <si>
    <t>TEXTAC K270 (200KGS/DRUM)</t>
  </si>
  <si>
    <t>SCH058</t>
  </si>
  <si>
    <t>FARSPERSE BLUE MPL1523” (20 KGS/PAIL)-CANCLE-</t>
  </si>
  <si>
    <t>SCH059</t>
  </si>
  <si>
    <t>FARSPERSE BLACK PB-ZBX (20 KGS/PAIL)-CANCLE-</t>
  </si>
  <si>
    <t>SCH060</t>
  </si>
  <si>
    <t>MRA L309 (200KG)</t>
  </si>
  <si>
    <t>SCH061</t>
  </si>
  <si>
    <t>FRESSIL 581(181.49KG/DRUM)</t>
  </si>
  <si>
    <t>SCH062</t>
  </si>
  <si>
    <t>OCTOSPERSE PPE-S3 (225KG/DRUM)</t>
  </si>
  <si>
    <t>SCH063</t>
  </si>
  <si>
    <t>TRUCOAT NR 12 (200KG/DRUM) MOQ=16,000KG/TRIP- CANCLE</t>
  </si>
  <si>
    <t>SCH064</t>
  </si>
  <si>
    <t>DISPERFIL F100 (300KG/DRUM)</t>
  </si>
  <si>
    <t>SCH065</t>
  </si>
  <si>
    <t>AVERCOTE PLC40E(200KG/DRUM)</t>
  </si>
  <si>
    <t>SCH068</t>
  </si>
  <si>
    <t>PERMASILK H88 (200KG/DRUM)</t>
  </si>
  <si>
    <t>SCH070</t>
  </si>
  <si>
    <t>CALCIUM NITRATE LIQUOR 54-56% (300 KG/DRUM)</t>
  </si>
  <si>
    <t>SCH071</t>
  </si>
  <si>
    <t>TRUCOAT NT18 – 200 kg/drum</t>
  </si>
  <si>
    <t>SCH072</t>
  </si>
  <si>
    <t>FARSPERSE ORANGE PO-HPA (20KG/DRUM)-CANCLE-</t>
  </si>
  <si>
    <t>SCH073</t>
  </si>
  <si>
    <t>BIOZOL 10(25KG/PACK)- CANCLE</t>
  </si>
  <si>
    <t>SCH074</t>
  </si>
  <si>
    <t>AVERBOND SL 111 (200KG/DRUM)</t>
  </si>
  <si>
    <t>SCH075</t>
  </si>
  <si>
    <t>AYCLARON-974 (190KG/DRUM) - CANCLE</t>
  </si>
  <si>
    <t>SCH077</t>
  </si>
  <si>
    <t>CPP-40 (200KG/DRUM)</t>
  </si>
  <si>
    <t>SCH078</t>
  </si>
  <si>
    <t>N-125 (275KG/DRUM)</t>
  </si>
  <si>
    <t>SCH079</t>
  </si>
  <si>
    <t>AYCLARON 964 (190 KG/DRUM ) - CANCLE</t>
  </si>
  <si>
    <t>SCH080</t>
  </si>
  <si>
    <t>CS COAT T406 (CALCIUM STEARATE 40%) (1000 KG/TANK)- CANCLE</t>
  </si>
  <si>
    <t>SCH091</t>
  </si>
  <si>
    <t>HYDROSPERSE BLUE(HSE) (20KG/PACK)-Cancle-</t>
  </si>
  <si>
    <t>SCH093</t>
  </si>
  <si>
    <t>COLANYL YELLOW HR 35-TH(30KG/PK)-CANCLE-</t>
  </si>
  <si>
    <t>SCH094</t>
  </si>
  <si>
    <t>PERMARSILK N</t>
  </si>
  <si>
    <t>SCH098</t>
  </si>
  <si>
    <t>AQUWAX 078</t>
  </si>
  <si>
    <t>SCH099</t>
  </si>
  <si>
    <t>MAXSILK B270M (200KG/DR)-CANCLE-</t>
  </si>
  <si>
    <t>SCH100</t>
  </si>
  <si>
    <t>MAXCIDE (25KG/PK)</t>
  </si>
  <si>
    <t>SCH103</t>
  </si>
  <si>
    <t>RASPERSE LC 50C1 – 210 KG/DRUM</t>
  </si>
  <si>
    <t>SCH104</t>
  </si>
  <si>
    <t>50% PPC CALCIUM CARBONATE (250KG/DRUM)</t>
  </si>
  <si>
    <t>SCH105</t>
  </si>
  <si>
    <t>BIO F20 (25 KG/Pack)</t>
  </si>
  <si>
    <t>SCH106</t>
  </si>
  <si>
    <t>ANTIOXIDANT (IONAL LC) DISPERSION(250KGS/PLASTIC DRUM)</t>
  </si>
  <si>
    <t>SCH107</t>
  </si>
  <si>
    <t>SCH108</t>
  </si>
  <si>
    <t>ZNO 60% DISPERSION (250KG/DRUM)</t>
  </si>
  <si>
    <t>SCH109</t>
  </si>
  <si>
    <t>SULPHUR 60% DISPERSION (250KG/DRUM)</t>
  </si>
  <si>
    <t>SCH110</t>
  </si>
  <si>
    <t>ZDBC50% DISPERSION (250KG/DRUM)</t>
  </si>
  <si>
    <t>SCH111</t>
  </si>
  <si>
    <t>TI 70% DISPERSION (250KG/DRUM)</t>
  </si>
  <si>
    <t>SCH112</t>
  </si>
  <si>
    <t>NEOPELEX G-24</t>
  </si>
  <si>
    <t>SCH113</t>
  </si>
  <si>
    <t>CALCIUM NITRAD POWDER (DIPCAL RQ ) (25KG/PK)</t>
  </si>
  <si>
    <t>SCH114</t>
  </si>
  <si>
    <t>CALCIUM NITRATE ( CHINA ) 25 KGS / BAG</t>
  </si>
  <si>
    <t>SCH115</t>
  </si>
  <si>
    <t>BOSTEX 378AS(60% SULFUR) (240KG/DRUM)</t>
  </si>
  <si>
    <t>SCH116</t>
  </si>
  <si>
    <t>BOSTEX 422AS(60% ZNO) (240KG/DRUM)</t>
  </si>
  <si>
    <t>SCH117</t>
  </si>
  <si>
    <t>BOSTEX 950AS(50% ZDBC) (210KG/DRUM)</t>
  </si>
  <si>
    <t>SCH118</t>
  </si>
  <si>
    <t>BOSTEX 997A(70% TIO2) (240KG/DRUM)</t>
  </si>
  <si>
    <t>SCH119</t>
  </si>
  <si>
    <t>BOSTEX 422A(45% ACTIVE ZNO) (240KG/DRUM)</t>
  </si>
  <si>
    <t>SCH120</t>
  </si>
  <si>
    <t>KOH 48% SOLUTION (1500KG/IBC)</t>
  </si>
  <si>
    <t>SCH121</t>
  </si>
  <si>
    <t>BACTERICIDE PS-75 (150KG/DR)</t>
  </si>
  <si>
    <t>SCH122</t>
  </si>
  <si>
    <t>KOH 48% SOLUTION (1000KG/IBC)</t>
  </si>
  <si>
    <t>SCH123</t>
  </si>
  <si>
    <t>SA600 (1400KG/IBC)</t>
  </si>
  <si>
    <t>SCH124</t>
  </si>
  <si>
    <t>TWT-ORANGE-ROR5</t>
  </si>
  <si>
    <t>SCH154</t>
  </si>
  <si>
    <t>EZCLEAN 320 (1000KG/IBC) - CEEBEE</t>
  </si>
  <si>
    <t>SCH155</t>
  </si>
  <si>
    <t>WIZSOFT405 (200KG/DRUM)-WIZARD</t>
  </si>
  <si>
    <t>SCH165</t>
  </si>
  <si>
    <t>CARBOWET GA100 (194KG/DRUM)</t>
  </si>
  <si>
    <t>SCH168</t>
  </si>
  <si>
    <t>ALPHALINK (ACELERATOR FREE CROSSLINKER) (200KG/Drum)</t>
  </si>
  <si>
    <t>SCH169</t>
  </si>
  <si>
    <t>M-GEN2 CLB-02</t>
  </si>
  <si>
    <t>SCH170</t>
  </si>
  <si>
    <t>DIETHYLENE GLYCOL (DEG) 225KG/Drum</t>
  </si>
  <si>
    <t>SCH171</t>
  </si>
  <si>
    <t>FLEXONYL ORANGE G</t>
  </si>
  <si>
    <t>SCH172</t>
  </si>
  <si>
    <t>SCH173</t>
  </si>
  <si>
    <t>FARSPERSE ORANGE PO-HPA -(SF) (20KG/DRUM)</t>
  </si>
  <si>
    <t>SCH182</t>
  </si>
  <si>
    <t>DISPERCURE AccB60 (Accelerator Booster ) (200KG/Drum)</t>
  </si>
  <si>
    <t>SCH184</t>
  </si>
  <si>
    <t>NOBEL 7400</t>
  </si>
  <si>
    <t>SCH187</t>
  </si>
  <si>
    <t>STAB SURF 8005</t>
  </si>
  <si>
    <t>SFG-Water</t>
  </si>
  <si>
    <t>Water</t>
  </si>
  <si>
    <t>LN01</t>
  </si>
  <si>
    <t>NITRILE LATEX</t>
  </si>
  <si>
    <t>**check Total LN01 with Detail as below**</t>
  </si>
  <si>
    <t>NBR01</t>
  </si>
  <si>
    <t xml:space="preserve">  SYNTHETIC LATEX BST NBL 8503S</t>
  </si>
  <si>
    <t>NBR11</t>
  </si>
  <si>
    <t xml:space="preserve">  NBR LATEX KNL830</t>
  </si>
  <si>
    <t>NBR13</t>
  </si>
  <si>
    <t xml:space="preserve">  SYNTHOMER 6329</t>
  </si>
  <si>
    <t>NBR30</t>
  </si>
  <si>
    <t xml:space="preserve">  (TEST) NBR-XY806</t>
  </si>
  <si>
    <t>NBR12</t>
  </si>
  <si>
    <t xml:space="preserve">  SYNTHETIC LATEX '' LG NITRILE LUTEX 125 ''</t>
  </si>
  <si>
    <t>Mercator Medical (Thailand) LTD.</t>
  </si>
  <si>
    <t>Stock Card Report By Location- Fin Year Based</t>
  </si>
  <si>
    <t>From 01-May-26 To 31-May-26</t>
  </si>
  <si>
    <t>Costing method: WA</t>
  </si>
  <si>
    <t>TAX ID :</t>
  </si>
  <si>
    <t>0905546002869</t>
  </si>
  <si>
    <t>Item</t>
  </si>
  <si>
    <t>UOM</t>
  </si>
  <si>
    <t>Received 
Qty</t>
  </si>
  <si>
    <t>Received 
 Amount</t>
  </si>
  <si>
    <t>Transfer from Inv Store P1 
Qty</t>
  </si>
  <si>
    <t>Transfer from
 Inv Store P1 
Amount</t>
  </si>
  <si>
    <t>Transfer 
from Inv 
Store P2 Qty</t>
  </si>
  <si>
    <t>Transfer from
 Inv Store P2  Amount</t>
  </si>
  <si>
    <t>Transfer
 from Inv Store P3 Qty</t>
  </si>
  <si>
    <t>Transfer from Inv Store 
P3 Amount</t>
  </si>
  <si>
    <t>Transfer 
from Comp P1 Qty</t>
  </si>
  <si>
    <t>Transfer from Comp P1 
Amount</t>
  </si>
  <si>
    <t>Transfer from Comp P2 
Qty</t>
  </si>
  <si>
    <t>Transfer from Comp P2 
Amount</t>
  </si>
  <si>
    <t>Transfer from Comp P3 
Qty</t>
  </si>
  <si>
    <t>Transfer from Comp P3 
Amount</t>
  </si>
  <si>
    <t>Transfer from Prod Store P1 
Qty</t>
  </si>
  <si>
    <t>Transfer from Prod Store P1 
Amount</t>
  </si>
  <si>
    <t>Transfer 
from Prod Store P2 Qty</t>
  </si>
  <si>
    <t>Transfer from Prod Store 
P2 Amount</t>
  </si>
  <si>
    <t>Transfer 
from Prod 
Store P3  Qty</t>
  </si>
  <si>
    <t>Transfer from Prod Store P3 
Amount</t>
  </si>
  <si>
    <t>Issued 
Qty</t>
  </si>
  <si>
    <t>Issued 
Amount</t>
  </si>
  <si>
    <t>Transfer to 
Inv Store P1 
Qty</t>
  </si>
  <si>
    <t>Transfer to
 Inv Store P1 
Amount</t>
  </si>
  <si>
    <t>Transfer to Inv Store P2 
Qty</t>
  </si>
  <si>
    <t>Transfer to 
Inv Store P2 
Amount</t>
  </si>
  <si>
    <t>Transfer to Inv Store P3 
Qty</t>
  </si>
  <si>
    <t>Transfer to 
Inv Store P3 
Amount</t>
  </si>
  <si>
    <t>Transfer to Comp P1 
Qty</t>
  </si>
  <si>
    <t>Transfer to Comp P1 
Amount</t>
  </si>
  <si>
    <t>Transfer to Comp P2 
Qty</t>
  </si>
  <si>
    <t>Transfer to
 Comp P2 
Amount</t>
  </si>
  <si>
    <t>Transfer to Comp P3 
Qty</t>
  </si>
  <si>
    <t>Transfer to 
Comp P3 
Amount</t>
  </si>
  <si>
    <t>Transfer to Prod Store 
P1 Qty</t>
  </si>
  <si>
    <t>Transfer to Prod  Store 
P1 Amount</t>
  </si>
  <si>
    <t>Transfer to Prod  Store 
P2 Qty</t>
  </si>
  <si>
    <t>Transfer to Prod  Store 
P2 Amount</t>
  </si>
  <si>
    <t>Transfer to Prod  Store 
P3  Qty</t>
  </si>
  <si>
    <t>Transfer to Prod  Store 
P3 Amount</t>
  </si>
  <si>
    <t>Adjustment Qty</t>
  </si>
  <si>
    <t>Balance 
Qty</t>
  </si>
  <si>
    <t>Balance 
Unit Cost</t>
  </si>
  <si>
    <t>Balance Amount</t>
  </si>
  <si>
    <t>Category</t>
  </si>
  <si>
    <t>Inv Store - Plant 1</t>
  </si>
  <si>
    <t xml:space="preserve">Total  </t>
  </si>
  <si>
    <t>check</t>
  </si>
  <si>
    <t>ผลต่างจากใบตาชั่ง</t>
  </si>
  <si>
    <t>B/F</t>
  </si>
  <si>
    <t>Compound store - Plant 1</t>
  </si>
  <si>
    <t>Qty</t>
  </si>
  <si>
    <t>Amount</t>
  </si>
  <si>
    <t>Kg</t>
  </si>
  <si>
    <t>NBR-Latex</t>
  </si>
  <si>
    <t>NBR31</t>
  </si>
  <si>
    <t xml:space="preserve">  (TEST) NBR LATEX, RFA-7632</t>
  </si>
  <si>
    <t>in</t>
  </si>
  <si>
    <t>out</t>
  </si>
  <si>
    <t>BL</t>
  </si>
  <si>
    <t>@</t>
  </si>
  <si>
    <t>CHEMICAL</t>
  </si>
  <si>
    <t xml:space="preserve">  TEXKLEEN P22 (225KG/DRUM)(ALKALINE CLEANER )</t>
  </si>
  <si>
    <t xml:space="preserve">  AMMONIUM HYDROXIDE (180KGS /DRUM)(900KG/IBC)</t>
  </si>
  <si>
    <t xml:space="preserve">  MAXSILK B280M(1000KG/IBC) - NBR POLYMER</t>
  </si>
  <si>
    <t>CH245</t>
  </si>
  <si>
    <t xml:space="preserve">  (TEST) SPECLEAN 10 (230KG/DRUM) - ALKALINE CLEANER</t>
  </si>
  <si>
    <t xml:space="preserve">  NITRIC ACID 68% (280 KGS/DRUM )</t>
  </si>
  <si>
    <t>QTY</t>
  </si>
  <si>
    <t xml:space="preserve">  OCTOSOL 643  (1000KG/IBC)(SDBS)</t>
  </si>
  <si>
    <t xml:space="preserve">  FARSPERSE BLUE MPL1523 (20 KGS/PAIL)  (PIGMENT)</t>
  </si>
  <si>
    <t xml:space="preserve">  HYDROTINT BLACK BA (20KG/PK) PIGMENT</t>
  </si>
  <si>
    <t xml:space="preserve">  ALPHALINK 30 (ACELERATOR FREE CROSSLINKER) (1100KG/IBC)</t>
  </si>
  <si>
    <t xml:space="preserve">  CALCIUM NITRATE TETRAHYDRATE CRYSTAL ( CALCIUM SALT )(25KG/BG)</t>
  </si>
  <si>
    <t xml:space="preserve">  POTASSIUM HYDROXIDE FLAKE 90% ( KOH ) ( 25 KGS / BAG )MOQ20000KG/TRIP</t>
  </si>
  <si>
    <t xml:space="preserve">  ACUMIN H65 (1600KG/IBC) - EXTENDER</t>
  </si>
  <si>
    <t xml:space="preserve">  NEOPELEX G-15P (1000KG/IBC) (SDBS)</t>
  </si>
  <si>
    <t xml:space="preserve">  MAXCO B3108M (1000KG/IBC) - ANTI TACK</t>
  </si>
  <si>
    <t xml:space="preserve">  ALPHALINK 50 (200KG/DRUM),(1100KG/IBC) - ACELERATOR FREE CROSSLINKER</t>
  </si>
  <si>
    <t xml:space="preserve">  SURFYNOL DF 37 (DEFORMER)  20KGS./DRUM</t>
  </si>
  <si>
    <t xml:space="preserve">  ZDBC 50%  225 KGS/DRUM</t>
  </si>
  <si>
    <t xml:space="preserve">  SULPHUR 60% 250 KGS/DRUM</t>
  </si>
  <si>
    <t xml:space="preserve">  ZINC OXIDE 60% (ZNO) 250 KGS/DRUM</t>
  </si>
  <si>
    <t xml:space="preserve">  TIO2 70% (TITANIUM DIOXIDE) 250 KGS/DRUM</t>
  </si>
  <si>
    <t>Stock Card Report By Location</t>
  </si>
  <si>
    <t>Received</t>
  </si>
  <si>
    <t>Transfer from other plant</t>
  </si>
  <si>
    <t>Issued</t>
  </si>
  <si>
    <t>Transfer to other plant</t>
  </si>
  <si>
    <t>Adjustment</t>
  </si>
  <si>
    <t>Unit Cost</t>
  </si>
  <si>
    <t>Production - Plant 1</t>
  </si>
  <si>
    <t xml:space="preserve">  (TEST) SPECLEAN8 (240KG/DRUM) - ALKALINE CLEANER</t>
  </si>
  <si>
    <t>checked</t>
  </si>
  <si>
    <t>Balance Compound latex</t>
  </si>
  <si>
    <t>Name</t>
  </si>
  <si>
    <t>Master name</t>
  </si>
  <si>
    <t>Item Name</t>
  </si>
  <si>
    <t>TSC</t>
  </si>
  <si>
    <t>Dry Kg</t>
  </si>
  <si>
    <t>Balance (Kg)</t>
  </si>
  <si>
    <t>Column1</t>
  </si>
  <si>
    <t>Total Dry Kg</t>
  </si>
  <si>
    <t>Bal. Kg Dry</t>
  </si>
  <si>
    <t>Bal. Kg Wet</t>
  </si>
  <si>
    <t>New Code</t>
  </si>
  <si>
    <t>Price</t>
  </si>
  <si>
    <t>Cost (Baht)</t>
  </si>
  <si>
    <t>**Check**</t>
  </si>
  <si>
    <t>_BalCom</t>
  </si>
  <si>
    <t>PLANT#1 FINGER TEXTURE BLACK 6.0G WITH BST8503S+NEOPELEX+15PHR MRC+AQUAWAX NITRILE COMPOUND</t>
  </si>
  <si>
    <t>NBR01 - SYNTHETIC LATEX BST NBL 8503S</t>
  </si>
  <si>
    <t>CH148 - KOH 48% SOLUTION (1500KG/IBC) (TC GROUP) (POTASSIUM HYDROXIDE)</t>
  </si>
  <si>
    <t>SFG-Water - WATER FOR COMPOUND ONLY</t>
  </si>
  <si>
    <t>CH227 - NEOPELEX G-15P (1000KG/IBC) (SDBS)</t>
  </si>
  <si>
    <t>CH93 - ZINC OXIDE 60% (ZNO) 250 KGS/DRUM</t>
  </si>
  <si>
    <t>CH92 - SULPHUR 60% 250 KGS/DRUM</t>
  </si>
  <si>
    <t>CH91 - ZDBC 50%  225 KGS/DRUM</t>
  </si>
  <si>
    <t>CH229 - MRC600NB50(1400KG/IBC) MOQ: 22,400KG EXTENDER</t>
  </si>
  <si>
    <t>CH222 - AQUAWAX 022S (950KG/IBC) -WAX</t>
  </si>
  <si>
    <t>CH199 - FARSPERSE BLACK PB-ZBX SF (20 KGS/PAIL)  (PIGMENT SILICONE FREE)</t>
  </si>
  <si>
    <t>PLANT#1 FINGER TEXTURE BLACK 6.0G WITH BST8503S+NEOPELEX+15PHR MRC NITRILE COMPOUND-DIP2</t>
  </si>
  <si>
    <t>PLANT#1 FINGER TEXTURE BLACK 6.0G WITH RFA-7632+NEOPELEX+15PHR ACUMIN H65+AQUAWAX NITRILE COMPOUND-DIP1</t>
  </si>
  <si>
    <t>NBR31 - (TEST) NBR LATEX, RFA-7632</t>
  </si>
  <si>
    <t>CH215 - ACUMIN H65 (1600KG/IBC) - EXTENDER</t>
  </si>
  <si>
    <t>PLANT#1 FINGER TEXTURE BLACK 6.0G WITH RFA-7632+NEOPELEX+15PHR ACUMIN H65 NITRILE COMPOUND-DIP2</t>
  </si>
  <si>
    <t>PLANT#1 FINGER TEXTURE BLACK 6.0G WITH XY-806+NEOPELEX+15PHR ACUMIN H65+AQUAWAX NITRILE COMPOUND-DIP1</t>
  </si>
  <si>
    <t>NBR30 - (TEST) NBR-XY806</t>
  </si>
  <si>
    <t>PLANT#1 PALM&amp;FINGER TEXTURE BLACK4.0G WITH XY-806+NEOPELEX+ALPHALINK30+10PHR ACUMIN+AQUAWAX NITRILE COMPOUND</t>
  </si>
  <si>
    <t>CH212 - POTASSIUM HYDROXIDE FLAKE 90% ( KOH ) ( 25 KGS / BAG )MOQ20000KG/TRIP</t>
  </si>
  <si>
    <t>CH168 - ALPHALINK 30 (ACELERATOR FREE CROSSLINKER) (1100KG/IBC)</t>
  </si>
  <si>
    <t>CH140 - HYDROTINT BLACK BA (20KG/PK) PIGMENT</t>
  </si>
  <si>
    <t>PLANT#1 PALM&amp;FINGER TEXTURE BLACK 5.5G WITH XY-806+NEOPELEX+15PHR ACUMIN H65+AQUAWAX NITRILE COMPOUND-DIP1</t>
  </si>
  <si>
    <t>PLANT#1 PALM&amp;FINGER TEXTURE BLACK 5.5G WITH XY-806+NEOPELEX+15PHR ACUMIN H65 NITRILE COMPOUND-DIP2</t>
  </si>
  <si>
    <t>PLANT#2 PALM&amp;FINGER TEXTURE BLACK3.5G BST8503S+NEOPELEX+ALPHALINK30+5PHR ACUMIN SP65 NITRILE COMPOUND-DIP2</t>
  </si>
  <si>
    <t>CH254 - (TEST) ACUMIN SP65 ( 1600KG/IBC)</t>
  </si>
  <si>
    <t>PLANT#2 PALM&amp;FINGER TEXTURE BLUE 4.3G WITH BST8503S+OCTOSOL+ALPHALINK30+5PHR ACUMIN+AQUAWAX NITRILE COMPOUND</t>
  </si>
  <si>
    <t>CH106 - OCTOSOL 643  (1000KG/IBC)(SDBS)</t>
  </si>
  <si>
    <t>CH94 - TIO2 70% (TITANIUM DIOXIDE) 250 KGS/DRUM</t>
  </si>
  <si>
    <t>CH128 - FARSPERSE BLUE MPL1523 (20 KGS/PAIL)  (PIGMENT)</t>
  </si>
  <si>
    <t>PLANT#2 PALM &amp; FINGER TEXTURE BLUE 4.5G BST8503S+OCTOSOL+ALPHALINK50+AQUAWAX NITRILE COMPOUND</t>
  </si>
  <si>
    <t>CH240 - ALPHALINK 50 (200KG/DRUM),(1100KG/IBC) - ACELERATOR FREE CROSSLINKER</t>
  </si>
  <si>
    <t>PLANT#2 FINGER TEXTURE VIOLET BLUE 3.5G WITH BST8503S+OCTOSOL+AF50+AQUAWAX+F-VIOLET COMPOUND-DIP1</t>
  </si>
  <si>
    <t>CH96 - 47% FARSPERSE VIOLET PV-RLS  20 KGS/PAIL (PIGMENT)</t>
  </si>
  <si>
    <t>PLANT#2 FINGER TEXTURE VIOLET BLUE 3.5G WITH BST8503S+OCTOSOL+ALPHALINK50+AQUAWAX+F-VIOLET COMPOUND-DIP1-NEW COLOR</t>
  </si>
  <si>
    <t>PLANT#3 FINGER TEXTURE VIOLET BLUE 3.5G WITH BST8503S+OCTOSOL+ALPHALINK30 COMPOUND-DIP2</t>
  </si>
  <si>
    <t>Balance Dispersion</t>
  </si>
  <si>
    <t>Master Name</t>
  </si>
  <si>
    <t>Total Kg Dry</t>
  </si>
  <si>
    <t>Bal. Kg</t>
  </si>
  <si>
    <t>**check**</t>
  </si>
  <si>
    <t>_BalDis</t>
  </si>
  <si>
    <t>COAGULANT PLANT#1 FINGER TEXTURE BLACK 6.0G GLOVES WITH MAXCO-SUPPLY BATCH</t>
  </si>
  <si>
    <t>CH45 - CALCIUM NITRATE, SOLUTION 54-55% (310/DRUM),(30,000KG/TANK)</t>
  </si>
  <si>
    <t>CH235 - MAXCO B3108M (1000KG/IBC) - ANTI TACK</t>
  </si>
  <si>
    <t>COAGULANT PLANT#1 PALM&amp;FINGER TEXTURE BLACK 5.5G GLOVES WITH MAXCO-SUPPLY BATCH</t>
  </si>
  <si>
    <t>PLANT#1 KOH SOLUTION 90% TO 3% WITH SOLID KOH</t>
  </si>
  <si>
    <t>PLANT#1-55% CALCIUM NITRATE PREPARATION FROM 70%CRYSTAL</t>
  </si>
  <si>
    <t>CH211 - CALCIUM NITRATE TETRAHYDRATE CRYSTAL ( CALCIUM SALT )(25KG/BG)</t>
  </si>
  <si>
    <t>POLYMER PLANT#1 WITH MAXSIL B280M-R1</t>
  </si>
  <si>
    <t>CH233 - MAXSILK B280M(1000KG/IBC) - NBR POLYMER</t>
  </si>
  <si>
    <t>CH145 - BIO-F20 (25KG/PACK) - TNG (BIOCIDE)</t>
  </si>
  <si>
    <t>CH23 - AMMONIUM HYDROXIDE (180KGS /DRUM)(900KG/IBC)</t>
  </si>
  <si>
    <t>Compound latex and Solution in Dipping lines</t>
  </si>
  <si>
    <t>Dipping line</t>
  </si>
  <si>
    <t>DF 1</t>
  </si>
  <si>
    <t>DF 2</t>
  </si>
  <si>
    <t>DF 3</t>
  </si>
  <si>
    <t>DF 4</t>
  </si>
  <si>
    <t>Balance (Kgs)</t>
  </si>
  <si>
    <t>Type of gloves</t>
  </si>
  <si>
    <t>BLACK 5.5</t>
  </si>
  <si>
    <t>BLACK 6.0</t>
  </si>
  <si>
    <t>Formula of Compound latex</t>
  </si>
  <si>
    <t>BST+AF</t>
  </si>
  <si>
    <t>Xing Yu-806+Neopelex+15Phr Acumin+Aquawax</t>
  </si>
  <si>
    <t>RFA-7632+Neopelex+15Phr Acumin+Aquawax</t>
  </si>
  <si>
    <t>Latex Compound (Wet)</t>
  </si>
  <si>
    <t>Latex Compound (Wet) (Buffer Tank)</t>
  </si>
  <si>
    <t>TSC %</t>
  </si>
  <si>
    <t>Latex Compound (Dry)</t>
  </si>
  <si>
    <t>Master name of compound latex</t>
  </si>
  <si>
    <t>Master formula</t>
  </si>
  <si>
    <t>% TSC</t>
  </si>
  <si>
    <t>Type</t>
  </si>
  <si>
    <t>Unit</t>
  </si>
  <si>
    <t>Kg Wet</t>
  </si>
  <si>
    <t>TOTAL KGs</t>
  </si>
  <si>
    <t>TOTAL KGS</t>
  </si>
  <si>
    <t>TOTAL BAHT</t>
  </si>
  <si>
    <t>**check Kg VS Baht**</t>
  </si>
  <si>
    <t>Baht</t>
  </si>
  <si>
    <t>Dispersion of Dipping lines</t>
  </si>
  <si>
    <t xml:space="preserve">Acid Tank </t>
  </si>
  <si>
    <t>Nobel 734, Akaline Clean S4, Speclean 11</t>
  </si>
  <si>
    <t>Coagulant for LVD &amp; BLUE-CS COAT T406</t>
  </si>
  <si>
    <t>Coagulant for LVD &amp; BLUE-MAXCO</t>
  </si>
  <si>
    <t>Coagulant for LVD &amp; BLUE-CS COAT T403</t>
  </si>
  <si>
    <t>Coagulant for LVD &amp; BLUE-Cyclaron 927</t>
  </si>
  <si>
    <t>Coagulant for LVD &amp; BLUE-MRA-N59</t>
  </si>
  <si>
    <t>Coagulant for ORANGE-2XL</t>
  </si>
  <si>
    <t>Coagulant for ORANGE-Cyclaron927</t>
  </si>
  <si>
    <t>Coagulant for BLACK- Cyclaron 927</t>
  </si>
  <si>
    <t>Coagulant for YELLOW</t>
  </si>
  <si>
    <t>Coagulant for BLACK-MAXCO</t>
  </si>
  <si>
    <t>Coagulant for BLACK-MRA N23T</t>
  </si>
  <si>
    <t>Coagulant for BLACK-MRA-N59</t>
  </si>
  <si>
    <t>Coagulant for BLACK-T403</t>
  </si>
  <si>
    <t>Coagulant for BLACK-T406</t>
  </si>
  <si>
    <t>Coagulant for BLACK-2XL</t>
  </si>
  <si>
    <t>Used (Kg)</t>
  </si>
  <si>
    <t>CHE_DIS-P</t>
  </si>
  <si>
    <t>Total Baht</t>
  </si>
  <si>
    <t>Net consumed Latex and Chemical on May'26</t>
  </si>
  <si>
    <t>Issue from Store</t>
  </si>
  <si>
    <t>Net Issue after adjustment</t>
  </si>
  <si>
    <t>Bal. of Chemical in Dipping &amp; Compound (Production)</t>
  </si>
  <si>
    <t>Consumed of Chemical</t>
  </si>
  <si>
    <t>Bal. of Solution in Dipping &amp; Compound</t>
  </si>
  <si>
    <t>Net Consumed of Chemical before Transfer</t>
  </si>
  <si>
    <t>Opening stock</t>
  </si>
  <si>
    <t>Receive Stock</t>
  </si>
  <si>
    <t>Closing Compound latex</t>
  </si>
  <si>
    <t>Closing stock of Dispersion</t>
  </si>
  <si>
    <t>Closing stock of Dipping lines</t>
  </si>
  <si>
    <t>เนื่องจากมีการใช้น้ำยาง BST แทน RFA-7632</t>
  </si>
  <si>
    <t>Plant 1</t>
  </si>
  <si>
    <t>Value (Baht)</t>
  </si>
  <si>
    <t>NBR</t>
  </si>
  <si>
    <t>CHE</t>
  </si>
  <si>
    <t>Balance Dipping</t>
  </si>
  <si>
    <t>NBR_COM</t>
  </si>
  <si>
    <t>CHE_COM</t>
  </si>
  <si>
    <t>CHE_DIS</t>
  </si>
  <si>
    <t>Balance Chemical-Production</t>
  </si>
  <si>
    <t>Che.-Prod</t>
  </si>
  <si>
    <t>Record Issue NBR latex</t>
  </si>
  <si>
    <t>7000/131</t>
  </si>
  <si>
    <t>Compounding P1</t>
  </si>
  <si>
    <t>1008/403</t>
  </si>
  <si>
    <t>Adj ending stock from wut</t>
  </si>
  <si>
    <t xml:space="preserve">Record Issue Chemical of Store and Compound dept 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</si>
  <si>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</si>
  <si>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</si>
  <si>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</si>
  <si>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</si>
  <si>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</si>
  <si>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</si>
  <si>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</si>
  <si>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</si>
  <si>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</si>
  <si>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</si>
  <si>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</si>
  <si>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</si>
  <si>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</si>
  <si>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</si>
  <si>
    <t>Production P1</t>
  </si>
  <si>
    <t>Same Chemical</t>
  </si>
  <si>
    <t>Compound name</t>
  </si>
  <si>
    <t>Coagulant</t>
  </si>
  <si>
    <t>Old</t>
  </si>
  <si>
    <t>Current</t>
  </si>
  <si>
    <t>CHART OF ACCOUNTS</t>
  </si>
  <si>
    <t>Sl.No</t>
  </si>
  <si>
    <t>Account No</t>
  </si>
  <si>
    <t>Account Type</t>
  </si>
  <si>
    <t>Account Control</t>
  </si>
  <si>
    <t>Is Group</t>
  </si>
  <si>
    <t>Fin Group</t>
  </si>
  <si>
    <t>Fin Group Type</t>
  </si>
  <si>
    <t>10-00-00-0000</t>
  </si>
  <si>
    <t>ASSETS</t>
  </si>
  <si>
    <t>Asset</t>
  </si>
  <si>
    <t>Yes</t>
  </si>
  <si>
    <t>No</t>
  </si>
  <si>
    <t>General</t>
  </si>
  <si>
    <t>10-00-00-2000</t>
  </si>
  <si>
    <t>ASSETS - NBR</t>
  </si>
  <si>
    <t>1001/100</t>
  </si>
  <si>
    <t xml:space="preserve">DEPOSIT - GOOD </t>
  </si>
  <si>
    <t xml:space="preserve">CASH ON HAND </t>
  </si>
  <si>
    <t>Accounts receivable from other entities</t>
  </si>
  <si>
    <t>Balance Sheet (MMT)</t>
  </si>
  <si>
    <t>Cash</t>
  </si>
  <si>
    <t>1001/200</t>
  </si>
  <si>
    <t xml:space="preserve">PETTY CASH </t>
  </si>
  <si>
    <t>Cash in hand and in bank</t>
  </si>
  <si>
    <t>1001/200-P3</t>
  </si>
  <si>
    <t>PETTY CASH - PROJECT</t>
  </si>
  <si>
    <t>1001/300</t>
  </si>
  <si>
    <t xml:space="preserve">INCOME TAX CARD </t>
  </si>
  <si>
    <t>From taxes, subsidies, customs, social and health insurance and other benefits</t>
  </si>
  <si>
    <t>1001/400</t>
  </si>
  <si>
    <t xml:space="preserve">PETTY CASH - OTHER CURRENCY </t>
  </si>
  <si>
    <t>1002/100</t>
  </si>
  <si>
    <t xml:space="preserve">SCB-RYD #762-3-00877-2 </t>
  </si>
  <si>
    <t xml:space="preserve">CURRENT DEPOSIT </t>
  </si>
  <si>
    <t>Bank</t>
  </si>
  <si>
    <t>1002/200</t>
  </si>
  <si>
    <t xml:space="preserve">SCB-RYD #762-3-01248-8 </t>
  </si>
  <si>
    <t>1002/300</t>
  </si>
  <si>
    <t xml:space="preserve">BBL-RTP#453-301273-0 </t>
  </si>
  <si>
    <t>1002/400</t>
  </si>
  <si>
    <t xml:space="preserve">BBL-HY#259-3-11756-3 </t>
  </si>
  <si>
    <t>1002/500</t>
  </si>
  <si>
    <t xml:space="preserve">EXIM BANK #200-6-00006-2 </t>
  </si>
  <si>
    <t>1002/600</t>
  </si>
  <si>
    <t>CIMB THAI #800-0-17679-1</t>
  </si>
  <si>
    <t>Credits and loans (BS - SHORT LIAB)</t>
  </si>
  <si>
    <t>1002/700</t>
  </si>
  <si>
    <t>CITY BANK # 0-553172-004</t>
  </si>
  <si>
    <t>1003/100</t>
  </si>
  <si>
    <t xml:space="preserve">SCB-RYD #762-2-12777-7 </t>
  </si>
  <si>
    <t xml:space="preserve">SAVING DEPOSIT </t>
  </si>
  <si>
    <t>1003/200</t>
  </si>
  <si>
    <t xml:space="preserve">SCB-RYD #762-2-22491-9 </t>
  </si>
  <si>
    <t>1003/300</t>
  </si>
  <si>
    <t xml:space="preserve">BBL-RTP#453-0-50424-2 </t>
  </si>
  <si>
    <t>1003/400</t>
  </si>
  <si>
    <t>BBL-HY#259-5-02103-7</t>
  </si>
  <si>
    <t>1003/500</t>
  </si>
  <si>
    <t>IFS CAPITAL LIMITED # 01-741-0422-7</t>
  </si>
  <si>
    <t>1003/600</t>
  </si>
  <si>
    <t xml:space="preserve">CIMB THAI #700-3-70215-0 </t>
  </si>
  <si>
    <t>1003/700</t>
  </si>
  <si>
    <t xml:space="preserve">CIMB THAI (FCD) #03700608693340 </t>
  </si>
  <si>
    <t>1003/800</t>
  </si>
  <si>
    <t>CIMB THAI (FCD-RM) #037-009-370-890-01</t>
  </si>
  <si>
    <t>1003/900</t>
  </si>
  <si>
    <t>CIMB THAI (FCD-EUR) #03701197253730</t>
  </si>
  <si>
    <t>1003/950</t>
  </si>
  <si>
    <t>CITY BANK (FCD-USD) # 5-553172-103</t>
  </si>
  <si>
    <t>1003/960</t>
  </si>
  <si>
    <t>CITY BANK (FCD-EUR) # 5-553172-006</t>
  </si>
  <si>
    <t>1004/100</t>
  </si>
  <si>
    <t xml:space="preserve">SCB-RY #762-1-01832-3 </t>
  </si>
  <si>
    <t xml:space="preserve">FIXED DEPOSIT </t>
  </si>
  <si>
    <t>1004/200</t>
  </si>
  <si>
    <t>CIMB THAI Fixed (THB) # 03-50-0176010-2-03</t>
  </si>
  <si>
    <t>1004/300</t>
  </si>
  <si>
    <t>CIMB THAI Fixed (FCD-USD) # 03-50-0178185-0-40</t>
  </si>
  <si>
    <t>1005/100</t>
  </si>
  <si>
    <t xml:space="preserve">FIXED ACCOUNT DURING 3 MONTH TO 1 YEAR </t>
  </si>
  <si>
    <t xml:space="preserve">CURRENT INVESTMENT </t>
  </si>
  <si>
    <t>1005/200</t>
  </si>
  <si>
    <t xml:space="preserve">INVESTMENTS IN TRADING (MARKETABLE) </t>
  </si>
  <si>
    <t>1005/300</t>
  </si>
  <si>
    <t xml:space="preserve">INVESTMENT IN RESTRICTED FIX DEPOSIT </t>
  </si>
  <si>
    <t>1006/100</t>
  </si>
  <si>
    <t xml:space="preserve">SHORT TERM LOAN TO DIRECTORS OR EMPLOYEE </t>
  </si>
  <si>
    <t xml:space="preserve">SHORT TERM LOANS TO RELATED PERSONS </t>
  </si>
  <si>
    <t>From supplies and services (BS - SHORT LIAB OTH)</t>
  </si>
  <si>
    <t>1006/200</t>
  </si>
  <si>
    <t xml:space="preserve">SHORT -TERM LOANS TO RELATED PARTIES </t>
  </si>
  <si>
    <t>1007/001</t>
  </si>
  <si>
    <t xml:space="preserve">SHORT  -  TERM LOANS TO OTHERS </t>
  </si>
  <si>
    <t xml:space="preserve">SHORT - TERM LOANS TO OTHERS </t>
  </si>
  <si>
    <t>1008/100</t>
  </si>
  <si>
    <t>FINISHED GOODS  -  PACKED</t>
  </si>
  <si>
    <t xml:space="preserve">BALANCE SHEET STOCK </t>
  </si>
  <si>
    <t xml:space="preserve">Finished goods </t>
  </si>
  <si>
    <t>Consumption</t>
  </si>
  <si>
    <t>1008/101</t>
  </si>
  <si>
    <t>PRE - POWDERED SMOOTH - PACKED</t>
  </si>
  <si>
    <t>1008/102</t>
  </si>
  <si>
    <t>PRE-POWDERED TEXTURE - PACKED</t>
  </si>
  <si>
    <t>1008/103</t>
  </si>
  <si>
    <t>POWDERED FREE SMOOTH - PACKED</t>
  </si>
  <si>
    <t>1008/104</t>
  </si>
  <si>
    <t>POWDERED FREE TEXTURE - PACKED</t>
  </si>
  <si>
    <t>1008/105</t>
  </si>
  <si>
    <t>NITRILE - PACKED</t>
  </si>
  <si>
    <t xml:space="preserve">Materials </t>
  </si>
  <si>
    <t>1008/106</t>
  </si>
  <si>
    <t>OTHER - PACKED</t>
  </si>
  <si>
    <t>1008/200</t>
  </si>
  <si>
    <t>FINISHED GOODS  -  UNPACK</t>
  </si>
  <si>
    <t>1008/201</t>
  </si>
  <si>
    <t>PRE-POWDERED SMOOTH - UNPACK</t>
  </si>
  <si>
    <t>1008/202</t>
  </si>
  <si>
    <t>PRE-POWDERED TEXTURE - UNPACK</t>
  </si>
  <si>
    <t>1008/203</t>
  </si>
  <si>
    <t>POWDERED FREE SMOOTH - UNPACK</t>
  </si>
  <si>
    <t>1008/204</t>
  </si>
  <si>
    <t>POWDERED FREE TEXTURE - UNPACK</t>
  </si>
  <si>
    <t>1008/205</t>
  </si>
  <si>
    <t>NITRILE - UNPACK</t>
  </si>
  <si>
    <t>1008/206</t>
  </si>
  <si>
    <t>OTHER - UNPACK</t>
  </si>
  <si>
    <t>1008/300</t>
  </si>
  <si>
    <t>WORK IN PROCESS</t>
  </si>
  <si>
    <t>Semi-finished products and work in progress</t>
  </si>
  <si>
    <t>1008/301</t>
  </si>
  <si>
    <t>WORK IN PROCESS - COMPOUND (NR)</t>
  </si>
  <si>
    <t>1008/302</t>
  </si>
  <si>
    <t>WORK IN PROCESS - SOLUTION  (NR)</t>
  </si>
  <si>
    <t>1008/400</t>
  </si>
  <si>
    <t>RAW  MATERIAL</t>
  </si>
  <si>
    <t>1008/401</t>
  </si>
  <si>
    <t>CONCENTRATE LATEX</t>
  </si>
  <si>
    <t>Inventory</t>
  </si>
  <si>
    <t>CHEMICAL FOR NR GLOVES</t>
  </si>
  <si>
    <t>SYNTHETICS  LATEX</t>
  </si>
  <si>
    <t>1008/404</t>
  </si>
  <si>
    <t>CHEMICAL FOR NITRILE GLOVES</t>
  </si>
  <si>
    <t>1008/500</t>
  </si>
  <si>
    <t>ENERGY</t>
  </si>
  <si>
    <t>1008/501</t>
  </si>
  <si>
    <t>COAL</t>
  </si>
  <si>
    <t>1008/502</t>
  </si>
  <si>
    <t>GAS</t>
  </si>
  <si>
    <t>1008/503</t>
  </si>
  <si>
    <t>WOOD CHIP</t>
  </si>
  <si>
    <t>1008/504</t>
  </si>
  <si>
    <t>PALM SHELL</t>
  </si>
  <si>
    <t>1008/505</t>
  </si>
  <si>
    <t>FIBER</t>
  </si>
  <si>
    <t>1008/506</t>
  </si>
  <si>
    <t>FIBER MIX PKS</t>
  </si>
  <si>
    <t>1008/507</t>
  </si>
  <si>
    <t>EMPTY FRUIT BUNCH OF PALM</t>
  </si>
  <si>
    <t>1008/508</t>
  </si>
  <si>
    <t>CHARCOAL</t>
  </si>
  <si>
    <t>1008/600</t>
  </si>
  <si>
    <t>PACKAGING MATERIAL</t>
  </si>
  <si>
    <t>1008/601</t>
  </si>
  <si>
    <t>PACKAGING MATERIAL (NR PRODUCTS)</t>
  </si>
  <si>
    <t>1008/700</t>
  </si>
  <si>
    <t>OTHER  SUPPLIES</t>
  </si>
  <si>
    <t>1008/701</t>
  </si>
  <si>
    <t>HOT OIL</t>
  </si>
  <si>
    <t>1008/705</t>
  </si>
  <si>
    <t>RESIN</t>
  </si>
  <si>
    <t>1008/710</t>
  </si>
  <si>
    <t>FORMERS</t>
  </si>
  <si>
    <t>1008/720</t>
  </si>
  <si>
    <t>OTHER SUPPLIES.</t>
  </si>
  <si>
    <t>1008/730</t>
  </si>
  <si>
    <t>DIESEL</t>
  </si>
  <si>
    <t>1008/740</t>
  </si>
  <si>
    <t>PLASTIC BAG</t>
  </si>
  <si>
    <t>1008/750</t>
  </si>
  <si>
    <t>STRING</t>
  </si>
  <si>
    <t>1008/760</t>
  </si>
  <si>
    <t>OPP TAPE</t>
  </si>
  <si>
    <t>1008/770</t>
  </si>
  <si>
    <t>WHITE CLOTH</t>
  </si>
  <si>
    <t>1008/780</t>
  </si>
  <si>
    <t>CHEMICAL OF LAB</t>
  </si>
  <si>
    <t>1008/790</t>
  </si>
  <si>
    <t>SALT</t>
  </si>
  <si>
    <t>1008/800</t>
  </si>
  <si>
    <t>SPARE PART OF FORMER</t>
  </si>
  <si>
    <t>1008/810</t>
  </si>
  <si>
    <t>SPARE PART OF ENGINEERING</t>
  </si>
  <si>
    <t>1008/820</t>
  </si>
  <si>
    <t>SUPPLIES OF WAREHOUSE</t>
  </si>
  <si>
    <t>Supplies</t>
  </si>
  <si>
    <t>Production Cost (MMT)</t>
  </si>
  <si>
    <t>1008/830</t>
  </si>
  <si>
    <t>CHEMICAL OF WATER</t>
  </si>
  <si>
    <t>1008/900</t>
  </si>
  <si>
    <t>BALANCE SHEET STOCK (TRADING OUT-SOURCE)</t>
  </si>
  <si>
    <t>1008/901</t>
  </si>
  <si>
    <t>FINISHED GOODS (OUT-SOURCE)- PACKED</t>
  </si>
  <si>
    <t>1008/902</t>
  </si>
  <si>
    <t xml:space="preserve">PRE-POWDERED (OUT-SOURCE)- PACKED </t>
  </si>
  <si>
    <t>1008/903</t>
  </si>
  <si>
    <t xml:space="preserve">POWDER-FREE (OUT-SOURCE)- PACKED </t>
  </si>
  <si>
    <t>1008/950</t>
  </si>
  <si>
    <t xml:space="preserve">FINISHED GOODS (OUT-SOURCE) - UN-PACK </t>
  </si>
  <si>
    <t>1008/951</t>
  </si>
  <si>
    <t xml:space="preserve">PRE-POWDERED (OUT-SOURCE) - UN-PACK </t>
  </si>
  <si>
    <t>1008/952</t>
  </si>
  <si>
    <t xml:space="preserve">POWDER-FREE (OUT-SOURCE) - UN-PACK </t>
  </si>
  <si>
    <t>1008/990</t>
  </si>
  <si>
    <t>GOODS IN TRANSIT</t>
  </si>
  <si>
    <t>1008/991</t>
  </si>
  <si>
    <t>GOODS IN TRANSIT - NR AND NBR PRODUCTS</t>
  </si>
  <si>
    <t>1008/992</t>
  </si>
  <si>
    <t>GOODS IN TRANSIT - RAW MATERIAL</t>
  </si>
  <si>
    <t>1009/001</t>
  </si>
  <si>
    <t>PREPAID  EXPENSES</t>
  </si>
  <si>
    <t xml:space="preserve">PREPAID EXPENSES </t>
  </si>
  <si>
    <t>Expense</t>
  </si>
  <si>
    <t>1009/002</t>
  </si>
  <si>
    <t xml:space="preserve">PREPAID INSURANCE CAR </t>
  </si>
  <si>
    <t>1009/003</t>
  </si>
  <si>
    <t xml:space="preserve">PREPAID INSURANCE FACTORY </t>
  </si>
  <si>
    <t>1009/004</t>
  </si>
  <si>
    <t xml:space="preserve">PREPAID UPKEEP MACHINE LINES </t>
  </si>
  <si>
    <t>1009/005</t>
  </si>
  <si>
    <t xml:space="preserve">PREPAID TRADE SHOW </t>
  </si>
  <si>
    <t>1009/006</t>
  </si>
  <si>
    <t xml:space="preserve">PREPAID UNIFORM SHIRT </t>
  </si>
  <si>
    <t>1009/007</t>
  </si>
  <si>
    <t xml:space="preserve">PREPAID COMPENSATION FUND </t>
  </si>
  <si>
    <t>1009/008</t>
  </si>
  <si>
    <t xml:space="preserve">PREPAID INTEREST FOR VEHICLES </t>
  </si>
  <si>
    <t>Other financial liabilities (lease fees) (BS - LONG LIAB)</t>
  </si>
  <si>
    <t>1009/009</t>
  </si>
  <si>
    <t>PREPAID INCOME TAX (BLUE CORNER)</t>
  </si>
  <si>
    <t>1009/010</t>
  </si>
  <si>
    <t xml:space="preserve">PENDING VAT- FORKLIFT </t>
  </si>
  <si>
    <t>Accounts receivable from related parties</t>
  </si>
  <si>
    <t>1009/011</t>
  </si>
  <si>
    <t>PREPAID PURCHASE OF FINISHED GOODS</t>
  </si>
  <si>
    <t>1009/012</t>
  </si>
  <si>
    <t xml:space="preserve">PREPAID INSURANCE FOR TOH </t>
  </si>
  <si>
    <t>1009/013</t>
  </si>
  <si>
    <t>PREPAID PROMPT-PAY (KTC)</t>
  </si>
  <si>
    <t>1009/014</t>
  </si>
  <si>
    <t>PREPAID FOR POND WATER PUMP RENTAL FEE</t>
  </si>
  <si>
    <t>1009/015</t>
  </si>
  <si>
    <t>PREPAID FOR PUBLIC &amp; PRODUCTS LIABILITY INSURANCE</t>
  </si>
  <si>
    <t>1009/022</t>
  </si>
  <si>
    <t xml:space="preserve">ADVANCE FOR EMPLOYEE </t>
  </si>
  <si>
    <t>ADVANCE PAYMENT</t>
  </si>
  <si>
    <t>1009/023</t>
  </si>
  <si>
    <t xml:space="preserve">AMORTIZATION LOSS OF FIX ASSET </t>
  </si>
  <si>
    <t>1009/024</t>
  </si>
  <si>
    <t xml:space="preserve">ADVANCE HR DEPARTMENT </t>
  </si>
  <si>
    <t>1009/025</t>
  </si>
  <si>
    <t xml:space="preserve">ADVANCE SHIPPING </t>
  </si>
  <si>
    <t>1009/026</t>
  </si>
  <si>
    <t>ADVANCE FOR FINISHED GOODS</t>
  </si>
  <si>
    <t>1009/027</t>
  </si>
  <si>
    <t>ADVANCE PAYMENT.</t>
  </si>
  <si>
    <t>ADP</t>
  </si>
  <si>
    <t>1009/028</t>
  </si>
  <si>
    <t>ADVANCE V-SERVE LOGISTICS (SONGKHLA)</t>
  </si>
  <si>
    <t>1009/030</t>
  </si>
  <si>
    <t xml:space="preserve">INPUT TAX </t>
  </si>
  <si>
    <t xml:space="preserve">TAX &amp; REVENUE DEPARTMENT RECEIVABLE </t>
  </si>
  <si>
    <t>Vat Buy</t>
  </si>
  <si>
    <t>1009/030-P3</t>
  </si>
  <si>
    <t>INPUT TAX - P3</t>
  </si>
  <si>
    <t>1009/031</t>
  </si>
  <si>
    <t>PENDING VAT</t>
  </si>
  <si>
    <t>1009/031-P3</t>
  </si>
  <si>
    <t>PENDING VAT - P3</t>
  </si>
  <si>
    <t>1009/032</t>
  </si>
  <si>
    <t xml:space="preserve">PENDING VAT - VAN / NISSAN (PICK-UP) </t>
  </si>
  <si>
    <t>1009/033</t>
  </si>
  <si>
    <t xml:space="preserve">PENDING VAT - KUBOTA &amp; WHEEL LOADER </t>
  </si>
  <si>
    <t>1009/034</t>
  </si>
  <si>
    <t>INPUT TAX - FUEL</t>
  </si>
  <si>
    <t>1009/040</t>
  </si>
  <si>
    <t xml:space="preserve">REVENUE DEPARTMENT RECEIVABLE </t>
  </si>
  <si>
    <t>1009/041</t>
  </si>
  <si>
    <t xml:space="preserve">HALF YEAR INCOME TAX (PND 51) </t>
  </si>
  <si>
    <t>1009/042</t>
  </si>
  <si>
    <t xml:space="preserve">INCOME FOR DEDUCTED AT SOURCE </t>
  </si>
  <si>
    <t>1009/042-1</t>
  </si>
  <si>
    <t>INCOME FOR DEDUCTED AT SOURCE  - MMP</t>
  </si>
  <si>
    <t>1009/100</t>
  </si>
  <si>
    <t>RESERVE IMPORT DUTY OF CUSTOMS DEPARTMENT</t>
  </si>
  <si>
    <t>1009/200</t>
  </si>
  <si>
    <t>OTHER CURRENT ASSET</t>
  </si>
  <si>
    <t xml:space="preserve">OTHER CURRENT ASSETS </t>
  </si>
  <si>
    <t>Others (BS - AC OTH)</t>
  </si>
  <si>
    <t>1010/001</t>
  </si>
  <si>
    <t xml:space="preserve">INVESTMENTS IN SUBSIDIARIES </t>
  </si>
  <si>
    <t xml:space="preserve">INVESTMENTS ACCOUNTED FOR UNDER EQUITY </t>
  </si>
  <si>
    <t>1010/002</t>
  </si>
  <si>
    <t>DIFFERENT OF SHARE OF P&amp;L FORM INVESTMENT IN SUBSIDIARIES</t>
  </si>
  <si>
    <t>1010/003</t>
  </si>
  <si>
    <t xml:space="preserve">INVESTMENTS IN ASSOCIATED COMPANIES </t>
  </si>
  <si>
    <t>1010/004</t>
  </si>
  <si>
    <t xml:space="preserve">DIFFERENT OF SHARE OF P&amp;L FROM INVESTMET </t>
  </si>
  <si>
    <t>10-10-01-1000</t>
  </si>
  <si>
    <t>CURRENT ASSETS</t>
  </si>
  <si>
    <t>10-10-01-1001</t>
  </si>
  <si>
    <t>10-10-01-1002</t>
  </si>
  <si>
    <t>10-10-01-1003</t>
  </si>
  <si>
    <t>10-10-01-1004</t>
  </si>
  <si>
    <t>10-10-01-1005</t>
  </si>
  <si>
    <t>10-10-01-1006</t>
  </si>
  <si>
    <t>10-10-01-1007</t>
  </si>
  <si>
    <t>10-10-01-1008</t>
  </si>
  <si>
    <t>10-10-01-2000</t>
  </si>
  <si>
    <t>CURRENT ASSETS - NBR</t>
  </si>
  <si>
    <t>10-10-02-1008</t>
  </si>
  <si>
    <t>BALANCE SHEET STOCK-PLANT 2</t>
  </si>
  <si>
    <t>1011/001</t>
  </si>
  <si>
    <t>INVESTMENTS IN AVAILABLE - FOR - SALE (MAKETABLI) SECURITIES</t>
  </si>
  <si>
    <t xml:space="preserve">OTHER LONG - TERM INVESTMENTS </t>
  </si>
  <si>
    <t>1011/002</t>
  </si>
  <si>
    <t>DIFFERENT OF CHANGE IN VALUE OF AVAILABE FOR SALE SECURITIES</t>
  </si>
  <si>
    <t>1011/003</t>
  </si>
  <si>
    <t xml:space="preserve">OTHER INVESTMENTS </t>
  </si>
  <si>
    <t>10-20-00-1009</t>
  </si>
  <si>
    <t>10-20-01-1009</t>
  </si>
  <si>
    <t>10-20-02-1009</t>
  </si>
  <si>
    <t>10-20-03-1009</t>
  </si>
  <si>
    <t>10-21-00-1009</t>
  </si>
  <si>
    <t>OTHER CURRENT ASSETS-NBR</t>
  </si>
  <si>
    <t>10-21-01-1009</t>
  </si>
  <si>
    <t>NBR-PREPAID EXPENSES &amp; ACCRUED INCOME</t>
  </si>
  <si>
    <t>10-21-02-1009</t>
  </si>
  <si>
    <t>NBR-ADVANCE PAYMENT</t>
  </si>
  <si>
    <t>10-30-00-1010</t>
  </si>
  <si>
    <t>10-40-00-1011</t>
  </si>
  <si>
    <t>10-50-00-1300</t>
  </si>
  <si>
    <t xml:space="preserve">ADVANCE PAYMENT OF ASSETS </t>
  </si>
  <si>
    <t>10-55-00-1300</t>
  </si>
  <si>
    <t>ADVANCE PAYMENT OF ASSETS - NBR</t>
  </si>
  <si>
    <t>10-60-00-2500</t>
  </si>
  <si>
    <t>FIXED ASSETS</t>
  </si>
  <si>
    <t>10-60-01-2500</t>
  </si>
  <si>
    <t>LAND</t>
  </si>
  <si>
    <t>Balance Sheet</t>
  </si>
  <si>
    <t>10-60-01-2501</t>
  </si>
  <si>
    <t>FIXED ASSETS - NBR</t>
  </si>
  <si>
    <t>10-60-02-2500</t>
  </si>
  <si>
    <t xml:space="preserve">BUILDING </t>
  </si>
  <si>
    <t>10-60-03-2500</t>
  </si>
  <si>
    <t xml:space="preserve">MACHINERY AND FACTORY EQUIPMENT </t>
  </si>
  <si>
    <t>10-60-04-2500</t>
  </si>
  <si>
    <t xml:space="preserve">OFFICE EQUIPMENT </t>
  </si>
  <si>
    <t>10-60-05-2500</t>
  </si>
  <si>
    <t xml:space="preserve">FURNITURE AND FIXTURE </t>
  </si>
  <si>
    <t>10-60-06-2500</t>
  </si>
  <si>
    <t xml:space="preserve">VEHICLES </t>
  </si>
  <si>
    <t>10-60-07-2500</t>
  </si>
  <si>
    <t>WORK IN PROCESS - FACTORY</t>
  </si>
  <si>
    <t>10-65-01-2500</t>
  </si>
  <si>
    <t>LAND IMPROVEMENT OF NBR</t>
  </si>
  <si>
    <t>10-65-02-2500</t>
  </si>
  <si>
    <t>BUILDING OF NBR</t>
  </si>
  <si>
    <t>10-65-03-2500</t>
  </si>
  <si>
    <t>MACHINERY AND EQUIPMENT - NBR</t>
  </si>
  <si>
    <t>10-65-04-2500</t>
  </si>
  <si>
    <t>OFFICE EQUIPMENT - NBR</t>
  </si>
  <si>
    <t>10-65-05-2500</t>
  </si>
  <si>
    <t>FURNITURE AND FIXTURE - NBR</t>
  </si>
  <si>
    <t>10-65-06-2500</t>
  </si>
  <si>
    <t>VEHICLES - NBR</t>
  </si>
  <si>
    <t>10-65-07-2500</t>
  </si>
  <si>
    <t>WORK IN PROCESS - PLANT 2</t>
  </si>
  <si>
    <t>10-70-00-2500</t>
  </si>
  <si>
    <t xml:space="preserve">INTANGIBLE ASSETS </t>
  </si>
  <si>
    <t>10-75-00-2500</t>
  </si>
  <si>
    <t>INTANGIBLE ASSETS - PLANT 2</t>
  </si>
  <si>
    <t>10-80-00-2600</t>
  </si>
  <si>
    <t>OTHER NON CURRENT ASSETS</t>
  </si>
  <si>
    <t>10-80-01-2600</t>
  </si>
  <si>
    <t xml:space="preserve">DEPOSITS </t>
  </si>
  <si>
    <t>10-80-02-2700</t>
  </si>
  <si>
    <t>SUBSCRIPTION RECEIVABLE</t>
  </si>
  <si>
    <t>10-80-03-2800</t>
  </si>
  <si>
    <t xml:space="preserve">DEFERED TAX ASSET </t>
  </si>
  <si>
    <t>10-85-00-2600</t>
  </si>
  <si>
    <t>OTHER NON CURRENT ASSETS - PLANT 2</t>
  </si>
  <si>
    <t>10-85-01-2600</t>
  </si>
  <si>
    <t>DEPOSITS - PLANT 2</t>
  </si>
  <si>
    <t>10-90-00-3000</t>
  </si>
  <si>
    <t xml:space="preserve">CURRENT RECEIVABLE </t>
  </si>
  <si>
    <t>10-90-01-3000</t>
  </si>
  <si>
    <t>OTHER RECEIVABLES</t>
  </si>
  <si>
    <t>10-90-02-3000</t>
  </si>
  <si>
    <t>TRADE RECEIVABLES</t>
  </si>
  <si>
    <t>10-95-00-3000</t>
  </si>
  <si>
    <t>CURRENT RECEIVABLE - PLANT 2</t>
  </si>
  <si>
    <t>10-95-01-3000</t>
  </si>
  <si>
    <t>OTHER RECEIVABLES - PLANT 2</t>
  </si>
  <si>
    <t>1300/001</t>
  </si>
  <si>
    <t>ADVANCE PAYMENT OF ASSETS - DOUBLE FORMER</t>
  </si>
  <si>
    <t>Advance payments for fixed assets</t>
  </si>
  <si>
    <t>1300/010</t>
  </si>
  <si>
    <t>ADVANCE PAYMENT OF ASSETS - NITRILE PROJECT</t>
  </si>
  <si>
    <t>20-00-00-0000</t>
  </si>
  <si>
    <t>LIABILITIES</t>
  </si>
  <si>
    <t>Liability</t>
  </si>
  <si>
    <t>20-00-00-2000</t>
  </si>
  <si>
    <t>LIABILITIES - PLANT 2</t>
  </si>
  <si>
    <t>20-10-00-4000</t>
  </si>
  <si>
    <t>CURRENT LIABILITIES</t>
  </si>
  <si>
    <t>20-10-01-4000</t>
  </si>
  <si>
    <t xml:space="preserve">BANK OVERDRAFTS AND SHORT - TERM LOANS </t>
  </si>
  <si>
    <t>20-10-02-4000</t>
  </si>
  <si>
    <t>ACCOUNT PAYABLE</t>
  </si>
  <si>
    <t>20-10-03-4000</t>
  </si>
  <si>
    <t>OTHER PAYABLE</t>
  </si>
  <si>
    <t>20-15-00-4000</t>
  </si>
  <si>
    <t>CURRENT LIABILITIES - PLANT 2</t>
  </si>
  <si>
    <t>20-15-01-4000</t>
  </si>
  <si>
    <t>BANK OVERDRAFTS AND SHORT - TERM LOANS - PLANT 2</t>
  </si>
  <si>
    <t>20-15-02-4000</t>
  </si>
  <si>
    <t>ACCOUNT PAYABLE - PLANT 2</t>
  </si>
  <si>
    <t>20-15-03-4000</t>
  </si>
  <si>
    <t>OTHER PAYABLE - PLANT 2</t>
  </si>
  <si>
    <t>20-15-03-4001</t>
  </si>
  <si>
    <t>OTHER PAYABLE - NBR</t>
  </si>
  <si>
    <t>20-20-00-4600</t>
  </si>
  <si>
    <t>LONG TERM LIABILITIES</t>
  </si>
  <si>
    <t>20-30-00-4750</t>
  </si>
  <si>
    <t>OTHER NON CURRENT LIABILITIES</t>
  </si>
  <si>
    <t>20-40-00-4770</t>
  </si>
  <si>
    <t xml:space="preserve">DEFERED TAX LIABILITY </t>
  </si>
  <si>
    <t>2501/100</t>
  </si>
  <si>
    <t>LAND.</t>
  </si>
  <si>
    <t>Lands &amp; Land Improvement</t>
  </si>
  <si>
    <t>2501/200</t>
  </si>
  <si>
    <t>LAND IMPROVEMENTS</t>
  </si>
  <si>
    <t>2501/205</t>
  </si>
  <si>
    <t>ACC. DEPRECIATION - LAND IMPROVEMENTS</t>
  </si>
  <si>
    <t>Buildings and constructions</t>
  </si>
  <si>
    <t>2501/300</t>
  </si>
  <si>
    <t>ALLOWANCE IMPAIRMENT - LAND IMPROVEMENTS</t>
  </si>
  <si>
    <t>2501/301</t>
  </si>
  <si>
    <t>ACC.DEPRECIATION - LAND IM. IMPAIRMENT</t>
  </si>
  <si>
    <t>2502/100</t>
  </si>
  <si>
    <t>BUILDING AND CONSTRUCTION</t>
  </si>
  <si>
    <t>2502/105</t>
  </si>
  <si>
    <t>ACC. DEPRECIATION - BUILDING &amp; CONSTRUCTION</t>
  </si>
  <si>
    <t>2502/200</t>
  </si>
  <si>
    <t>BUILDING IMPROVEMENTS</t>
  </si>
  <si>
    <t>2502/205</t>
  </si>
  <si>
    <t>ACC. DEPRECIATION - BUILDING IMPROVEMENTS</t>
  </si>
  <si>
    <t>2502/300</t>
  </si>
  <si>
    <t>ALLOWANCE IMPAIRMENT - BUILDING AND BUILDING IM.</t>
  </si>
  <si>
    <t>2502/301</t>
  </si>
  <si>
    <t>ACC.DEPRECIATION - BUILDING CON. IMPAIRMENT</t>
  </si>
  <si>
    <t>2503/100</t>
  </si>
  <si>
    <t>FACTORY EQUIPMENT</t>
  </si>
  <si>
    <t>Technical devices and machines</t>
  </si>
  <si>
    <t>2503/105</t>
  </si>
  <si>
    <t>ACC. DEPRECIATION - FACTORY EQUIPMENT</t>
  </si>
  <si>
    <t>2503/110</t>
  </si>
  <si>
    <t>FACTORY EQUIPMENT-FORMER</t>
  </si>
  <si>
    <t>2503/111</t>
  </si>
  <si>
    <t>ACC. DEPRECIATION - FACTORY EQUIP-FORMER</t>
  </si>
  <si>
    <t>2503/200</t>
  </si>
  <si>
    <t>MACHINERY AND FACTORY  EQUIPMENT</t>
  </si>
  <si>
    <t>2503/205</t>
  </si>
  <si>
    <t>ACC. DEPRECIATION - MACHINERY &amp;FACTOYR EQUIPMENT</t>
  </si>
  <si>
    <t>2503/300</t>
  </si>
  <si>
    <t>ALLOWANCE IMPAIRMENT - MACHINERY AND EQUIPMENT</t>
  </si>
  <si>
    <t>2503/301</t>
  </si>
  <si>
    <t>ACC.DEPRECIATION - MACHINERY AND EQUIP. IMPAIRMENT</t>
  </si>
  <si>
    <t>2503/310</t>
  </si>
  <si>
    <t>ALLOWANCE IMPAIRMENT - FORMER</t>
  </si>
  <si>
    <t>2503/311</t>
  </si>
  <si>
    <t>ACC.DEPRECIATION - FORMER IMPAIRMENT</t>
  </si>
  <si>
    <t>2504/001</t>
  </si>
  <si>
    <t>OFFICE EQUIPMENTS</t>
  </si>
  <si>
    <t>Other fixed assets</t>
  </si>
  <si>
    <t>2504/005</t>
  </si>
  <si>
    <t>ACC. DEPRECIATION - OFFICE EQUIPMENT</t>
  </si>
  <si>
    <t>2504/100</t>
  </si>
  <si>
    <t>COMPUTER</t>
  </si>
  <si>
    <t>2504/105</t>
  </si>
  <si>
    <t xml:space="preserve">ACC. DEPRECIATION - COMPUTER </t>
  </si>
  <si>
    <t>2505/001</t>
  </si>
  <si>
    <t>FURNITURE AND FIXTURE.</t>
  </si>
  <si>
    <t>2505/005</t>
  </si>
  <si>
    <t>ACC. DEPRECIATION - FURNITURE &amp; FIXTURE</t>
  </si>
  <si>
    <t>2505/300</t>
  </si>
  <si>
    <t>ALLOWANCE IMPAIRMENT - OTHER ASSETS</t>
  </si>
  <si>
    <t>2505/301</t>
  </si>
  <si>
    <t>ACC.DEPRECIATION - OTHER ASSETS IMPAIRMENT</t>
  </si>
  <si>
    <t>2506/001</t>
  </si>
  <si>
    <t>VEHICLES.</t>
  </si>
  <si>
    <t>Means of transportation</t>
  </si>
  <si>
    <t>2506/005</t>
  </si>
  <si>
    <t xml:space="preserve">ACC. DEPRECIATION - VEHICLES </t>
  </si>
  <si>
    <t>2506/300</t>
  </si>
  <si>
    <t>ALLOWANCE IMPAIRMENT - VEHICLES</t>
  </si>
  <si>
    <t>2506/301</t>
  </si>
  <si>
    <t>ACC.DEPRECIATION - VEHICLE IMPAIRMENT</t>
  </si>
  <si>
    <t>2507/001</t>
  </si>
  <si>
    <t xml:space="preserve">WORK IN PROCESS - PLANNING AND DESIGNING </t>
  </si>
  <si>
    <t>Fixed assets under construction</t>
  </si>
  <si>
    <t>2507/002</t>
  </si>
  <si>
    <t>WORK IN PROCESS - NEW BUILDING</t>
  </si>
  <si>
    <t>2507/003</t>
  </si>
  <si>
    <t xml:space="preserve">WORK IN PROCESS - DEMOLITION </t>
  </si>
  <si>
    <t>2507/004</t>
  </si>
  <si>
    <t xml:space="preserve">WORK IN PROCESS - CAR PARK </t>
  </si>
  <si>
    <t>2507/005</t>
  </si>
  <si>
    <t xml:space="preserve">WORK IN PROCESS - DEEP WELL </t>
  </si>
  <si>
    <t>2507/006</t>
  </si>
  <si>
    <t xml:space="preserve">WORK IN PROCESS - AIR COMPRESSOR </t>
  </si>
  <si>
    <t>2507/007</t>
  </si>
  <si>
    <t xml:space="preserve">WORK IN PROCESS - CHILLER </t>
  </si>
  <si>
    <t>2507/008</t>
  </si>
  <si>
    <t xml:space="preserve">WORK IN PROCESS - VENTILATORS AIR DUST </t>
  </si>
  <si>
    <t>2507/009</t>
  </si>
  <si>
    <t xml:space="preserve">WORK IN PROCESS - EQUIPMENT FOR NEW LINE </t>
  </si>
  <si>
    <t>2507/010</t>
  </si>
  <si>
    <t>WORK IN PROCESS - PROJECT PLANT 3</t>
  </si>
  <si>
    <t>2507/100</t>
  </si>
  <si>
    <t xml:space="preserve">WORK IN PROCESS - MACHINERY </t>
  </si>
  <si>
    <t>2507/200</t>
  </si>
  <si>
    <t xml:space="preserve">WORK IN PROCESS - VEHICLES </t>
  </si>
  <si>
    <t>2507/300</t>
  </si>
  <si>
    <t>WORK IN PROCESS - BUILDING BOILER</t>
  </si>
  <si>
    <t>2507/400</t>
  </si>
  <si>
    <t xml:space="preserve">WORK IN PROCESS - WATER TREATMENT </t>
  </si>
  <si>
    <t>2507/500</t>
  </si>
  <si>
    <t xml:space="preserve">WORK IN PROCESS - BOILER </t>
  </si>
  <si>
    <t>2507/600</t>
  </si>
  <si>
    <t xml:space="preserve">WORK IN PROCESS - NEW LINES (DF#1) </t>
  </si>
  <si>
    <t>2507/601</t>
  </si>
  <si>
    <t>WORK IN PROCESS - NEW LINES (DF#2)</t>
  </si>
  <si>
    <t>2507/602</t>
  </si>
  <si>
    <t xml:space="preserve">WORK IN PROCESS - NEW LINES (DF#3) </t>
  </si>
  <si>
    <t>2507/603</t>
  </si>
  <si>
    <t xml:space="preserve">WORK IN PROCESS - NEW LINES (DF#4) </t>
  </si>
  <si>
    <t>2507/604</t>
  </si>
  <si>
    <t>WORK IN PROCESS - NEW LINES (NITRILE)</t>
  </si>
  <si>
    <t>2507/605</t>
  </si>
  <si>
    <t>WORK IN PROCESS- TOH FOR NBR</t>
  </si>
  <si>
    <t>2507/650</t>
  </si>
  <si>
    <t>WORK IN PROCESS - NITRILE - EQUIPMENT</t>
  </si>
  <si>
    <t>2507/700</t>
  </si>
  <si>
    <t>WORK IN PROCESS - FACTORY EQUIPMENT</t>
  </si>
  <si>
    <t>2507/800</t>
  </si>
  <si>
    <t xml:space="preserve">WORK IN PROCESS - TOH JOB (MODIFY) </t>
  </si>
  <si>
    <t>2507/850</t>
  </si>
  <si>
    <t xml:space="preserve">WORK IN PROCESS - NEW TOH </t>
  </si>
  <si>
    <t>2507/851</t>
  </si>
  <si>
    <t xml:space="preserve">WORK IN PROCESS - FOUNDATION NEW TOH </t>
  </si>
  <si>
    <t>2507/852</t>
  </si>
  <si>
    <t>WORK IN PROCESS - MODIFY MACHINERY</t>
  </si>
  <si>
    <t>2507/900</t>
  </si>
  <si>
    <t xml:space="preserve">WORK IN PROCESS - MAKE FENCING </t>
  </si>
  <si>
    <t>2507/950</t>
  </si>
  <si>
    <t>WORK IN PROCESS - RECYCLE WATER SYSTEM</t>
  </si>
  <si>
    <t>2507/960</t>
  </si>
  <si>
    <t>WORK IN PROCESS - HOSTEL 2</t>
  </si>
  <si>
    <t>2507/970</t>
  </si>
  <si>
    <t>WORK IN PROCESS - MEZZANINE FLOOR FORMER</t>
  </si>
  <si>
    <t>2507/980</t>
  </si>
  <si>
    <t>WORK IN PROCESS - FACTORY - BUILDING IMPROVEMENT</t>
  </si>
  <si>
    <t>2508/000</t>
  </si>
  <si>
    <t xml:space="preserve">WORK IN PROCESS - LOADING CONTAIENER &amp; CABINET FOR HR </t>
  </si>
  <si>
    <t>2508/300</t>
  </si>
  <si>
    <t>ALLOWANCE IMPAIRMENT - WORK IN PROCESS</t>
  </si>
  <si>
    <t>2509/100</t>
  </si>
  <si>
    <t xml:space="preserve">INTANGIBLE  ASSETS </t>
  </si>
  <si>
    <t>Intangible assets (BS - ASSET)</t>
  </si>
  <si>
    <t>2509/200</t>
  </si>
  <si>
    <t xml:space="preserve">APPLICATION SOFTWARE </t>
  </si>
  <si>
    <t>2509/300</t>
  </si>
  <si>
    <t xml:space="preserve">RIGHTS OF PROGRAMS </t>
  </si>
  <si>
    <t>2509/305</t>
  </si>
  <si>
    <t xml:space="preserve">ACC.DEPRECIATION-RIGHT OF PROGRAMS </t>
  </si>
  <si>
    <t>2509/400</t>
  </si>
  <si>
    <t>ALLOWANCE IMPAIRMENT - INTANGIBLE ASSETS</t>
  </si>
  <si>
    <t>2509/401</t>
  </si>
  <si>
    <t>ACCUMULATED IMPAIRMENT LOSS - INTANGIBLE ASSETS</t>
  </si>
  <si>
    <t>2600/001</t>
  </si>
  <si>
    <t>DEPOSITS - OX</t>
  </si>
  <si>
    <t>2600/002</t>
  </si>
  <si>
    <t xml:space="preserve">DEPOSITS - DRINKING WATER </t>
  </si>
  <si>
    <t>2600/003</t>
  </si>
  <si>
    <t xml:space="preserve">DEPOSITS - RENTAL HOUSE </t>
  </si>
  <si>
    <t>2600/004</t>
  </si>
  <si>
    <t xml:space="preserve">DEPOSITS - BROOM </t>
  </si>
  <si>
    <t>2600/005</t>
  </si>
  <si>
    <t xml:space="preserve">DEPOSITS - ROOM </t>
  </si>
  <si>
    <t>2600/006</t>
  </si>
  <si>
    <t xml:space="preserve">DEPOSITS - CONVEYOR </t>
  </si>
  <si>
    <t>2600/007</t>
  </si>
  <si>
    <t xml:space="preserve">DEPOSITS - COST CASE </t>
  </si>
  <si>
    <t>2600/008</t>
  </si>
  <si>
    <t>DEPOSITS - CUSTOMER</t>
  </si>
  <si>
    <t>ADR</t>
  </si>
  <si>
    <t>2600/009</t>
  </si>
  <si>
    <t xml:space="preserve">DEPOSITS - OTHER </t>
  </si>
  <si>
    <t>2600/010</t>
  </si>
  <si>
    <t>TEMPORARY INVESTMENT</t>
  </si>
  <si>
    <t>2700/001</t>
  </si>
  <si>
    <t xml:space="preserve">RECEIVABLE OF SHARE- MMP </t>
  </si>
  <si>
    <t>2700/002</t>
  </si>
  <si>
    <t>RECEIVABLE OF LOAN - MERCATOR MEDICAL S.A. (USD)</t>
  </si>
  <si>
    <t>2700/002-1</t>
  </si>
  <si>
    <t>RECEIVABLE OF LOAN - MERCATOR MEDICAL S.A. (EURO)</t>
  </si>
  <si>
    <t>2700/002-2</t>
  </si>
  <si>
    <t>RECEIVABLE OF LOAN - MERCATOR MEDICAL S.A. (JPY)</t>
  </si>
  <si>
    <t>2700/002-2.1</t>
  </si>
  <si>
    <t>RECEIVABLE OF INTEREST LOAN - MERCATOR MEDICAL S.A</t>
  </si>
  <si>
    <t>2700/003</t>
  </si>
  <si>
    <t>RECEIVABLE OF LOAN - MERCATOR INDUSTRIAL LTD.</t>
  </si>
  <si>
    <t>2750/000</t>
  </si>
  <si>
    <t>RECEIVABLE OF MERCATOR INDUSTRAIL LTD.</t>
  </si>
  <si>
    <t>2800/000</t>
  </si>
  <si>
    <t>DEFERED TAX  ASSET</t>
  </si>
  <si>
    <t>Deferred income tax assets</t>
  </si>
  <si>
    <t>3000/001</t>
  </si>
  <si>
    <t xml:space="preserve">NOTES RECEIVABLE </t>
  </si>
  <si>
    <t>3000/002</t>
  </si>
  <si>
    <t xml:space="preserve">IN-COMMING POST DATED CHEQUES </t>
  </si>
  <si>
    <t>3000/003</t>
  </si>
  <si>
    <t xml:space="preserve">RETURNED CHEQUES </t>
  </si>
  <si>
    <t>30-00-00-0000</t>
  </si>
  <si>
    <t xml:space="preserve">SHARE CAPITAL </t>
  </si>
  <si>
    <t>Capital</t>
  </si>
  <si>
    <t>3001/000</t>
  </si>
  <si>
    <t>ACCOUNTS RECEIVABLE - FOREIGN</t>
  </si>
  <si>
    <t>From supplies and services (BS - AC OTH)</t>
  </si>
  <si>
    <t>AR</t>
  </si>
  <si>
    <t>3001/001</t>
  </si>
  <si>
    <t>ALLOWANCE FOR IMPAIRMENT LOSS ON TRADE RECEIVABLE</t>
  </si>
  <si>
    <t>Bad Debt</t>
  </si>
  <si>
    <t>3001/001-2</t>
  </si>
  <si>
    <t>ALLOWANCE FOR IMPAIRMENT LOSS ON THIRD RECEIVABLE</t>
  </si>
  <si>
    <t>3002/000</t>
  </si>
  <si>
    <t>ACCOUNTS RECEIVABLE - DOMISTIC</t>
  </si>
  <si>
    <t>3003/000</t>
  </si>
  <si>
    <t>ACCOUNTS RECEIVABLE - OTHER</t>
  </si>
  <si>
    <t>30-10-00-4800</t>
  </si>
  <si>
    <t xml:space="preserve">AUTHORIZED SHARE CAPITAL - ISSUED AND PAID UP </t>
  </si>
  <si>
    <t>30-20-00-4860</t>
  </si>
  <si>
    <t xml:space="preserve">SURPLUS - FIXED ASSETS </t>
  </si>
  <si>
    <t>30-30-00-4950</t>
  </si>
  <si>
    <t xml:space="preserve">PROFIT (LOSS) IN PERIOD </t>
  </si>
  <si>
    <t>4000/001</t>
  </si>
  <si>
    <t xml:space="preserve">BANK OVERDRAFTS </t>
  </si>
  <si>
    <t>Towards related parties (BS - LONG LIAB)</t>
  </si>
  <si>
    <t>4000/002</t>
  </si>
  <si>
    <t xml:space="preserve">SHORT - TERM LOANS FROM BANKS </t>
  </si>
  <si>
    <t>4000/003</t>
  </si>
  <si>
    <t xml:space="preserve">PACKING CREDIT - EXIM BANK </t>
  </si>
  <si>
    <t>4000/004</t>
  </si>
  <si>
    <t xml:space="preserve">PN - EXIM BANK </t>
  </si>
  <si>
    <t>4000/005</t>
  </si>
  <si>
    <t xml:space="preserve">BANK OVERDRAFTS- CIBM </t>
  </si>
  <si>
    <t>4000/006</t>
  </si>
  <si>
    <t>PACKING CREDIT - CIMB BANK</t>
  </si>
  <si>
    <t>4000/007</t>
  </si>
  <si>
    <t>PN - CIMB BANK</t>
  </si>
  <si>
    <t>4000/008</t>
  </si>
  <si>
    <t xml:space="preserve">DISCOUNT BILL - CIMB </t>
  </si>
  <si>
    <t>4000/009</t>
  </si>
  <si>
    <t xml:space="preserve">TRUST RECEIPT (TR) - CIMB </t>
  </si>
  <si>
    <t>40-00-00-0000</t>
  </si>
  <si>
    <t>INCOME</t>
  </si>
  <si>
    <t>Income</t>
  </si>
  <si>
    <t>4001/000</t>
  </si>
  <si>
    <t xml:space="preserve">OUT-GOING POST DATED CHEQUES </t>
  </si>
  <si>
    <t>PPC</t>
  </si>
  <si>
    <t>4001/001</t>
  </si>
  <si>
    <t xml:space="preserve">OUT-GOING POST DATED CHEQUE - ANAN </t>
  </si>
  <si>
    <t>4001/002</t>
  </si>
  <si>
    <t xml:space="preserve">OUT - GOING POST DATED CHEQUE - PIMOLWATTANA </t>
  </si>
  <si>
    <t>4001/003</t>
  </si>
  <si>
    <t xml:space="preserve">OUT - GOING POST DATED CHEQUE - TAWANTHAI </t>
  </si>
  <si>
    <t>4002/001</t>
  </si>
  <si>
    <t xml:space="preserve">RECEIVED IN ADVANCE </t>
  </si>
  <si>
    <t>Towards other entities (BS - LONG LIAB)</t>
  </si>
  <si>
    <t>40-10-00-5000</t>
  </si>
  <si>
    <t xml:space="preserve">EXPORT SALES </t>
  </si>
  <si>
    <t>Sales</t>
  </si>
  <si>
    <t>40-10-01-5000</t>
  </si>
  <si>
    <t>EXPORT SALES OF NR LINES</t>
  </si>
  <si>
    <t>Export sale - Pre powdered</t>
  </si>
  <si>
    <t>Profit &amp; Loss (MMT)</t>
  </si>
  <si>
    <t>40-10-01-5001</t>
  </si>
  <si>
    <t>EXPORT SALE - POWDER - FREE</t>
  </si>
  <si>
    <t>Export sale - Powder free</t>
  </si>
  <si>
    <t>40-10-01-5002</t>
  </si>
  <si>
    <t>EXPORT SALE - PF MEDICAL</t>
  </si>
  <si>
    <t>40-10-01-5003</t>
  </si>
  <si>
    <t>EXPORT SALE - POWDERED - FREE (HR)</t>
  </si>
  <si>
    <t>40-10-01-5004</t>
  </si>
  <si>
    <t>EXPORT SALE- PP MEDICAL</t>
  </si>
  <si>
    <t>40-10-01-5005</t>
  </si>
  <si>
    <t>EXPORT SALE - POWDER FREE NITRILE</t>
  </si>
  <si>
    <t>40-10-02-5000</t>
  </si>
  <si>
    <t>EXPORT SALES OF NBR LINES</t>
  </si>
  <si>
    <t>Export sale - Nitrile</t>
  </si>
  <si>
    <t>40-20-00-5100</t>
  </si>
  <si>
    <t xml:space="preserve">LOCAL SALES </t>
  </si>
  <si>
    <t>40-20-01-5100</t>
  </si>
  <si>
    <t>LOCAL SALES OF NR LINES</t>
  </si>
  <si>
    <t>Local sale - Pre powdered</t>
  </si>
  <si>
    <t>40-20-01-5101</t>
  </si>
  <si>
    <t>LOCAL SALES- POWDERED FREE.</t>
  </si>
  <si>
    <t>Local sale - Powder free</t>
  </si>
  <si>
    <t>40-20-01-5102</t>
  </si>
  <si>
    <t>LOCAL SALES- NITRILE PF.</t>
  </si>
  <si>
    <t>40-20-02-5100</t>
  </si>
  <si>
    <t>LOCAL SALES OF NBR LINES</t>
  </si>
  <si>
    <t>40-30-00-5150</t>
  </si>
  <si>
    <t>TRADING SALES</t>
  </si>
  <si>
    <t>40-30-00-5151</t>
  </si>
  <si>
    <t>TRADING - PRE POWDERED</t>
  </si>
  <si>
    <t>40-30-00-5152</t>
  </si>
  <si>
    <t>TRADING - POWDERED FREE</t>
  </si>
  <si>
    <t>40-30-00-5153</t>
  </si>
  <si>
    <t>TRADING - OTHER PRODUCTS</t>
  </si>
  <si>
    <t>40-30-00-5154</t>
  </si>
  <si>
    <t>TRADING - PRE POWDERED - LOCAL</t>
  </si>
  <si>
    <t>40-30-00-5155</t>
  </si>
  <si>
    <t>TRADING - POWDERED FREE - LOCAL</t>
  </si>
  <si>
    <t>40-40-00-5200</t>
  </si>
  <si>
    <t xml:space="preserve">GOODS RETURNED &amp; SALES DISCOUNT </t>
  </si>
  <si>
    <t>Sales Return</t>
  </si>
  <si>
    <t>40-40-01-5200</t>
  </si>
  <si>
    <t>GOODS RETRUNED &amp; SALES RETURN FOR NR SALE</t>
  </si>
  <si>
    <t>40-40-01-5210</t>
  </si>
  <si>
    <t>GOODS RETRUNED &amp; SALES RETURN - EXPORT - NR</t>
  </si>
  <si>
    <t>Goods returned &amp; Sales Return - Export</t>
  </si>
  <si>
    <t>40-40-01-5220</t>
  </si>
  <si>
    <t>GOODS RETURNED &amp; SALES DISCOUNT - LOCAL</t>
  </si>
  <si>
    <t>Goods returned &amp; Sales Return - Local</t>
  </si>
  <si>
    <t>40-40-02-5300</t>
  </si>
  <si>
    <t>GOODS RETRUNED &amp; SALES RETURN BEFORE START ERP</t>
  </si>
  <si>
    <t>40-40-02-5310</t>
  </si>
  <si>
    <t>GOODS RETRUNED &amp; SALES RETURN - EXPORT - NBR</t>
  </si>
  <si>
    <t>40-40-02-5311</t>
  </si>
  <si>
    <t>GOODS RETRUNED &amp; SALES RETURN - EXPORT</t>
  </si>
  <si>
    <t>40-40-02-5312</t>
  </si>
  <si>
    <t>GOODS RETURNED &amp; SALES DISCOUNT - LOCAL (NBR)</t>
  </si>
  <si>
    <t>4050/000</t>
  </si>
  <si>
    <t xml:space="preserve">ACOUNTS PAYABLE - CONCENTRATE LATEX </t>
  </si>
  <si>
    <t>AP</t>
  </si>
  <si>
    <t>4060/000</t>
  </si>
  <si>
    <t xml:space="preserve">ACOUNTS PAYABLE - IMPORT </t>
  </si>
  <si>
    <t>4062/000</t>
  </si>
  <si>
    <t xml:space="preserve">ACCOUNT PAYABLE - CHEMICAL </t>
  </si>
  <si>
    <t>4063/000</t>
  </si>
  <si>
    <t xml:space="preserve">ACCOUNT PAYABLE - FUEL </t>
  </si>
  <si>
    <t>4064/000</t>
  </si>
  <si>
    <t xml:space="preserve">ACCOUNT PAYABLE - PACKAGING </t>
  </si>
  <si>
    <t>4065/000</t>
  </si>
  <si>
    <t xml:space="preserve">ACCOUNT PAYABLE - SUPPLIES </t>
  </si>
  <si>
    <t>4066/000</t>
  </si>
  <si>
    <t xml:space="preserve">ACCOUNT PAYABLE - FORMER </t>
  </si>
  <si>
    <t>4070/000</t>
  </si>
  <si>
    <t xml:space="preserve">ACOUNTS PAYABLE - NON TRADE </t>
  </si>
  <si>
    <t>4071/000</t>
  </si>
  <si>
    <t>ACCOUNT PAYABLE - SHIPPING &amp; LOGISTIC</t>
  </si>
  <si>
    <t>4090/000</t>
  </si>
  <si>
    <t xml:space="preserve">ACCOUNT PAYABLE FINISHED GOODS </t>
  </si>
  <si>
    <t>4200/000</t>
  </si>
  <si>
    <t>CURRENT PORTION OF LONG  - TERM LOAN</t>
  </si>
  <si>
    <t>4300/000</t>
  </si>
  <si>
    <t xml:space="preserve">SHORT-TERM LOANS FROM MML OR PARTIES </t>
  </si>
  <si>
    <t>Others (BS - SHORT LIAB)</t>
  </si>
  <si>
    <t>4300/001</t>
  </si>
  <si>
    <t xml:space="preserve">SHORT - TERM LOANS FROM DIRECTORS AND EMPLOYEES </t>
  </si>
  <si>
    <t>4300/002</t>
  </si>
  <si>
    <t xml:space="preserve">SHORT - TERMS LOANS FROM RELATED PARTIES (MMP) </t>
  </si>
  <si>
    <t>4400/000</t>
  </si>
  <si>
    <t xml:space="preserve">CURRENT PORTION OF HIRE PURCHASE </t>
  </si>
  <si>
    <t>4400/001</t>
  </si>
  <si>
    <t>CURRENT PORTION HIRE PURCHASE CREDITOR</t>
  </si>
  <si>
    <t>4400/002</t>
  </si>
  <si>
    <t>CURRENT PORTION OF DEFERED INPUT VAT</t>
  </si>
  <si>
    <t>4400/003</t>
  </si>
  <si>
    <t>CURRENT PORTION OF DEFERED INTEREST EXP.</t>
  </si>
  <si>
    <t>4500/000</t>
  </si>
  <si>
    <t>ACCRUED EXPENSES  (G)</t>
  </si>
  <si>
    <t>Accruals</t>
  </si>
  <si>
    <t>4500/001</t>
  </si>
  <si>
    <t xml:space="preserve">ACCRUED EXPENSES </t>
  </si>
  <si>
    <t>4500/002</t>
  </si>
  <si>
    <t xml:space="preserve">ACCRUED INSURANCE </t>
  </si>
  <si>
    <t>4500/003</t>
  </si>
  <si>
    <t xml:space="preserve">ACCRUED RENTAL </t>
  </si>
  <si>
    <t>4500/004</t>
  </si>
  <si>
    <t>ACCRUED PETTY CASH</t>
  </si>
  <si>
    <t>4500/004-P3</t>
  </si>
  <si>
    <t>ACCRUED PETTY CASH - PROJECT</t>
  </si>
  <si>
    <t>4500/005</t>
  </si>
  <si>
    <t xml:space="preserve">ACCRUED PROPERTY, LABEL TAX </t>
  </si>
  <si>
    <t>4500/006</t>
  </si>
  <si>
    <t xml:space="preserve">ACCRUED AUDIT FEE </t>
  </si>
  <si>
    <t>4500/007</t>
  </si>
  <si>
    <t xml:space="preserve">ACCRUED CLAIM EXP. OF MR. CAPEL </t>
  </si>
  <si>
    <t>4500/008</t>
  </si>
  <si>
    <t xml:space="preserve">ACCRUED INTEREST EXPENSES </t>
  </si>
  <si>
    <t>4500/008-1</t>
  </si>
  <si>
    <t>ACCRUED INTEREST EXPENSES (MMP)</t>
  </si>
  <si>
    <t>4500/009</t>
  </si>
  <si>
    <t xml:space="preserve">ACCRUED FIXED ASSETS </t>
  </si>
  <si>
    <t>4500/010</t>
  </si>
  <si>
    <t>WITHHOLDING TAX PAYABLE</t>
  </si>
  <si>
    <t>From taxes, customs, insurance and other benefits</t>
  </si>
  <si>
    <t>WHT</t>
  </si>
  <si>
    <t>4500/010-1</t>
  </si>
  <si>
    <t>WITHHOLDING TAX PAYABLE - EMPLOYEE</t>
  </si>
  <si>
    <t>4500/011</t>
  </si>
  <si>
    <t>OUTPUT VAT</t>
  </si>
  <si>
    <t>Vat Sale</t>
  </si>
  <si>
    <t>4500/012</t>
  </si>
  <si>
    <t xml:space="preserve">REVENUE DEPARTMENT PAYABLE </t>
  </si>
  <si>
    <t>4500/013</t>
  </si>
  <si>
    <t>SOCIAL SECURITY PAYABLE</t>
  </si>
  <si>
    <t>From remunerations</t>
  </si>
  <si>
    <t>4500/014</t>
  </si>
  <si>
    <t xml:space="preserve">ACCRUED CLAIM EXP.OF MR.MOORTHY </t>
  </si>
  <si>
    <t>4500/015</t>
  </si>
  <si>
    <t xml:space="preserve">ACCRUED SHAREHOLDER </t>
  </si>
  <si>
    <t>4500/016</t>
  </si>
  <si>
    <t xml:space="preserve">ACCRUED COMMISSION OF MR.NG </t>
  </si>
  <si>
    <t>4500/017</t>
  </si>
  <si>
    <t xml:space="preserve">ACCRUED MEDICA SHOW </t>
  </si>
  <si>
    <t>4500/018</t>
  </si>
  <si>
    <t xml:space="preserve">ACCRUED CLAIM EXP. OF MR. TEOH </t>
  </si>
  <si>
    <t>4500/019</t>
  </si>
  <si>
    <t xml:space="preserve">ACCRUED COMMISSION - OFT AGENCY </t>
  </si>
  <si>
    <t>4500/020</t>
  </si>
  <si>
    <t>DEFINED BENEFIT OBLIGATION</t>
  </si>
  <si>
    <t>Provisions for retirement and other benefits</t>
  </si>
  <si>
    <t>4500/021</t>
  </si>
  <si>
    <t xml:space="preserve">ACCRUED CLAIM EXP. OF MR. LESZEK </t>
  </si>
  <si>
    <t>4500/022</t>
  </si>
  <si>
    <t xml:space="preserve">ACCRUED EXPENSE- BONUS </t>
  </si>
  <si>
    <t>4500/023</t>
  </si>
  <si>
    <t xml:space="preserve">ACCRUED COMMISSION </t>
  </si>
  <si>
    <t>4500/023-1</t>
  </si>
  <si>
    <t>ACCRUED COMMISSION - MM ITALIA</t>
  </si>
  <si>
    <t>4500/024</t>
  </si>
  <si>
    <t xml:space="preserve">ACCRUED COMMISSION - MR.PHILIP </t>
  </si>
  <si>
    <t>4500/025</t>
  </si>
  <si>
    <t xml:space="preserve">ACCRUED SERVICE OF CLAIM TAX CUSTOMS </t>
  </si>
  <si>
    <t>4500/026</t>
  </si>
  <si>
    <t xml:space="preserve">ACCRUED EXPENSE- SHIPPING FEE </t>
  </si>
  <si>
    <t>4500/027</t>
  </si>
  <si>
    <t>ACCRUED EXPENSE- STUDENT LOAN FUND (SLF)</t>
  </si>
  <si>
    <t>4500/028</t>
  </si>
  <si>
    <t>ACCRUED EXPENSE- CORPORATE INCOME TAX</t>
  </si>
  <si>
    <t>4500/029</t>
  </si>
  <si>
    <t>ACCRUED EXPENSE- LOADING CONTAINER</t>
  </si>
  <si>
    <t>4500/030</t>
  </si>
  <si>
    <t>ACCRUED EXPENSE- RESERVE FORM D</t>
  </si>
  <si>
    <t>4500/500</t>
  </si>
  <si>
    <t>ACCURED OTHER SUPPLIER - PP&amp;E</t>
  </si>
  <si>
    <t>4500/600</t>
  </si>
  <si>
    <t>ACCURED DIVIDEND</t>
  </si>
  <si>
    <t>4500/700</t>
  </si>
  <si>
    <t>DERIVATIVE LIABILITY (FORWARD CONTRACT)</t>
  </si>
  <si>
    <t>4600/001</t>
  </si>
  <si>
    <t xml:space="preserve">LONG - TERM LOANS FROM DIRECTORS AND EMPLOYEES </t>
  </si>
  <si>
    <t>Credits and loans (BS - LONG LIAB)</t>
  </si>
  <si>
    <t>4600/002</t>
  </si>
  <si>
    <t xml:space="preserve">LONG - TERM LOANS FROM RELATED PARITIES </t>
  </si>
  <si>
    <t>4700/000</t>
  </si>
  <si>
    <t xml:space="preserve">LONG - TERM LOANS FROM OTHERS </t>
  </si>
  <si>
    <t>4700/001</t>
  </si>
  <si>
    <t>LONG - TERM LOANS FROM CIMB BANK (DF PROJECT)</t>
  </si>
  <si>
    <t>4700/002</t>
  </si>
  <si>
    <t>LONG-TERM LOAN FROM CIMB BNAK (NBR PROJECT)</t>
  </si>
  <si>
    <t>4750/100</t>
  </si>
  <si>
    <t>PROVISIONS</t>
  </si>
  <si>
    <t>Other provisions</t>
  </si>
  <si>
    <t>4750/150</t>
  </si>
  <si>
    <t>PROVISIONS FOR DEMOLITION OF SOLAR FRAM</t>
  </si>
  <si>
    <t>Others (BS - SHORT LIAB OTH)</t>
  </si>
  <si>
    <t>4750/200</t>
  </si>
  <si>
    <t xml:space="preserve">OTHER NON - CURRENT LIABILITIES </t>
  </si>
  <si>
    <t>4750/300</t>
  </si>
  <si>
    <t xml:space="preserve">RENTENTION </t>
  </si>
  <si>
    <t>4750/400</t>
  </si>
  <si>
    <t xml:space="preserve">SHAREHOLDERS' EQUITY </t>
  </si>
  <si>
    <t>4770/000</t>
  </si>
  <si>
    <t xml:space="preserve">DEFERED TAX  LIABILITY </t>
  </si>
  <si>
    <t>Deferred income tax provisions</t>
  </si>
  <si>
    <t>4800/002</t>
  </si>
  <si>
    <t xml:space="preserve">COMMON SHARES PAID UP </t>
  </si>
  <si>
    <t>Issued share capital</t>
  </si>
  <si>
    <t>4850/000</t>
  </si>
  <si>
    <t>PREMIUM ON SHARES (G)</t>
  </si>
  <si>
    <t>Supplementary capital</t>
  </si>
  <si>
    <t>4850/001</t>
  </si>
  <si>
    <t xml:space="preserve">PREMIUM ON SHARES </t>
  </si>
  <si>
    <t>4850/002</t>
  </si>
  <si>
    <t xml:space="preserve">PREMIUM ON COMMON SHARES </t>
  </si>
  <si>
    <t>4860/001</t>
  </si>
  <si>
    <t xml:space="preserve">SURPLUS - LAND </t>
  </si>
  <si>
    <t>Revaluation reserve capital</t>
  </si>
  <si>
    <t>4860/002</t>
  </si>
  <si>
    <t xml:space="preserve">SURPLUS - BUILDING AND CONTRUCTION </t>
  </si>
  <si>
    <t>4860/003</t>
  </si>
  <si>
    <t xml:space="preserve">SURPLUS - MACHINERY AND EQUIPMENT </t>
  </si>
  <si>
    <t>4860/100</t>
  </si>
  <si>
    <t xml:space="preserve">SURPLUS - LAND (DTL) </t>
  </si>
  <si>
    <t>4860/101</t>
  </si>
  <si>
    <t xml:space="preserve">SURPLUS - BUILDING AND CONSTRUC (DTL) </t>
  </si>
  <si>
    <t>4860/102</t>
  </si>
  <si>
    <t xml:space="preserve">SURPLUS - MACHINERY AND EQUIPMENT (DTL) </t>
  </si>
  <si>
    <t>4950/000</t>
  </si>
  <si>
    <t xml:space="preserve">RETAINED EARNINGS (DEFICIT) </t>
  </si>
  <si>
    <t>Retained profits/losses as of period closing</t>
  </si>
  <si>
    <t>4950/001</t>
  </si>
  <si>
    <t xml:space="preserve">APPROPRIATED RETAINED EARNINGS </t>
  </si>
  <si>
    <t>4950/002</t>
  </si>
  <si>
    <t xml:space="preserve">APPROPRIATED RETAINED EARNINGS - LEGAL RESERVE </t>
  </si>
  <si>
    <t>4950/003</t>
  </si>
  <si>
    <t xml:space="preserve">APPROPRIATED RETAINED EARNINGS - OTHER RESERVE </t>
  </si>
  <si>
    <t>4950/004</t>
  </si>
  <si>
    <t xml:space="preserve">UNAPPROPRIATED RETAINED EARNINGS (DEFICIT) </t>
  </si>
  <si>
    <t>50-00-00-0000</t>
  </si>
  <si>
    <t>EXPENSES</t>
  </si>
  <si>
    <t>50-00-10-0000</t>
  </si>
  <si>
    <t>COST OF GOODS SOLD -NBR</t>
  </si>
  <si>
    <t>50-00-20-0000</t>
  </si>
  <si>
    <t>COST OF GOODS SOLD</t>
  </si>
  <si>
    <t>5010/000</t>
  </si>
  <si>
    <t xml:space="preserve">EXPORT SALE - PRE-POWDERED </t>
  </si>
  <si>
    <t>5010/001</t>
  </si>
  <si>
    <t xml:space="preserve">EXPORT SALE -PRE-POWDERED-OTHER CUSTOMER </t>
  </si>
  <si>
    <t>50-10-00-6000</t>
  </si>
  <si>
    <t xml:space="preserve">PURCHASES OF FINISHED GOODS (UN-PACK) </t>
  </si>
  <si>
    <t>Purchase Finished goods (Un-pack)</t>
  </si>
  <si>
    <t>50-10-00-6010</t>
  </si>
  <si>
    <t>COST OF PURCHASES OF FINISHED GOODS (UN-PACK)</t>
  </si>
  <si>
    <t>Cost of import</t>
  </si>
  <si>
    <t>5011/001</t>
  </si>
  <si>
    <t xml:space="preserve">EXPORT SALE -PRE-POWDERED-MERCATOR S.A. </t>
  </si>
  <si>
    <t>5012/001</t>
  </si>
  <si>
    <t xml:space="preserve">EXPORT SALE -PRE-POWDERED- B-GRADE </t>
  </si>
  <si>
    <t>5013/001</t>
  </si>
  <si>
    <t xml:space="preserve">EXPORT SALE -PRE-POWDERED- SCRAP </t>
  </si>
  <si>
    <t>5020/000</t>
  </si>
  <si>
    <t xml:space="preserve">EXPORT SALE - POWDERED - FREE </t>
  </si>
  <si>
    <t>5020/001</t>
  </si>
  <si>
    <t xml:space="preserve">EXPORT SALE-POWDERED FREE OTHER CUSTOMER </t>
  </si>
  <si>
    <t>50-20-00-6020</t>
  </si>
  <si>
    <t>FINISHED GOODS - UNPACK</t>
  </si>
  <si>
    <t>50-20-00-6021</t>
  </si>
  <si>
    <t>OPENING STOCK - GLOVES UN-PACK</t>
  </si>
  <si>
    <t>Beginning stock (PL - COST GOODS SOLD)</t>
  </si>
  <si>
    <t>50-20-00-6022</t>
  </si>
  <si>
    <t>CLOSING STOCK - GLOVES UN-PACK</t>
  </si>
  <si>
    <t>Ending stock (PL - COST GOODS SOLD)</t>
  </si>
  <si>
    <t>50-20-02-6020</t>
  </si>
  <si>
    <t>NBR FINISHED GOODS - UNPACK</t>
  </si>
  <si>
    <t>5021/001</t>
  </si>
  <si>
    <t xml:space="preserve">EXPORT SALE -POWDERED FREE MERCATOR S.A. </t>
  </si>
  <si>
    <t>5022/001</t>
  </si>
  <si>
    <t xml:space="preserve">EXPORT SALE -POWDERED FREE- B-GRADE </t>
  </si>
  <si>
    <t>5023/001</t>
  </si>
  <si>
    <t xml:space="preserve">EXPORT SALE -POWDERED FREE- SCRAP </t>
  </si>
  <si>
    <t>5024/000</t>
  </si>
  <si>
    <t>EXPORT SALE- PF MEDICAL</t>
  </si>
  <si>
    <t>5024/001</t>
  </si>
  <si>
    <t xml:space="preserve">EXPORT SALE - PF MEDICAL- OTHER CUSTOMER </t>
  </si>
  <si>
    <t>5025/001</t>
  </si>
  <si>
    <t xml:space="preserve">EXPORT SALE - PF MEDICAL - MERCATOR S.A. </t>
  </si>
  <si>
    <t>5026/001</t>
  </si>
  <si>
    <t xml:space="preserve">EXPORT SALE - PF MEDICAL - B- GRADE </t>
  </si>
  <si>
    <t>5027/001</t>
  </si>
  <si>
    <t xml:space="preserve">EXPORT SALE - PF MEDICAL - SCRAP </t>
  </si>
  <si>
    <t>5028/000</t>
  </si>
  <si>
    <t>EXPORT SALE - POWDERED  FREE (HR)</t>
  </si>
  <si>
    <t>Export sale - High Risk</t>
  </si>
  <si>
    <t>5028/001</t>
  </si>
  <si>
    <t xml:space="preserve">EXPORT SALE - PF - HR- OTHER CUSTOMER </t>
  </si>
  <si>
    <t>5029/001</t>
  </si>
  <si>
    <t xml:space="preserve">EXPORT SALE - PF - HR  - MERCATOR S.A. </t>
  </si>
  <si>
    <t>5030/001</t>
  </si>
  <si>
    <t xml:space="preserve">EXPORT SALE - PF - HR - B- GRADE </t>
  </si>
  <si>
    <t>50-30-00-6030</t>
  </si>
  <si>
    <t>FINISHED GOODS - PACKED</t>
  </si>
  <si>
    <t>50-30-00-6031</t>
  </si>
  <si>
    <t>OPENING STOCK - FINISHED GOODS</t>
  </si>
  <si>
    <t>50-30-00-6032</t>
  </si>
  <si>
    <t>CLOSING STOCK - FINISHED GOODS</t>
  </si>
  <si>
    <t>50-30-02-6030</t>
  </si>
  <si>
    <t>NBR FINISHED GOODS - PACKED</t>
  </si>
  <si>
    <t>5031/001</t>
  </si>
  <si>
    <t xml:space="preserve">EXPORT SALE - PF - HR - SCRAP </t>
  </si>
  <si>
    <t>5032/000</t>
  </si>
  <si>
    <t>EXPORT SALE-PP MEDICAL</t>
  </si>
  <si>
    <t>5032/001</t>
  </si>
  <si>
    <t xml:space="preserve">EXPORT SALE- PP MEDICAL -OTHER CUSTOMER </t>
  </si>
  <si>
    <t>5033/001</t>
  </si>
  <si>
    <t xml:space="preserve">EXPORT SALE-PP MEDICAL - MERCATOR S.A. </t>
  </si>
  <si>
    <t>5034/001</t>
  </si>
  <si>
    <t xml:space="preserve">EXPORT SALE-PP MEDICAL - B-GRADE/SCRAP </t>
  </si>
  <si>
    <t>5035/000</t>
  </si>
  <si>
    <t>EXPORT SALE-POWDER FREE NITRILE</t>
  </si>
  <si>
    <t>5035/001</t>
  </si>
  <si>
    <t xml:space="preserve">EXPORT SALE-POWDER FREE NITRILE OTHER CUSTOMER </t>
  </si>
  <si>
    <t>5036/001</t>
  </si>
  <si>
    <t>EXPORT SALE-POWDER FREE NITRILE- MERCATOR S.A.</t>
  </si>
  <si>
    <t>5037/001</t>
  </si>
  <si>
    <t xml:space="preserve">EXPORT SALE-POWDER FREE NITRILE- B-GRADE </t>
  </si>
  <si>
    <t>5038/001</t>
  </si>
  <si>
    <t xml:space="preserve">EXPORT SALE-POWDER FREE NITRILE- SCRAPS </t>
  </si>
  <si>
    <t>50-40-00-0000</t>
  </si>
  <si>
    <t>NBR-ADJUSTMENT FOR COST OF GOOD SOLD</t>
  </si>
  <si>
    <t>Adjustment for cost of goods sold (PL - COST PURCH GLOVE)</t>
  </si>
  <si>
    <t>50-40-00-6050</t>
  </si>
  <si>
    <t xml:space="preserve">ADJUSTMENT FOR COST OF GOOD SOLD </t>
  </si>
  <si>
    <t>50-50-00-7000</t>
  </si>
  <si>
    <t xml:space="preserve">MANUFACTURING ACCOUNT-COST OF PRODUCTION </t>
  </si>
  <si>
    <t>Manufacturing cost</t>
  </si>
  <si>
    <t>50-50-00-8000</t>
  </si>
  <si>
    <t>MANUFACTURING ACCOUNT - COST OF PRODUCTION NBR</t>
  </si>
  <si>
    <t>50-50-01-7000</t>
  </si>
  <si>
    <t xml:space="preserve">RAW MATERIAL </t>
  </si>
  <si>
    <t>50-50-01-7100</t>
  </si>
  <si>
    <t xml:space="preserve">LATEX USED </t>
  </si>
  <si>
    <t>Latex concentrate</t>
  </si>
  <si>
    <t>50-50-01-7200</t>
  </si>
  <si>
    <t xml:space="preserve">CHEMICAL USED </t>
  </si>
  <si>
    <t>Chemical</t>
  </si>
  <si>
    <t>50-50-01-7300</t>
  </si>
  <si>
    <t>SYNTHETICS LATEX</t>
  </si>
  <si>
    <t>50-50-02-7000</t>
  </si>
  <si>
    <t>DIRECT LABOUR</t>
  </si>
  <si>
    <t>50-50-02-7100</t>
  </si>
  <si>
    <t>DIRECT LABOUR OF NR PRODUCTS</t>
  </si>
  <si>
    <t>Sythetics latex</t>
  </si>
  <si>
    <t>50-50-02-7101</t>
  </si>
  <si>
    <t xml:space="preserve">DIRECT LABOUR - COMPOUND </t>
  </si>
  <si>
    <t>Compound</t>
  </si>
  <si>
    <t>50-50-02-7102</t>
  </si>
  <si>
    <t xml:space="preserve">DIRECT LABOUR - DIPPING LINE </t>
  </si>
  <si>
    <t>Dipping</t>
  </si>
  <si>
    <t>50-50-02-7103</t>
  </si>
  <si>
    <t xml:space="preserve">DIRECT LABOUR - CHLORINATION </t>
  </si>
  <si>
    <t>Chlorination</t>
  </si>
  <si>
    <t>50-50-02-7104</t>
  </si>
  <si>
    <t xml:space="preserve">DIRECT LABOUR - PACKING </t>
  </si>
  <si>
    <t>Packing</t>
  </si>
  <si>
    <t>50-50-02-7105</t>
  </si>
  <si>
    <t xml:space="preserve">DIRECT LABOUR - MAINTENANCE </t>
  </si>
  <si>
    <t>Maintenance</t>
  </si>
  <si>
    <t>50-50-02-7106</t>
  </si>
  <si>
    <t xml:space="preserve">DIRECT LABOUR - LAB </t>
  </si>
  <si>
    <t>Lab</t>
  </si>
  <si>
    <t>50-50-02-7107</t>
  </si>
  <si>
    <t xml:space="preserve">DIRECT LABOUR - QA </t>
  </si>
  <si>
    <t>QA</t>
  </si>
  <si>
    <t>50-50-02-7108</t>
  </si>
  <si>
    <t>DIRECT LABOUR - STORE &amp; WAREHOUSE</t>
  </si>
  <si>
    <t>Store</t>
  </si>
  <si>
    <t>50-50-02-7200</t>
  </si>
  <si>
    <t>DIRECT LABOUR OF NBR PRODUCTS</t>
  </si>
  <si>
    <t>50-50-02-7201</t>
  </si>
  <si>
    <t>DIRECT LABOUR - COMPOUND -NBR</t>
  </si>
  <si>
    <t>50-50-02-7202</t>
  </si>
  <si>
    <t>DIRECT LABOUR - DIPPING LINE -NBR</t>
  </si>
  <si>
    <t>50-50-02-7203</t>
  </si>
  <si>
    <t>DIRECT LABOUR - CHLORINATION -NBR</t>
  </si>
  <si>
    <t>50-50-02-7204</t>
  </si>
  <si>
    <t>DIRECT LABOUR - PACKING -NBR</t>
  </si>
  <si>
    <t>50-50-02-7205</t>
  </si>
  <si>
    <t>DIRECT LABOUR - MAINTENANCE -NBR</t>
  </si>
  <si>
    <t>50-50-02-7206</t>
  </si>
  <si>
    <t>DIRECT LABOUR - LAB -NBR</t>
  </si>
  <si>
    <t>50-50-02-7207</t>
  </si>
  <si>
    <t>DIRECT LABOUR - QA -NBR</t>
  </si>
  <si>
    <t>50-50-02-7208</t>
  </si>
  <si>
    <t>DIRECT LABOUR - STORE &amp; WAREHOUSE-NBR</t>
  </si>
  <si>
    <t>50-50-02-7300</t>
  </si>
  <si>
    <t>CHEMICAL USED - NBR</t>
  </si>
  <si>
    <t>RAW MATERIAL - NBR</t>
  </si>
  <si>
    <t>50-50-02-8000</t>
  </si>
  <si>
    <t>50-50-02-8001</t>
  </si>
  <si>
    <t>SYNTHETIC LATEX</t>
  </si>
  <si>
    <t>50-50-02-8100</t>
  </si>
  <si>
    <t>SYNTHETICS LATEX NBR</t>
  </si>
  <si>
    <t>50-50-03-7000</t>
  </si>
  <si>
    <t xml:space="preserve">MANUFACTURING OVERHEAD </t>
  </si>
  <si>
    <t>50-50-03-7100</t>
  </si>
  <si>
    <t>FUEL CONSUMED</t>
  </si>
  <si>
    <t>Fuel</t>
  </si>
  <si>
    <t>50-50-03-7200</t>
  </si>
  <si>
    <t>NBR - FUEL CONSUMED</t>
  </si>
  <si>
    <t>50-50-03-7201</t>
  </si>
  <si>
    <t>PACKING MATERIAL USED OF NR PRODUCTS</t>
  </si>
  <si>
    <t>Packaging material</t>
  </si>
  <si>
    <t>50-50-03-7202</t>
  </si>
  <si>
    <t>PACKING MATERIAL USED OF NBR PRODUCTS</t>
  </si>
  <si>
    <t>50-50-03-7300</t>
  </si>
  <si>
    <t xml:space="preserve">OTHER SUPPLIES </t>
  </si>
  <si>
    <t>50-50-04-7000</t>
  </si>
  <si>
    <t xml:space="preserve">MANUFACTURING OVERHEAD - EMPLOYEE EXP. </t>
  </si>
  <si>
    <t>50-50-04-7100</t>
  </si>
  <si>
    <t>MANUFACTURING OVERHEAD - EMPLOYEE EXP. OF NR PRODUCTS</t>
  </si>
  <si>
    <t>Employee expenses</t>
  </si>
  <si>
    <t>50-50-04-7200</t>
  </si>
  <si>
    <t>MANUFACTURING OVERHEAD - EMPLOYEE EXP. OF NBR PRODUCTS</t>
  </si>
  <si>
    <t>50-50-04-7300</t>
  </si>
  <si>
    <t xml:space="preserve">NBR OTHER SUPPLIES </t>
  </si>
  <si>
    <t>50-50-05-7000</t>
  </si>
  <si>
    <t xml:space="preserve">MANURACTURING OVERHEAD - UTILITIES </t>
  </si>
  <si>
    <t>50-50-05-7100</t>
  </si>
  <si>
    <t>MANURACTURING OVERHEAD - UTILITIES OF NR PRODUCTS</t>
  </si>
  <si>
    <t>Utilities</t>
  </si>
  <si>
    <t>50-50-05-7200</t>
  </si>
  <si>
    <t>MANURACTURING OVERHEAD - UTILITIES OF NBR PRODUCTS</t>
  </si>
  <si>
    <t>50-50-06-7000</t>
  </si>
  <si>
    <t xml:space="preserve">MANUFACTURING OVERHEAD - REPAIR &amp; UPKEEP </t>
  </si>
  <si>
    <t>Repair &amp; Maintenance</t>
  </si>
  <si>
    <t>50-50-06-7200</t>
  </si>
  <si>
    <t xml:space="preserve">NBR MANUFACTURING OVERHEAD - REPAIR &amp; UPKEEP </t>
  </si>
  <si>
    <t>50-50-07-7000</t>
  </si>
  <si>
    <t xml:space="preserve">MANUFACTURING OVERHEAD - DEPRECIATION </t>
  </si>
  <si>
    <t>50-50-07-7100</t>
  </si>
  <si>
    <t>MANUFACTURING OVERHEAD-DEPRECIATION</t>
  </si>
  <si>
    <t>Depreciation &amp; Amortization</t>
  </si>
  <si>
    <t>50-50-07-7200</t>
  </si>
  <si>
    <t>MANUFACTURING OVERHEAD - DEPRECIATION OF NBR PRODUCTS</t>
  </si>
  <si>
    <t>50-50-08-7000</t>
  </si>
  <si>
    <t xml:space="preserve">MANUFACTURING OVERHEAD - OTHER EXPENSES </t>
  </si>
  <si>
    <t>Other expenses (PC - OVER HEAD)</t>
  </si>
  <si>
    <t>50-50-08-7200</t>
  </si>
  <si>
    <t xml:space="preserve">NBR MANUFACTURING OVERHEAD - OTHER EXPENSES </t>
  </si>
  <si>
    <t>50-50-09-7000</t>
  </si>
  <si>
    <t xml:space="preserve">WORK IN PROGESS </t>
  </si>
  <si>
    <t>50-50-09-7100</t>
  </si>
  <si>
    <t>WORK IN PROGESS OF NR PRODUCTS</t>
  </si>
  <si>
    <t>Work in process of Raw material</t>
  </si>
  <si>
    <t>50-50-09-7200</t>
  </si>
  <si>
    <t>WORK IN PROGESS OF NBR PRODUCTS</t>
  </si>
  <si>
    <t>5110/000</t>
  </si>
  <si>
    <t>LOCAL SALES - PRE-POWDERED.</t>
  </si>
  <si>
    <t>5110/001</t>
  </si>
  <si>
    <t xml:space="preserve">LOCAL SALES - PRE-POWDERED </t>
  </si>
  <si>
    <t>5110/002</t>
  </si>
  <si>
    <t xml:space="preserve">LOCAL SALES - PRE-POWDERED - B GRADE </t>
  </si>
  <si>
    <t>5110/003</t>
  </si>
  <si>
    <t xml:space="preserve">LOCAL SALES - PRE-POWDERED - C GRADE </t>
  </si>
  <si>
    <t>5110/004</t>
  </si>
  <si>
    <t xml:space="preserve">LOCAL SALES - PRE POWDER - SCRAP </t>
  </si>
  <si>
    <t>5120/000</t>
  </si>
  <si>
    <t xml:space="preserve">LOCAL SALES - POWDERED FREE </t>
  </si>
  <si>
    <t>5120/001</t>
  </si>
  <si>
    <t>LOCAL SALES - POWDERED FREE - NBR</t>
  </si>
  <si>
    <t>5120/002</t>
  </si>
  <si>
    <t xml:space="preserve">LOCAL SALES - POWDER FREE - C GRADE </t>
  </si>
  <si>
    <t>5120/003</t>
  </si>
  <si>
    <t xml:space="preserve">LOCAL SALES - POWDER FREE - B GRADE </t>
  </si>
  <si>
    <t>5120/004</t>
  </si>
  <si>
    <t xml:space="preserve">LOCAL SALES - POWDER FREE - SCRAP </t>
  </si>
  <si>
    <t>5125/000</t>
  </si>
  <si>
    <t>LOCAL SALES - NITRILE PF.</t>
  </si>
  <si>
    <t>Local sale - Nitrile</t>
  </si>
  <si>
    <t>5125/001</t>
  </si>
  <si>
    <t>LOCAL SALES - NITRILE PF</t>
  </si>
  <si>
    <t>5125/002</t>
  </si>
  <si>
    <t>LOCAL SALES - NITRILE PF - B GRADE</t>
  </si>
  <si>
    <t>5125/003</t>
  </si>
  <si>
    <t>LOCAL SALES - NITRILE PF - SCRAP</t>
  </si>
  <si>
    <t>5130/001</t>
  </si>
  <si>
    <t>LOCAL SALES - PF-HR GLOVES</t>
  </si>
  <si>
    <t>Local sale - High Risk</t>
  </si>
  <si>
    <t>5130/002</t>
  </si>
  <si>
    <t>LOCAL SALES - HR GLOVES - B GRADE</t>
  </si>
  <si>
    <t>5130/003</t>
  </si>
  <si>
    <t>LOCAL SALES - HR GLOVES - SCRAP</t>
  </si>
  <si>
    <t>5145/000</t>
  </si>
  <si>
    <t xml:space="preserve">TOTAL SALE FROM OPERATION </t>
  </si>
  <si>
    <t>5151/001</t>
  </si>
  <si>
    <t xml:space="preserve">TRADING - PRE POWDERED- MERCATOR S.A. </t>
  </si>
  <si>
    <t>5151/002</t>
  </si>
  <si>
    <t xml:space="preserve">TRADING - POWDERED FREE - MERCATOR S.A. </t>
  </si>
  <si>
    <t>5151/003</t>
  </si>
  <si>
    <t xml:space="preserve">TRADING - PF NITRILE - MERCATOR S.A. </t>
  </si>
  <si>
    <t>5155/001</t>
  </si>
  <si>
    <t xml:space="preserve">TRADING - PRE POWDERED - OTHER CUSTOMER </t>
  </si>
  <si>
    <t>5155/002</t>
  </si>
  <si>
    <t xml:space="preserve">TRADING - POWDERED FREE - OTHER CUSTOMER </t>
  </si>
  <si>
    <t>5155/003</t>
  </si>
  <si>
    <t xml:space="preserve">TRADING - POWDERED FREE NITRILE - OTHER </t>
  </si>
  <si>
    <t>5155/004</t>
  </si>
  <si>
    <t xml:space="preserve">TRADING - PF-CHLORINATED- OTHER CUSTOMER </t>
  </si>
  <si>
    <t>5155/005</t>
  </si>
  <si>
    <t>TRADING - HR GLOVES - OTHER CUSTOMER</t>
  </si>
  <si>
    <t>5155/100</t>
  </si>
  <si>
    <t>TRADING - EXPORT B-GRADE / SCRAP</t>
  </si>
  <si>
    <t>5160/000</t>
  </si>
  <si>
    <t xml:space="preserve">TRADING LOCAL - PRE POWDERED </t>
  </si>
  <si>
    <t>5161/000</t>
  </si>
  <si>
    <t xml:space="preserve">TRADING LOCAL - POWDERED FREE </t>
  </si>
  <si>
    <t>5162/000</t>
  </si>
  <si>
    <t>TRADING LOCAL - NITRILE GLOVES</t>
  </si>
  <si>
    <t>5163/000</t>
  </si>
  <si>
    <t>TRADING LOCAL - B GRADE / SCRAP</t>
  </si>
  <si>
    <t>5190/000</t>
  </si>
  <si>
    <t xml:space="preserve">TOTAL TRADING SALE </t>
  </si>
  <si>
    <t>5210/001</t>
  </si>
  <si>
    <t xml:space="preserve">GOODS RETURNED - EXPORT </t>
  </si>
  <si>
    <t>5210/002</t>
  </si>
  <si>
    <t>SALES DISCOUNT - EXPORT - OTHER</t>
  </si>
  <si>
    <t>5210/003</t>
  </si>
  <si>
    <t>SALES DISCOUNT - MERCATOR MEDICAL S.A.</t>
  </si>
  <si>
    <t>5210/004</t>
  </si>
  <si>
    <t>SALES DISCOUNT - TRADING MERCATOR MEDICAL S.A.</t>
  </si>
  <si>
    <t>5210/005</t>
  </si>
  <si>
    <t>SALES DISCOUNT - TRADING OTHER CUSTOMER</t>
  </si>
  <si>
    <t>5220/001</t>
  </si>
  <si>
    <t xml:space="preserve">GOODS RETUNED - LOCAL </t>
  </si>
  <si>
    <t>5220/002</t>
  </si>
  <si>
    <t xml:space="preserve">SALE DISCOUNT - LOCAL </t>
  </si>
  <si>
    <t>6000/001</t>
  </si>
  <si>
    <t xml:space="preserve">PURCHASE FINISHED GOODS (PRE-POWDERED) </t>
  </si>
  <si>
    <t>6000/002</t>
  </si>
  <si>
    <t xml:space="preserve">PURCHASE FINISHED GOODS (POWDER-FREE) </t>
  </si>
  <si>
    <t>6000/003</t>
  </si>
  <si>
    <t xml:space="preserve">PURCHASE FINISHED GOODS (PF/NITRILE) </t>
  </si>
  <si>
    <t>6000/004</t>
  </si>
  <si>
    <t xml:space="preserve">PURCHASE FINISHED GOODS -PF/CHROLINATION </t>
  </si>
  <si>
    <t>6000/050</t>
  </si>
  <si>
    <t>SHIPPING &amp; FORWARDING FEE - OUT SOURCE</t>
  </si>
  <si>
    <t>6000/051</t>
  </si>
  <si>
    <t>TRANSPORTATION OF PUCHASE - OUT SOURCE</t>
  </si>
  <si>
    <t>6000/052</t>
  </si>
  <si>
    <t>INSPECTION EXPENSE OF PURCHASE - OUT SOURCE</t>
  </si>
  <si>
    <t>60-00-00-0000</t>
  </si>
  <si>
    <t>COST OF PURCHASE TRADING (DIRECT AND CONSOLIDATED)</t>
  </si>
  <si>
    <t>60-00-10-8100</t>
  </si>
  <si>
    <t xml:space="preserve">PURCHASE OTHER TRADING </t>
  </si>
  <si>
    <t>Purchase Finished goods (Direct sale)</t>
  </si>
  <si>
    <t>6020/000</t>
  </si>
  <si>
    <t xml:space="preserve">OPENING STOCK - FG  - UNPACK </t>
  </si>
  <si>
    <t>6020/001</t>
  </si>
  <si>
    <t xml:space="preserve">OPENING STOCK - FG  - UNPACK-OUT-SOURCE </t>
  </si>
  <si>
    <t>6021/000</t>
  </si>
  <si>
    <t xml:space="preserve">CLOSING STOCK - FG - UNPACK </t>
  </si>
  <si>
    <t>6021/001</t>
  </si>
  <si>
    <t xml:space="preserve">CLOSING STOCK - FG  - UNPACK-OUT-SOURCE </t>
  </si>
  <si>
    <t>6030/000</t>
  </si>
  <si>
    <t xml:space="preserve">OPENING STOK - FG - PACKED </t>
  </si>
  <si>
    <t>6030/001</t>
  </si>
  <si>
    <t xml:space="preserve">OPENING STOK - FG - PACKED - OUT SOURCE </t>
  </si>
  <si>
    <t>6031/000</t>
  </si>
  <si>
    <t>CLOSING STOCK - FG - PACKED</t>
  </si>
  <si>
    <t>6031/001</t>
  </si>
  <si>
    <t xml:space="preserve">CLOSING STOCK - FG - PACKED - OUT SOURCE </t>
  </si>
  <si>
    <t>6050/001</t>
  </si>
  <si>
    <t>ADJUSTMENT FOR COST OF  GOOD SOLD</t>
  </si>
  <si>
    <t>Adjustments</t>
  </si>
  <si>
    <t>7000/111</t>
  </si>
  <si>
    <t xml:space="preserve">OPENING STOCK - LATEX </t>
  </si>
  <si>
    <t>7000/112</t>
  </si>
  <si>
    <t>PURCHASES - LATEX</t>
  </si>
  <si>
    <t>7000/113</t>
  </si>
  <si>
    <t xml:space="preserve">RETURNED - LATEX </t>
  </si>
  <si>
    <t>7000/114</t>
  </si>
  <si>
    <t xml:space="preserve">PURCHASES DISCOUNT -  LATEX </t>
  </si>
  <si>
    <t>7000/115</t>
  </si>
  <si>
    <t xml:space="preserve">CLOSING STOCK - LATEX </t>
  </si>
  <si>
    <t>7000/121</t>
  </si>
  <si>
    <t xml:space="preserve">OPENING STOCK - CHEMICAL </t>
  </si>
  <si>
    <t>PURCHASES - CHEMICAL</t>
  </si>
  <si>
    <t>7000/123</t>
  </si>
  <si>
    <t>IMPORT DUTY - CHEMICAL</t>
  </si>
  <si>
    <t>7000/124</t>
  </si>
  <si>
    <t>PURCHASES DISCOUNT - CHEMICAL</t>
  </si>
  <si>
    <t>Purchase Return</t>
  </si>
  <si>
    <t>7000/125</t>
  </si>
  <si>
    <t xml:space="preserve">CLOSING STOCK - CHEMICAL </t>
  </si>
  <si>
    <t>7000/130</t>
  </si>
  <si>
    <t>OPENING STOCK - SYNTHETIC LATEX</t>
  </si>
  <si>
    <t>PURCHASE SYNTHETICS LATEX</t>
  </si>
  <si>
    <t>7000/131-1</t>
  </si>
  <si>
    <t>IMPORT EXPENSES - SYNTHETICS LATEX</t>
  </si>
  <si>
    <t>7000/131-2</t>
  </si>
  <si>
    <t>PURCHASE DISCOUNT - SYNTHETIC LATEX</t>
  </si>
  <si>
    <t>7000/132</t>
  </si>
  <si>
    <t>CLOSING STOCK - SYNTHETIC LATEX</t>
  </si>
  <si>
    <t>7000/211</t>
  </si>
  <si>
    <t>DIRECT LABOUR - COMPOUND WAGES</t>
  </si>
  <si>
    <t>7000/212</t>
  </si>
  <si>
    <t>DIRECT LABOUR - COIMPOUND O/T</t>
  </si>
  <si>
    <t>7000/213</t>
  </si>
  <si>
    <t>DIRECT LABOUR - COMPOUND ALLOWANCE</t>
  </si>
  <si>
    <t>7000/214</t>
  </si>
  <si>
    <t>DIRECT LABOUR - COMPOUND SOCIAL SECURITY</t>
  </si>
  <si>
    <t>7000/215</t>
  </si>
  <si>
    <t>DIRECT LABOUR - COMPOUND BONUS</t>
  </si>
  <si>
    <t>7000/221</t>
  </si>
  <si>
    <t>DIRECT LABOUR - DIPPING LINE WAGES</t>
  </si>
  <si>
    <t>7000/222</t>
  </si>
  <si>
    <t>DIRECT LABOUR - DIPPING O/T</t>
  </si>
  <si>
    <t>7000/223</t>
  </si>
  <si>
    <t>DIRECT LABOUR - DIPPING ALLOWANCE</t>
  </si>
  <si>
    <t>7000/224</t>
  </si>
  <si>
    <t>DIRECT LABOUR - DIPPING SOCIAL SECURITY</t>
  </si>
  <si>
    <t>7000/225</t>
  </si>
  <si>
    <t xml:space="preserve">DIRECT LABOUR - DIPPING LINE BONUS </t>
  </si>
  <si>
    <t>7000/231</t>
  </si>
  <si>
    <t>DIRECT LABOUR - CHLORINATION WAGES</t>
  </si>
  <si>
    <t>7000/232</t>
  </si>
  <si>
    <t xml:space="preserve">DIRECT LABOUR - CHLORINATION O/T </t>
  </si>
  <si>
    <t>7000/233</t>
  </si>
  <si>
    <t xml:space="preserve">DIRECT LABOUR - CHLORINATION ALLOWANCE </t>
  </si>
  <si>
    <t>7000/234</t>
  </si>
  <si>
    <t xml:space="preserve">DIRECT LABOUR - CHLORINATION SOCIAL </t>
  </si>
  <si>
    <t>7000/241</t>
  </si>
  <si>
    <t>DIRECT LABOUR - PACKING WAGES</t>
  </si>
  <si>
    <t>7000/242</t>
  </si>
  <si>
    <t>DIRECT LABOUR - PACKING O/T</t>
  </si>
  <si>
    <t>7000/243</t>
  </si>
  <si>
    <t>DIRECT LABOUR - PACKING ALLOWANCE</t>
  </si>
  <si>
    <t>7000/244</t>
  </si>
  <si>
    <t>DIRECT LABOUR - PACKING SOCIAL</t>
  </si>
  <si>
    <t>7000/245</t>
  </si>
  <si>
    <t>DIRECT LABOUR - PACKING CONTRACT</t>
  </si>
  <si>
    <t>7000/246</t>
  </si>
  <si>
    <t>DIRECT LABOUR - REWORK GLOVES</t>
  </si>
  <si>
    <t>7000/247</t>
  </si>
  <si>
    <t>DIRECT LABOUR - PACKING BONUS</t>
  </si>
  <si>
    <t>7000/251</t>
  </si>
  <si>
    <t>DIRECT LABOUR - MAINTENANCE WAGES</t>
  </si>
  <si>
    <t>7000/252</t>
  </si>
  <si>
    <t>DIRECT LABOUR - MAINTENANCE O/T</t>
  </si>
  <si>
    <t>7000/253</t>
  </si>
  <si>
    <t>DIRECT LABOUR - MAINTENANCE ALLOWANCE</t>
  </si>
  <si>
    <t>7000/254</t>
  </si>
  <si>
    <t>DIRECT LABOUR - MAINTENANCE SOCIAL</t>
  </si>
  <si>
    <t>7000/255</t>
  </si>
  <si>
    <t>DIRECT LABOUR - MAINTENANCE BONUS</t>
  </si>
  <si>
    <t>7000/261</t>
  </si>
  <si>
    <t>DIRECT LABOUR - LAB WAGES</t>
  </si>
  <si>
    <t>7000/262</t>
  </si>
  <si>
    <t>DIRECT LABOUR - LAB O/T</t>
  </si>
  <si>
    <t>7000/263</t>
  </si>
  <si>
    <t>DIRECT LABOUR - LAB SPECIAL ALLOWANCE</t>
  </si>
  <si>
    <t>7000/264</t>
  </si>
  <si>
    <t>DIRECT LABOUR - LAB SOCIAL SECURITY</t>
  </si>
  <si>
    <t>7000/265</t>
  </si>
  <si>
    <t>DIRECT LABOUR - LAB BONUS</t>
  </si>
  <si>
    <t>7000/271</t>
  </si>
  <si>
    <t>DIRECT LABOUR - QA WAGES</t>
  </si>
  <si>
    <t>7000/272</t>
  </si>
  <si>
    <t>DIRECT LABOUR - QA O/T</t>
  </si>
  <si>
    <t>7000/273</t>
  </si>
  <si>
    <t>DIRECT LABOUR - QA SPECIAL ALLOWANCE</t>
  </si>
  <si>
    <t>7000/274</t>
  </si>
  <si>
    <t>DIRECT LABOUR - QA SOCIAL SECURITY</t>
  </si>
  <si>
    <t>7000/275</t>
  </si>
  <si>
    <t>DIRECT LABOUR - QA BONUS</t>
  </si>
  <si>
    <t>7000/281</t>
  </si>
  <si>
    <t>DIRECT LABOUR - STORE &amp; WAREHOUSE WAGES</t>
  </si>
  <si>
    <t>7000/282</t>
  </si>
  <si>
    <t>DIRECT LABOUR - STORE &amp; WAREHOUSE O/T</t>
  </si>
  <si>
    <t>7000/283</t>
  </si>
  <si>
    <t>DIRECT LABOUR - STORE &amp; WAREHOUSE SPECIAL ALLOWANCE</t>
  </si>
  <si>
    <t>7000/284</t>
  </si>
  <si>
    <t>DIRECT LABOUR - STORE &amp; WAREHOUSE SOCIAL SECURITY</t>
  </si>
  <si>
    <t>7000/285</t>
  </si>
  <si>
    <t>DIRECT LABOUR - STORE &amp; WAREHOUSE BONUS</t>
  </si>
  <si>
    <t>7000/302</t>
  </si>
  <si>
    <t xml:space="preserve">OPENING STOCK - CHARCOAL </t>
  </si>
  <si>
    <t>7000/303</t>
  </si>
  <si>
    <t xml:space="preserve">PURCHASES - PURCHASE CHARCOAL </t>
  </si>
  <si>
    <t>7000/304</t>
  </si>
  <si>
    <t xml:space="preserve">CLOSING STOCK - CHARCOAL </t>
  </si>
  <si>
    <t>7000/321</t>
  </si>
  <si>
    <t xml:space="preserve">OPENING STOCK - COAL </t>
  </si>
  <si>
    <t>7000/322</t>
  </si>
  <si>
    <t xml:space="preserve">PURCHASES - COAL </t>
  </si>
  <si>
    <t>7000/323</t>
  </si>
  <si>
    <t xml:space="preserve">EXPENSES FOR COAL </t>
  </si>
  <si>
    <t>7000/324</t>
  </si>
  <si>
    <t xml:space="preserve">CLOSING STOCK - COAL </t>
  </si>
  <si>
    <t>7000/331</t>
  </si>
  <si>
    <t xml:space="preserve">OPENING STOCK - WOOD CHIP </t>
  </si>
  <si>
    <t>7000/332</t>
  </si>
  <si>
    <t>PURCHASES WOOD CHIP</t>
  </si>
  <si>
    <t>7000/332-1</t>
  </si>
  <si>
    <t>DISCOUNT WOOD CHIP</t>
  </si>
  <si>
    <t>7000/333</t>
  </si>
  <si>
    <t xml:space="preserve">CLOSING STOCK - WOOD CHIP </t>
  </si>
  <si>
    <t>7000/341</t>
  </si>
  <si>
    <t xml:space="preserve">OPENING STOCK - PALM SHELL </t>
  </si>
  <si>
    <t>7000/342</t>
  </si>
  <si>
    <t>PURCHASES - PALM SHELL</t>
  </si>
  <si>
    <t>7000/342-1</t>
  </si>
  <si>
    <t>DISCOUNT - PALM SHELL</t>
  </si>
  <si>
    <t>7000/343</t>
  </si>
  <si>
    <t xml:space="preserve">CLOSING STOCK - PALM SHELL </t>
  </si>
  <si>
    <t>7000/345</t>
  </si>
  <si>
    <t xml:space="preserve">OPENING STOCK - FIBER </t>
  </si>
  <si>
    <t>7000/346</t>
  </si>
  <si>
    <t>PURCHASE - FIBER</t>
  </si>
  <si>
    <t>7000/346-1</t>
  </si>
  <si>
    <t>DISCOUNT - FIBER</t>
  </si>
  <si>
    <t>7000/347</t>
  </si>
  <si>
    <t xml:space="preserve">CLOSING STOCK - FIBER </t>
  </si>
  <si>
    <t>7000/354</t>
  </si>
  <si>
    <t xml:space="preserve">OPENING STOCK - FIBER MIX WITH PKS </t>
  </si>
  <si>
    <t>7000/355</t>
  </si>
  <si>
    <t xml:space="preserve">PURCHASES - FIBER MIX WITH PKS </t>
  </si>
  <si>
    <t>7000/356</t>
  </si>
  <si>
    <t xml:space="preserve">CLOSING STOCK - FIBER MIX WITH PKS </t>
  </si>
  <si>
    <t>7000/357</t>
  </si>
  <si>
    <t xml:space="preserve">OPENING STOCK - EMPTY FRUIT BUCH PALM </t>
  </si>
  <si>
    <t>7000/358</t>
  </si>
  <si>
    <t xml:space="preserve">PURCHASES - EMPTY FRUIT BUNCH OF PALM </t>
  </si>
  <si>
    <t>7000/359</t>
  </si>
  <si>
    <t xml:space="preserve">CLOSING STOCK - EMPTY FRUIT BUCH PALM </t>
  </si>
  <si>
    <t>7000/360</t>
  </si>
  <si>
    <t xml:space="preserve">PACKING MATERIAL  USED </t>
  </si>
  <si>
    <t>7000/361</t>
  </si>
  <si>
    <t xml:space="preserve">OPENING STOCK - PACKING MATERIAL </t>
  </si>
  <si>
    <t>7000/362</t>
  </si>
  <si>
    <t>PURCHASES - PACKING MATERIAL</t>
  </si>
  <si>
    <t>7000/362-1</t>
  </si>
  <si>
    <t>PURCHASE - STICKER FOR PACKING MATERIAL</t>
  </si>
  <si>
    <t>7000/362-2</t>
  </si>
  <si>
    <t>DISCOUNT-PACKING MATERIAL</t>
  </si>
  <si>
    <t>7000/363</t>
  </si>
  <si>
    <t xml:space="preserve">CLOSING STOCK - PACKING MATERIAL </t>
  </si>
  <si>
    <t>7000/381</t>
  </si>
  <si>
    <t xml:space="preserve">OPENING STOCK - OTHER SUPPLIER </t>
  </si>
  <si>
    <t>7000/382</t>
  </si>
  <si>
    <t>PURCHASES OTHER SUPPLIES</t>
  </si>
  <si>
    <t>7000/383</t>
  </si>
  <si>
    <t xml:space="preserve">CLOSING STOCK - OTHER SUPPLIERS </t>
  </si>
  <si>
    <t>7000/384</t>
  </si>
  <si>
    <t xml:space="preserve">OPENING STOCK-DIESEL </t>
  </si>
  <si>
    <t>7000/385</t>
  </si>
  <si>
    <t>PURCHASES DIESEL</t>
  </si>
  <si>
    <t>7000/386</t>
  </si>
  <si>
    <t xml:space="preserve">CLOSING STOCK-DIESEL </t>
  </si>
  <si>
    <t>7000/387</t>
  </si>
  <si>
    <t xml:space="preserve">OPENING STOCK-PLASTIC BAG </t>
  </si>
  <si>
    <t>7000/388</t>
  </si>
  <si>
    <t>PURCHASES PLASTIC BAG</t>
  </si>
  <si>
    <t>7000/389</t>
  </si>
  <si>
    <t xml:space="preserve">CLOSING STOCK-PLASTIC BAG </t>
  </si>
  <si>
    <t>7000/390</t>
  </si>
  <si>
    <t xml:space="preserve">OPENING STOCK-STRING </t>
  </si>
  <si>
    <t>7000/391</t>
  </si>
  <si>
    <t>PURCHASES STRING</t>
  </si>
  <si>
    <t>7000/392</t>
  </si>
  <si>
    <t xml:space="preserve">CLOSING STOCK-STRING </t>
  </si>
  <si>
    <t>7000/393</t>
  </si>
  <si>
    <t xml:space="preserve">OPENING STOCK-OPP TAPE </t>
  </si>
  <si>
    <t>7000/394</t>
  </si>
  <si>
    <t>PURCHASES OPP TAPE</t>
  </si>
  <si>
    <t>7000/395</t>
  </si>
  <si>
    <t xml:space="preserve">CLOSING STOCK-OPP TAPE </t>
  </si>
  <si>
    <t>7000/396</t>
  </si>
  <si>
    <t xml:space="preserve">OPENING STOCK-WHITE CLOTH </t>
  </si>
  <si>
    <t>7000/397</t>
  </si>
  <si>
    <t>PURCHASES WHITE CLOTH</t>
  </si>
  <si>
    <t>7000/398</t>
  </si>
  <si>
    <t xml:space="preserve">CLOSING STOCK-WHITE CLOTH </t>
  </si>
  <si>
    <t>7000/399</t>
  </si>
  <si>
    <t xml:space="preserve">OPENING STOCK-CHEMICAL OF LAB </t>
  </si>
  <si>
    <t>7000/400</t>
  </si>
  <si>
    <t>PURCHASE CHEMICAL OF LAB</t>
  </si>
  <si>
    <t>7000/401</t>
  </si>
  <si>
    <t xml:space="preserve">CLOSING STOCK-CHEMICAL OF LAB </t>
  </si>
  <si>
    <t>7000/402</t>
  </si>
  <si>
    <t xml:space="preserve">OPENING STOCK-SALT </t>
  </si>
  <si>
    <t>7000/403</t>
  </si>
  <si>
    <t>PURCHASE SALT</t>
  </si>
  <si>
    <t>7000/404</t>
  </si>
  <si>
    <t xml:space="preserve">CLOSING STOCK-SALT </t>
  </si>
  <si>
    <t>7000/490</t>
  </si>
  <si>
    <t xml:space="preserve">OPENING STOCK-SPARE PART OF FORMER </t>
  </si>
  <si>
    <t>7000/491</t>
  </si>
  <si>
    <t>PURCHASE SPARE PART OF FORMER</t>
  </si>
  <si>
    <t>7000/492</t>
  </si>
  <si>
    <t xml:space="preserve">CLOSING STOCK-SPARE PART OF FORMER </t>
  </si>
  <si>
    <t>7000/495</t>
  </si>
  <si>
    <t xml:space="preserve">OPENING STOCK-SPARE PART OF ENGINEERING </t>
  </si>
  <si>
    <t>7000/496</t>
  </si>
  <si>
    <t>PURCHASE SPARE PART OF ENGINEERING</t>
  </si>
  <si>
    <t>7000/496-1</t>
  </si>
  <si>
    <t>DISCOUNT OF SPARE PART OF ENGINEERING</t>
  </si>
  <si>
    <t>7000/497</t>
  </si>
  <si>
    <t xml:space="preserve">CLOSING STOCK-SPARE PART OF ENGINEERING </t>
  </si>
  <si>
    <t>7000/501</t>
  </si>
  <si>
    <t xml:space="preserve">OPENING STOCK- SUPPLIES OF WAREHOUSE </t>
  </si>
  <si>
    <t>7000/502</t>
  </si>
  <si>
    <t>PURCHASE SUPPLIES OF WAREHOUSE</t>
  </si>
  <si>
    <t>7000/503</t>
  </si>
  <si>
    <t xml:space="preserve">CLOSING STOCK - SUPPLIES OF WAREHOUSE </t>
  </si>
  <si>
    <t>7000/505</t>
  </si>
  <si>
    <t>PUCHASE CHEMICAL FOR R&amp;D</t>
  </si>
  <si>
    <t>7000/510</t>
  </si>
  <si>
    <t>PURCHASE CHEMICAL OF WATER</t>
  </si>
  <si>
    <t>7000/511</t>
  </si>
  <si>
    <t>OH - SALARY</t>
  </si>
  <si>
    <t>7000/512</t>
  </si>
  <si>
    <t>OH - WAGES</t>
  </si>
  <si>
    <t>7000/513</t>
  </si>
  <si>
    <t>OH - OVERTIMES</t>
  </si>
  <si>
    <t>7000/514</t>
  </si>
  <si>
    <t>OH - ALLOWANCE</t>
  </si>
  <si>
    <t>7000/515</t>
  </si>
  <si>
    <t xml:space="preserve">OH - MEDICAL </t>
  </si>
  <si>
    <t>7000/516</t>
  </si>
  <si>
    <t>OH - SOCIAL SECURITY</t>
  </si>
  <si>
    <t>7000/517</t>
  </si>
  <si>
    <t xml:space="preserve">OH - COMPENSATION FUND </t>
  </si>
  <si>
    <t>7000/518</t>
  </si>
  <si>
    <t>OH - EMPLOYEE WELFARE</t>
  </si>
  <si>
    <t>7000/519</t>
  </si>
  <si>
    <t>OH - TRAINING AND SEMINAR</t>
  </si>
  <si>
    <t>7000/520</t>
  </si>
  <si>
    <t xml:space="preserve">OH - COMMISSION FOR SOURCE WORKER </t>
  </si>
  <si>
    <t>7000/521</t>
  </si>
  <si>
    <t>OH - TRAVELLING</t>
  </si>
  <si>
    <t>7000/522</t>
  </si>
  <si>
    <t xml:space="preserve">OH - COMPENSATION FUND FOR EMPLOYEE </t>
  </si>
  <si>
    <t>7000/523</t>
  </si>
  <si>
    <t>OH - SEVERANCE PAY</t>
  </si>
  <si>
    <t>7000/524</t>
  </si>
  <si>
    <t>OH - BONUS</t>
  </si>
  <si>
    <t>7000/525</t>
  </si>
  <si>
    <t>OH - FUNERAL EMPLOYEE RELATIVE</t>
  </si>
  <si>
    <t>7000/526</t>
  </si>
  <si>
    <t>OH - EXPENSE OF COVID-19 PREVENTION</t>
  </si>
  <si>
    <t>7000/531</t>
  </si>
  <si>
    <t>OH - PIPE WATER</t>
  </si>
  <si>
    <t>7000/532</t>
  </si>
  <si>
    <t>OH - ELECTRICITY</t>
  </si>
  <si>
    <t>7000/532-1</t>
  </si>
  <si>
    <t>OH - ELECTRICITY (SAND POND OUTSIDE)</t>
  </si>
  <si>
    <t>7000/533</t>
  </si>
  <si>
    <t xml:space="preserve">OH - STAMP AND POSTAGE </t>
  </si>
  <si>
    <t>7000/541</t>
  </si>
  <si>
    <t xml:space="preserve">OH - R&amp;M BUILDING AND CONSTRUCTION </t>
  </si>
  <si>
    <t>7000/542</t>
  </si>
  <si>
    <t xml:space="preserve">OH - R&amp;M BUILDING - ROOF </t>
  </si>
  <si>
    <t>7000/543</t>
  </si>
  <si>
    <t xml:space="preserve">OH - R&amp;M BUILDING - WALL </t>
  </si>
  <si>
    <t>7000/544</t>
  </si>
  <si>
    <t xml:space="preserve">OH - R&amp;M BUILDING - FLOOR </t>
  </si>
  <si>
    <t>7000/545</t>
  </si>
  <si>
    <t xml:space="preserve">OH - R&amp;M LAND IMPROVEMENTS </t>
  </si>
  <si>
    <t>7000/546</t>
  </si>
  <si>
    <t xml:space="preserve">OH - R&amp;M BUILDING IMPROVEMENTS </t>
  </si>
  <si>
    <t>7000/550</t>
  </si>
  <si>
    <t>OH - R&amp;M MACHINERY AND FACTORY EQUIPMENT</t>
  </si>
  <si>
    <t>7000/551</t>
  </si>
  <si>
    <t xml:space="preserve">OH - R&amp;M MAC.&amp;EQUIPMENT- AIR CONDITION </t>
  </si>
  <si>
    <t>7000/552</t>
  </si>
  <si>
    <t xml:space="preserve">OH - R&amp;M MAC.&amp;EQUIPMENT- PRINTING OF PAC </t>
  </si>
  <si>
    <t>7000/553</t>
  </si>
  <si>
    <t>OH - R&amp;M MAC.&amp;EQUIPMENT- COMPUTER&amp;PRINTE</t>
  </si>
  <si>
    <t>7000/554</t>
  </si>
  <si>
    <t xml:space="preserve">OH - R&amp;M MAC.&amp;EQUIPMENT- LAB/QA EQUIPMEN </t>
  </si>
  <si>
    <t>7000/555</t>
  </si>
  <si>
    <t xml:space="preserve">OH - R&amp;M MAC.&amp;EQUIPMENT- WEIGHTING </t>
  </si>
  <si>
    <t>7000/556</t>
  </si>
  <si>
    <t>OH - R&amp;M MAC.&amp;EQUIPMENT- TOH</t>
  </si>
  <si>
    <t>7000/557</t>
  </si>
  <si>
    <t xml:space="preserve">OH - R&amp;M MAC.&amp;EQUIPMENT- GAS </t>
  </si>
  <si>
    <t>7000/563</t>
  </si>
  <si>
    <t>OH - R&amp;M FORKLIFT EXPENSES</t>
  </si>
  <si>
    <t>7000/564</t>
  </si>
  <si>
    <t xml:space="preserve">OH - R&amp;M KUBOTA EXPENSES/WHEEL LOADER </t>
  </si>
  <si>
    <t>7000/565</t>
  </si>
  <si>
    <t>OH - RENTAL MACHINERY &amp; EQUIPMENT</t>
  </si>
  <si>
    <t>7000/566</t>
  </si>
  <si>
    <t>OH - RENTAL JCB (REMOVE ASH)</t>
  </si>
  <si>
    <t>7000/567</t>
  </si>
  <si>
    <t>OH - RENTAL JCB FOR MIX ENERGY</t>
  </si>
  <si>
    <t>7000/568</t>
  </si>
  <si>
    <t>OH - RENTAL FORKLIFT / CRANE</t>
  </si>
  <si>
    <t>7000/569</t>
  </si>
  <si>
    <t>OH - RENTAL CONTAINER</t>
  </si>
  <si>
    <t>7000/571</t>
  </si>
  <si>
    <t>OH - DEPRECIATION LAND IMPROVEMENTS</t>
  </si>
  <si>
    <t>7000/572</t>
  </si>
  <si>
    <t>OH - DEPRECIATION BUILDINGS&amp;CONSTRUCTION</t>
  </si>
  <si>
    <t>7000/573</t>
  </si>
  <si>
    <t>OH - DEPRECIATION BUILDING IMPROVEMENTS</t>
  </si>
  <si>
    <t>7000/574</t>
  </si>
  <si>
    <t>OH - DEPRECIATION MACHINERY&amp;FACTORY EQIPMENT</t>
  </si>
  <si>
    <t>7000/575</t>
  </si>
  <si>
    <t>OH - DEPRECIATION FACTORY EQUIPMENT</t>
  </si>
  <si>
    <t>7000/576</t>
  </si>
  <si>
    <t>OH - DEPRECIATION MACHINE (BOI.1382)</t>
  </si>
  <si>
    <t>7000/577</t>
  </si>
  <si>
    <t>OH - DEPRECIATION EQUIPMENT (BOI.1382)</t>
  </si>
  <si>
    <t>7000/579-1</t>
  </si>
  <si>
    <t>OH - DEPRECIATION LAND IMPROVEMENTS IMPAIRMENT</t>
  </si>
  <si>
    <t>7000/579-2</t>
  </si>
  <si>
    <t>OH - DEPRECIATION BUILDINGS&amp;CONSTRUCTION IMPAIRMEN</t>
  </si>
  <si>
    <t>7000/579-3</t>
  </si>
  <si>
    <t>OH - DEPRECIATION BUILDING IMPROVEMENTS IMPAIRMENT</t>
  </si>
  <si>
    <t>7000/579-4</t>
  </si>
  <si>
    <t>OH - DEPRECIATION MACHINERY&amp;FACTORY EQIPMENTIMPAIR</t>
  </si>
  <si>
    <t>7000/579-5</t>
  </si>
  <si>
    <t>OH - DEPRECIATION FACTORY EQUIPMENT IMPAIRMENT</t>
  </si>
  <si>
    <t>7000/579-6</t>
  </si>
  <si>
    <t>OH - DEPRECIATION MACHINE (BOI.1382) IMPAIRMENT</t>
  </si>
  <si>
    <t>7000/579-7</t>
  </si>
  <si>
    <t>OH - DEPRECIATION EQUIPMENT (BOI.1382) IMPAIRMENT</t>
  </si>
  <si>
    <t>7000/581</t>
  </si>
  <si>
    <t xml:space="preserve">OH - FACTORY EQUIPMENT/SUPPLIES </t>
  </si>
  <si>
    <t>7000/582</t>
  </si>
  <si>
    <t>OH - FACTORY INSURANCE</t>
  </si>
  <si>
    <t>7000/583</t>
  </si>
  <si>
    <t xml:space="preserve">OH - MACHINERY &amp; CAR INSURANCE </t>
  </si>
  <si>
    <t>7000/584</t>
  </si>
  <si>
    <t>OH - STATIONERY AND PRINTING</t>
  </si>
  <si>
    <t>7000/585</t>
  </si>
  <si>
    <t xml:space="preserve">OH - GASOLINE </t>
  </si>
  <si>
    <t>7000/586</t>
  </si>
  <si>
    <t>OH - IMPORT DUTY</t>
  </si>
  <si>
    <t>7000/587</t>
  </si>
  <si>
    <t xml:space="preserve">OH - OTHER CONSUMABLE </t>
  </si>
  <si>
    <t>7000/588</t>
  </si>
  <si>
    <t>OH - CALABRATE SERVICE</t>
  </si>
  <si>
    <t>7000/589</t>
  </si>
  <si>
    <t>OH - WATER TREATMENT EXPENSES</t>
  </si>
  <si>
    <t>7000/590</t>
  </si>
  <si>
    <t>OH - SOLD CHEMICAL &amp;  PACKING MATERIAL/WRITE OFF</t>
  </si>
  <si>
    <t>7000/591</t>
  </si>
  <si>
    <t>OH - LOSS ON DISPOSAL OF FIXED ASSETS</t>
  </si>
  <si>
    <t>7000/592</t>
  </si>
  <si>
    <t xml:space="preserve">OH - CONTAINER EXPENSE </t>
  </si>
  <si>
    <t>7000/593</t>
  </si>
  <si>
    <t>OH - TRANSPORT / SHIPPING EXPENSES</t>
  </si>
  <si>
    <t>7000/600</t>
  </si>
  <si>
    <t xml:space="preserve">OH - MISCELLANEOUS EXPENSES </t>
  </si>
  <si>
    <t>7000/601</t>
  </si>
  <si>
    <t>OH - SAFETY EXPENSE</t>
  </si>
  <si>
    <t>7000/602</t>
  </si>
  <si>
    <t>OH - TESTING EXPENSE</t>
  </si>
  <si>
    <t>7000/603</t>
  </si>
  <si>
    <t xml:space="preserve">OH - MANAGEMENT FEE OF PP&amp;E </t>
  </si>
  <si>
    <t>7000/604</t>
  </si>
  <si>
    <t>OH - DISPOSE SLUDGE AND SCRAP</t>
  </si>
  <si>
    <t>7000/605</t>
  </si>
  <si>
    <t>OH - RECRUITMENT EXPENSES</t>
  </si>
  <si>
    <t>7000/606</t>
  </si>
  <si>
    <t>OH - SERVICE FEE</t>
  </si>
  <si>
    <t>7000/700</t>
  </si>
  <si>
    <t>OH - LOSS FROM NET REALIZABLE VALUE</t>
  </si>
  <si>
    <t>7000/701</t>
  </si>
  <si>
    <t>OH - LOSS FROM SCRAP LATEX &amp; CHEMICAL COMPOUND</t>
  </si>
  <si>
    <t>7000/800</t>
  </si>
  <si>
    <t>OPENING STOCK - WORK IN PROGRESS (RAW MATERIAL)</t>
  </si>
  <si>
    <t>7000/850</t>
  </si>
  <si>
    <t>CLOSING STOCK - WORK IN PROGRESS (RAW MATERIAL)</t>
  </si>
  <si>
    <t>70-00-00-0000</t>
  </si>
  <si>
    <t xml:space="preserve">SELLING &amp; ADMINSTRATIVE EXPENSES </t>
  </si>
  <si>
    <t>70-10-00-9100</t>
  </si>
  <si>
    <t>SALARY .</t>
  </si>
  <si>
    <t>Employee expenses (PL - ADM EXP)</t>
  </si>
  <si>
    <t>70-20-00-9200</t>
  </si>
  <si>
    <t xml:space="preserve">SELLING AND PROMOTION EXPENSES </t>
  </si>
  <si>
    <t>Freight and Shipping fee</t>
  </si>
  <si>
    <t>70-20-00-9201</t>
  </si>
  <si>
    <t>SELLING AND PROMOTION EXPENSES (Commission)</t>
  </si>
  <si>
    <t>Commission of sale</t>
  </si>
  <si>
    <t>70-20-01-9200</t>
  </si>
  <si>
    <t>OTHER SELLING AND PROMOTION EXPENSES</t>
  </si>
  <si>
    <t>Marketing cost</t>
  </si>
  <si>
    <t>70-30-00-9200</t>
  </si>
  <si>
    <t>SELLING AND PROMOTION EXPENSES OF NBR PRODUCTS</t>
  </si>
  <si>
    <t>70-30-00-9201</t>
  </si>
  <si>
    <t>SELLING AND PROMOTION EXPENSES OF NBR PRODUCTS (COMMISSION)</t>
  </si>
  <si>
    <t>70-30-00-9202</t>
  </si>
  <si>
    <t>OTHER SELLING AND PROMOTION EXPENSES - NBR</t>
  </si>
  <si>
    <t>OTHER EXPENSES</t>
  </si>
  <si>
    <t>Profit &amp; Loss</t>
  </si>
  <si>
    <t>70-40-00-9300</t>
  </si>
  <si>
    <t xml:space="preserve">SELLING AND ADMINISTRATIVE - UTILITIES </t>
  </si>
  <si>
    <t>70-40-01-9300</t>
  </si>
  <si>
    <t>COMMUNICATION &amp; POSTAGE EXPENSES</t>
  </si>
  <si>
    <t>Utilities (PL - ADM EXP)</t>
  </si>
  <si>
    <t>70-40-02-9400</t>
  </si>
  <si>
    <t xml:space="preserve">SELLING AND ADMINSTRATIVE -REPAIR&amp;UPKEEP </t>
  </si>
  <si>
    <t>Repair &amp; Maintenance (PL - ADM EXP)</t>
  </si>
  <si>
    <t>70-40-03-9500</t>
  </si>
  <si>
    <t>SELLING AND ADMINISTRATIVE - DEPRECIATION</t>
  </si>
  <si>
    <t>Depreciation</t>
  </si>
  <si>
    <t>70-40-03-9550</t>
  </si>
  <si>
    <t>SELLING AND ADMINISTRATIVE - DEPRECIATION - NBR</t>
  </si>
  <si>
    <t>SELLING AND ADMINISTRATIVE EXPENSES (NBR)</t>
  </si>
  <si>
    <t>70-40-04-9600</t>
  </si>
  <si>
    <t xml:space="preserve">SELLING AND ADMINISTRATIVE - OTHER EXP. </t>
  </si>
  <si>
    <t>Other expenses (PL - ADM EXP)</t>
  </si>
  <si>
    <t>70-50-00-0000</t>
  </si>
  <si>
    <t>70-50-00-9100</t>
  </si>
  <si>
    <t>SALARY (SAL)</t>
  </si>
  <si>
    <t>70-50-00-9300</t>
  </si>
  <si>
    <t>SELLING AND ADMINISTRATIVE (NBR)</t>
  </si>
  <si>
    <t>70-50-01-9300</t>
  </si>
  <si>
    <t>COMMUNICATION &amp; POSTAGE EXPENSES(NBR)</t>
  </si>
  <si>
    <t>70-50-02-9400</t>
  </si>
  <si>
    <t>SELLING AND ADMINSTRATIVE -REPAIR&amp;UPKEEP (NBR)</t>
  </si>
  <si>
    <t>70-50-03-9500</t>
  </si>
  <si>
    <t>SELLING AND ADMINISTRATIVE-DEPRECIATION (NBR)</t>
  </si>
  <si>
    <t>70-50-04-9600</t>
  </si>
  <si>
    <t>SELLING AND ADMINISTRATIVE - OTHER EXP. (NBR)</t>
  </si>
  <si>
    <t>80-00-00-0000</t>
  </si>
  <si>
    <t xml:space="preserve">OTHER INCOME AND OTHER EXPENSES </t>
  </si>
  <si>
    <t>80-10-00-9700</t>
  </si>
  <si>
    <t>OTHER INCOME-</t>
  </si>
  <si>
    <t>80-10-01-9700</t>
  </si>
  <si>
    <t>INTEREST INCOME</t>
  </si>
  <si>
    <t>Interest Income (PL - OTH INCM)</t>
  </si>
  <si>
    <t>80-10-02-9700</t>
  </si>
  <si>
    <t>OTHER  INCOME</t>
  </si>
  <si>
    <t>Other Income  (PL - OTH INCM)</t>
  </si>
  <si>
    <t>80-10-02-9701</t>
  </si>
  <si>
    <t>GAIN ON DISPOSAL OF FIXED ASSETS.</t>
  </si>
  <si>
    <t>80-10-02-9702</t>
  </si>
  <si>
    <t>DEFERRED TAX REVENUE</t>
  </si>
  <si>
    <t>80-10-02-9703</t>
  </si>
  <si>
    <t>GAIN ON DISPOSAL OF FIXED ASSETS (INCOME)</t>
  </si>
  <si>
    <t>80-10-03-9700</t>
  </si>
  <si>
    <t>OTHER INCOME-TRADING</t>
  </si>
  <si>
    <t>Gain of Exchange rate of Trading</t>
  </si>
  <si>
    <t>G/L / Adj(S)</t>
  </si>
  <si>
    <t>80-20-00-9720</t>
  </si>
  <si>
    <t xml:space="preserve">OTHER EXPENSES </t>
  </si>
  <si>
    <t>80-20-01-9720</t>
  </si>
  <si>
    <t>LOSS ON DISPOSAL OF MARKETABLE SECURITES</t>
  </si>
  <si>
    <t>Other Expense (PL - OTH EXP)</t>
  </si>
  <si>
    <t>80-20-02-9800</t>
  </si>
  <si>
    <t>SHARE OF  P&amp;L FROM INVESTMENS ACCOUNTED FOR UNDER EQUITY</t>
  </si>
  <si>
    <t>Share of P&amp;L from Investments account</t>
  </si>
  <si>
    <t>80-20-03-9900</t>
  </si>
  <si>
    <t>INTERST EXPENSES</t>
  </si>
  <si>
    <t>Interest - CIMB (Short term)</t>
  </si>
  <si>
    <t>80-20-03-9901</t>
  </si>
  <si>
    <t>INTEREST OF SHORT TERM LOAN</t>
  </si>
  <si>
    <t>80-20-03-9902</t>
  </si>
  <si>
    <t>INTEREST OF LOAN OF RELATED COMPANY</t>
  </si>
  <si>
    <t>80-20-03-9903</t>
  </si>
  <si>
    <t>INTEREST OF LOAN OF LONG TERM LOAN</t>
  </si>
  <si>
    <t>80-20-03-9904</t>
  </si>
  <si>
    <t>INTEREST OF OTHER</t>
  </si>
  <si>
    <t>80-20-04-9900</t>
  </si>
  <si>
    <t>OTHER  EXPENSES-</t>
  </si>
  <si>
    <t>Other Expenses  (PL - OTH EXP)</t>
  </si>
  <si>
    <t>80-20-04-9901</t>
  </si>
  <si>
    <t>CORPORATE INCOME TAX - EXPENSE</t>
  </si>
  <si>
    <t>80-20-04-9902</t>
  </si>
  <si>
    <t>OTH EXPENSES</t>
  </si>
  <si>
    <t>80-20-04-9903</t>
  </si>
  <si>
    <t>DEFERRED TAX EXPENSES</t>
  </si>
  <si>
    <t>80-20-04-9904</t>
  </si>
  <si>
    <t>LOSS ON DISPOSAL OF FIXED ASSETS-FORMER</t>
  </si>
  <si>
    <t>80-30-00-9900</t>
  </si>
  <si>
    <t xml:space="preserve">EXPENSES OF TRADING (NON BOI) </t>
  </si>
  <si>
    <t>80-30-01-9900</t>
  </si>
  <si>
    <t xml:space="preserve">SELLING DISTRIBUTION - NON BOI </t>
  </si>
  <si>
    <t>80-30-01-9901</t>
  </si>
  <si>
    <t>COMMISSION OF SALE (NON BOI)</t>
  </si>
  <si>
    <t>EXPENSES OF TRADING (NON BOI)</t>
  </si>
  <si>
    <t>80-30-02-9900</t>
  </si>
  <si>
    <t xml:space="preserve">LABOUR AND SARARY (NON BOI) </t>
  </si>
  <si>
    <t>80-30-03-9900</t>
  </si>
  <si>
    <t xml:space="preserve">PACKING MATERIAL (NON BOI) </t>
  </si>
  <si>
    <t>Packaging material (PL - COST PURCH GLOVE)</t>
  </si>
  <si>
    <t>80-30-04-9900</t>
  </si>
  <si>
    <t xml:space="preserve">FINANCE COST (NON BOI) </t>
  </si>
  <si>
    <t>80-30-05-9900</t>
  </si>
  <si>
    <t xml:space="preserve">GAIN/(LOSS) OF EXCHANGE RATE - NON BOI </t>
  </si>
  <si>
    <t>Loss of Exchange rate of Trading</t>
  </si>
  <si>
    <t>80-30-06-9900</t>
  </si>
  <si>
    <t xml:space="preserve">EXPENSES OF TRADING </t>
  </si>
  <si>
    <t>Other expenses of Trading</t>
  </si>
  <si>
    <t>80-50-00-9700</t>
  </si>
  <si>
    <t>OTHER INCOME - NBR</t>
  </si>
  <si>
    <t>OTHER INCOME AND OTHER EXPENSES - NBR</t>
  </si>
  <si>
    <t>80-50-01-9700</t>
  </si>
  <si>
    <t>INTEREST INCOME - NBR</t>
  </si>
  <si>
    <t>80-50-01-9710</t>
  </si>
  <si>
    <t>OTHER INCOME - NBR.</t>
  </si>
  <si>
    <t>80-50-02-0001</t>
  </si>
  <si>
    <t>GAIN/(LOSS) OF MARKETABLE SECURITES - NBR</t>
  </si>
  <si>
    <t>OTHER EXPENSES -NBR</t>
  </si>
  <si>
    <t>80-50-03-9901</t>
  </si>
  <si>
    <t>INTERST EXPENSES - NBR</t>
  </si>
  <si>
    <t>80-50-04-9900</t>
  </si>
  <si>
    <t>OTHER EXPENSES - NBR</t>
  </si>
  <si>
    <t>80-50-10-0000</t>
  </si>
  <si>
    <t>80-50-10-0001</t>
  </si>
  <si>
    <t>8110/001</t>
  </si>
  <si>
    <t>PURCHASES - PRE-POWDERED(MMP NON BOI)</t>
  </si>
  <si>
    <t>8110/002</t>
  </si>
  <si>
    <t>PURCHASES - POWDERED FREE(MMP NON BOI)</t>
  </si>
  <si>
    <t>8120/001</t>
  </si>
  <si>
    <t xml:space="preserve">PURCHASES - PRE-POWDERED ( NON BOI) </t>
  </si>
  <si>
    <t>8120/002</t>
  </si>
  <si>
    <t xml:space="preserve">PURCHAES POWDERED FREE - (NON BOI) </t>
  </si>
  <si>
    <t>8120/003</t>
  </si>
  <si>
    <t xml:space="preserve">PURCHAES NITRILE POWDER FREE - (NON BOI) </t>
  </si>
  <si>
    <t>8120/004</t>
  </si>
  <si>
    <t>PURCHAES NITRILE POWDER FREE - (MMP NON BOI)</t>
  </si>
  <si>
    <t>8130/001</t>
  </si>
  <si>
    <t>INSPECTION EXPENSE OF PURCHASE FINISHED GOODS</t>
  </si>
  <si>
    <t>8130/002</t>
  </si>
  <si>
    <t>LOADING OF PURCHASE FINISHED GOODS (CONSOLIDATE)</t>
  </si>
  <si>
    <t>8130/003</t>
  </si>
  <si>
    <t>PACKAGING COST (DIRECT AND CONSOLIDATED)</t>
  </si>
  <si>
    <t>8130/004</t>
  </si>
  <si>
    <t>FRIGHT COST (DIRECT AND CONSOLIDATED)</t>
  </si>
  <si>
    <t>8130/005</t>
  </si>
  <si>
    <t>INSURANCE OF RECEIVABLE (DIRECT AND CONSOLIDATED)</t>
  </si>
  <si>
    <t>9101/000</t>
  </si>
  <si>
    <t>SALARY.</t>
  </si>
  <si>
    <t>9101/001</t>
  </si>
  <si>
    <t>MANAGEMENT FEE / DIRECTOR FEE</t>
  </si>
  <si>
    <t>9101/002</t>
  </si>
  <si>
    <t>ALLOWANCE OF EMPLOYEE</t>
  </si>
  <si>
    <t>9102/000</t>
  </si>
  <si>
    <t xml:space="preserve">WAGES </t>
  </si>
  <si>
    <t>9103/000</t>
  </si>
  <si>
    <t>OVERTIME</t>
  </si>
  <si>
    <t>9104/000</t>
  </si>
  <si>
    <t>ACCOMMODATION</t>
  </si>
  <si>
    <t>9105/000</t>
  </si>
  <si>
    <t>TRAVELLING</t>
  </si>
  <si>
    <t>9106/000</t>
  </si>
  <si>
    <t>WELFARE FOR EMPLOYEE</t>
  </si>
  <si>
    <t>9106/001</t>
  </si>
  <si>
    <t xml:space="preserve">EXPENSE CLAIM FOR MR.TEOH </t>
  </si>
  <si>
    <t>9106/002</t>
  </si>
  <si>
    <t xml:space="preserve">EXPENSE CLAIM FOR MR.LESZEK </t>
  </si>
  <si>
    <t>9106/003</t>
  </si>
  <si>
    <t xml:space="preserve">EXPENSE CLAIM FOR MR.ARKADIUSZ </t>
  </si>
  <si>
    <t>9106/004</t>
  </si>
  <si>
    <t xml:space="preserve">EXPENSE CLAIM FOR MR.TADEUSZ </t>
  </si>
  <si>
    <t>9106/007</t>
  </si>
  <si>
    <t xml:space="preserve">FUNERAL STAFF RELATIVE </t>
  </si>
  <si>
    <t>9106/010</t>
  </si>
  <si>
    <t xml:space="preserve">ENTERTAINMENT-MM GROUP </t>
  </si>
  <si>
    <t>9107/000</t>
  </si>
  <si>
    <t>SOCIAL INSURANCE</t>
  </si>
  <si>
    <t>9108/000</t>
  </si>
  <si>
    <t xml:space="preserve">COMPENSATION FUND </t>
  </si>
  <si>
    <t>9108/001</t>
  </si>
  <si>
    <t xml:space="preserve">COMPENSATION FUND - MANAGEMENT </t>
  </si>
  <si>
    <t>9109/000</t>
  </si>
  <si>
    <t xml:space="preserve">PERSONAL TAX ON BEHALF </t>
  </si>
  <si>
    <t>9110/000</t>
  </si>
  <si>
    <t xml:space="preserve">INSURANCE </t>
  </si>
  <si>
    <t>9111/000</t>
  </si>
  <si>
    <t>ADVERTISEMENT EXPENSES</t>
  </si>
  <si>
    <t>9112/000</t>
  </si>
  <si>
    <t>TRAINING &amp; SEMINAR</t>
  </si>
  <si>
    <t>9113/000</t>
  </si>
  <si>
    <t xml:space="preserve">SEVERANCE PAY </t>
  </si>
  <si>
    <t>9114/000</t>
  </si>
  <si>
    <t>PARTY AND GIFT  EXPENSES</t>
  </si>
  <si>
    <t>9115/000</t>
  </si>
  <si>
    <t>BONUS</t>
  </si>
  <si>
    <t>9116/000</t>
  </si>
  <si>
    <t>CURRENT SERVICE COST</t>
  </si>
  <si>
    <t>9117/000</t>
  </si>
  <si>
    <t>INTEREST COST (EMPLOYEE BENEFIT)</t>
  </si>
  <si>
    <t>9118/000</t>
  </si>
  <si>
    <t>AWARDS TO EMPLOYEES</t>
  </si>
  <si>
    <t>9201/000</t>
  </si>
  <si>
    <t>FREIGHT AND FORWARDING CHARGES</t>
  </si>
  <si>
    <t>Freight</t>
  </si>
  <si>
    <t>9202/000</t>
  </si>
  <si>
    <t>SHIPPING AND LOADING CHARGES</t>
  </si>
  <si>
    <t>9202/100</t>
  </si>
  <si>
    <t xml:space="preserve">FORM A , C/O FORM  SERVICE </t>
  </si>
  <si>
    <t>9202/200</t>
  </si>
  <si>
    <t>SHIPPING CLAIM TAX INCOME</t>
  </si>
  <si>
    <t>9203/000</t>
  </si>
  <si>
    <t>INSURANCE FOR SHIPMENT</t>
  </si>
  <si>
    <t>9204/000</t>
  </si>
  <si>
    <t>TRANSPORTATION</t>
  </si>
  <si>
    <t>9205/000</t>
  </si>
  <si>
    <t xml:space="preserve">LOADING CONTAINER </t>
  </si>
  <si>
    <t>9206/000</t>
  </si>
  <si>
    <t xml:space="preserve">INSPECTION EXPENSES </t>
  </si>
  <si>
    <t>9206/001</t>
  </si>
  <si>
    <t xml:space="preserve">TRAVELLING OF INSPECTOR </t>
  </si>
  <si>
    <t>9206/002</t>
  </si>
  <si>
    <t>RENTAL WAREHOUSE / EXPENSES</t>
  </si>
  <si>
    <t>9207/000</t>
  </si>
  <si>
    <t>COMMISSION FOR SALE</t>
  </si>
  <si>
    <t>9207/001</t>
  </si>
  <si>
    <t xml:space="preserve">COMMISSION OF MS TRA </t>
  </si>
  <si>
    <t>9208/001</t>
  </si>
  <si>
    <t>TRADE SHOW EXPENSES</t>
  </si>
  <si>
    <t>9208/002</t>
  </si>
  <si>
    <t>SHIPPING-CLAIM TAX EXPORT</t>
  </si>
  <si>
    <t>9208/003</t>
  </si>
  <si>
    <t>TRAVELLING EXPENSES FOR MARKETING</t>
  </si>
  <si>
    <t>9208/004</t>
  </si>
  <si>
    <t>ACCOMMODATION OF CUSTOMER / MARKETING</t>
  </si>
  <si>
    <t>9208/005</t>
  </si>
  <si>
    <t>ENTERTAINMENT FOR CUSTOMER</t>
  </si>
  <si>
    <t>9208/006</t>
  </si>
  <si>
    <t>COMMUNICATION &amp; POSTAGE OF CUSTOMER</t>
  </si>
  <si>
    <t>9208/007</t>
  </si>
  <si>
    <t>TESTING SAMPLE OF GLOVES</t>
  </si>
  <si>
    <t>9208/008</t>
  </si>
  <si>
    <t>QUALITY CLAIM BY CUSTOMER</t>
  </si>
  <si>
    <t>9208/009</t>
  </si>
  <si>
    <t>CERTIFICATE OF CUSTOMER</t>
  </si>
  <si>
    <t>9208/010</t>
  </si>
  <si>
    <t>PRINTING MEDIA - MARKETING</t>
  </si>
  <si>
    <t>9208/011</t>
  </si>
  <si>
    <t>SAMPLE GLOVE</t>
  </si>
  <si>
    <t>9208/012</t>
  </si>
  <si>
    <t>TRADE INSURANCE</t>
  </si>
  <si>
    <t>9301/000</t>
  </si>
  <si>
    <t>INTERNET FEE</t>
  </si>
  <si>
    <t>9301/001</t>
  </si>
  <si>
    <t xml:space="preserve">TELEPHONE/FAX - OFFICE FEE </t>
  </si>
  <si>
    <t>9301/002</t>
  </si>
  <si>
    <t>TELEPHONE/FAX - HANDPHONE FEE</t>
  </si>
  <si>
    <t>9301/003</t>
  </si>
  <si>
    <t xml:space="preserve">TELEPHONE/FAX - FAX FEE </t>
  </si>
  <si>
    <t>9302/000</t>
  </si>
  <si>
    <t xml:space="preserve">STAMP AND POSTAGE </t>
  </si>
  <si>
    <t>9302/001</t>
  </si>
  <si>
    <t xml:space="preserve">STAMP AND POSTAGE - STAMP </t>
  </si>
  <si>
    <t>9302/002</t>
  </si>
  <si>
    <t>STAMP AND POSTAGE - STAMP(ADMIN.)</t>
  </si>
  <si>
    <t>9302/003</t>
  </si>
  <si>
    <t>STAMP AND POSTAGE - STAMP(ACCOUNT)</t>
  </si>
  <si>
    <t>9302/004</t>
  </si>
  <si>
    <t>STAMP AND POSTAGE - STAMP(OTHER)</t>
  </si>
  <si>
    <t>9303/000</t>
  </si>
  <si>
    <t xml:space="preserve">COMMUNICATION EXPENSES </t>
  </si>
  <si>
    <t>9304/000</t>
  </si>
  <si>
    <t xml:space="preserve">ELECTRICITY OF OFFICE </t>
  </si>
  <si>
    <t>9305/000</t>
  </si>
  <si>
    <t>IT EXPENSES</t>
  </si>
  <si>
    <t>9306/000</t>
  </si>
  <si>
    <t xml:space="preserve">CCTV  EXPENSES </t>
  </si>
  <si>
    <t>9401/000</t>
  </si>
  <si>
    <t xml:space="preserve">REPAIR AND MAINTENANCE - OFFICE BUILDING </t>
  </si>
  <si>
    <t>9402/000</t>
  </si>
  <si>
    <t xml:space="preserve">REPAIR AND MAINTENANCE -OFFICE EQUIPMENT </t>
  </si>
  <si>
    <t>9402/001</t>
  </si>
  <si>
    <t xml:space="preserve">REPAIR AND MAINTENANCE - AIR CONDITION </t>
  </si>
  <si>
    <t>9402/002</t>
  </si>
  <si>
    <t xml:space="preserve">REPAIR AND MAINTENANCE - TEL. &amp; INTERNET </t>
  </si>
  <si>
    <t>9402/003</t>
  </si>
  <si>
    <t xml:space="preserve">REPAIR AND MAINTENANCE - OTHER </t>
  </si>
  <si>
    <t>9403/000</t>
  </si>
  <si>
    <t xml:space="preserve">REPAIR AND MAINTENANCE - VEHICLES </t>
  </si>
  <si>
    <t>9403/001</t>
  </si>
  <si>
    <t xml:space="preserve">REPAIR AND MAINTENANCE - ALTIS 1147 </t>
  </si>
  <si>
    <t>9403/002</t>
  </si>
  <si>
    <t>REPAIR AND MAINTENANCE - NISSAN 4761</t>
  </si>
  <si>
    <t>9403/003</t>
  </si>
  <si>
    <t>REPAIR AND MAINTENANCE - VAN 3434</t>
  </si>
  <si>
    <t>9403/004</t>
  </si>
  <si>
    <t xml:space="preserve">REPAIR AND MAINTENANCE - PICK UP 7409 </t>
  </si>
  <si>
    <t>9403/005</t>
  </si>
  <si>
    <t xml:space="preserve">REPAIR AND MAINTENANCE - ALTIS 4112 </t>
  </si>
  <si>
    <t>9403/006</t>
  </si>
  <si>
    <t>REPAIR AND MAINTENANCE - NISSAN PICK UP 1294</t>
  </si>
  <si>
    <t>9403/007</t>
  </si>
  <si>
    <t>REPAIR AND MAINTENANCE - VIOS 9295</t>
  </si>
  <si>
    <t>9403/008</t>
  </si>
  <si>
    <t>REPAIR AND MAINTENANCE - VIOS 3907</t>
  </si>
  <si>
    <t>9403/009</t>
  </si>
  <si>
    <t>REPAIR AND MAINTENANCE - CIVIC 1405</t>
  </si>
  <si>
    <t>9403/010</t>
  </si>
  <si>
    <t>REPAIR AND MAINTENANCE - VAN 3808 (40-0562)</t>
  </si>
  <si>
    <t>9403/011</t>
  </si>
  <si>
    <t>REPAIR AND MAINTENANCE - HONDA ACCORD 9กผ7449</t>
  </si>
  <si>
    <t>9403/012</t>
  </si>
  <si>
    <t>REPAIR AND MAINTENANCE - CIVIC 1167 (Active)</t>
  </si>
  <si>
    <t>9403/013</t>
  </si>
  <si>
    <t>REPAIR AND MAINTENANCE-MOTORCYCLE 4884 (Active)</t>
  </si>
  <si>
    <t>9410/000</t>
  </si>
  <si>
    <t>REPAIR AND MAINTENANCE - ANNUAL SOFTWARE</t>
  </si>
  <si>
    <t>9501/000</t>
  </si>
  <si>
    <t>DEPRECIATION - LAND IMPROVEMENTS</t>
  </si>
  <si>
    <t>9502/000</t>
  </si>
  <si>
    <t>DEPRECIATION - BULIDING AND CONSTRUCTION</t>
  </si>
  <si>
    <t>9503/000</t>
  </si>
  <si>
    <t>DEPRECIATION - BUILDING IMPROVEMENTS</t>
  </si>
  <si>
    <t>9504/000</t>
  </si>
  <si>
    <t>DEPRECIATION - OFFICE EQUIPMENTS</t>
  </si>
  <si>
    <t>9504/001</t>
  </si>
  <si>
    <t>DEPRECIATION - RIGHTS OF PROGRAMS</t>
  </si>
  <si>
    <t>9505/000</t>
  </si>
  <si>
    <t>DEPRECIATION - COMPUTER</t>
  </si>
  <si>
    <t>9506/000</t>
  </si>
  <si>
    <t>DEPRECIATION - FURNITURE &amp; FIXTURE</t>
  </si>
  <si>
    <t>9507/000</t>
  </si>
  <si>
    <t>DEPRECIATION - VEHICLES</t>
  </si>
  <si>
    <t>9509/000-1</t>
  </si>
  <si>
    <t>DEPRECIATION - LAND IMPROVEMENTS IMPAIRMENT</t>
  </si>
  <si>
    <t>9509/000-2</t>
  </si>
  <si>
    <t>DEPRECIATION - BULIDING AND CONSTRUCTION IMPAIRMEN</t>
  </si>
  <si>
    <t>9509/000-3</t>
  </si>
  <si>
    <t>DEPRECIATION - BUILDING IMPROVEMENTS IMPAIRMENT</t>
  </si>
  <si>
    <t>9509/000-4</t>
  </si>
  <si>
    <t>DEPRECIATION - OFFICE EQUIPMENTS IMPAIRMENT</t>
  </si>
  <si>
    <t>9509/000-5</t>
  </si>
  <si>
    <t>DEPRECIATION - RIGHTS OF PROGRAMS IMPAIRMENT</t>
  </si>
  <si>
    <t>9509/000-6</t>
  </si>
  <si>
    <t>DEPRECIATION - COMPUTER IMPAIRMENT</t>
  </si>
  <si>
    <t>9509/000-7</t>
  </si>
  <si>
    <t>DEPRECIATION - FURNITURE &amp; FIXTURE IMPAIRMENT</t>
  </si>
  <si>
    <t>9509/000-8</t>
  </si>
  <si>
    <t>DEPRECIATION - VEHICLES IMPAIRMENT</t>
  </si>
  <si>
    <t>9601/000</t>
  </si>
  <si>
    <t>VEHICLES INSURANCE</t>
  </si>
  <si>
    <t>9602/000</t>
  </si>
  <si>
    <t xml:space="preserve">FACTORY INSURANCE </t>
  </si>
  <si>
    <t>9602/001</t>
  </si>
  <si>
    <t xml:space="preserve">INSURANCE OF EQUIPMENT </t>
  </si>
  <si>
    <t>9602/002</t>
  </si>
  <si>
    <t>INSURANCE OF PUBLIC &amp; PRODUCTS LIABILITY</t>
  </si>
  <si>
    <t>9604/000</t>
  </si>
  <si>
    <t>STATIONERY AND PRINTING</t>
  </si>
  <si>
    <t>9604/001</t>
  </si>
  <si>
    <t>STATIONERY AND PRINTING-PAPER A4</t>
  </si>
  <si>
    <t>9604/002</t>
  </si>
  <si>
    <t xml:space="preserve">STATIONERY AND PRINTING- FORM </t>
  </si>
  <si>
    <t>9604/003</t>
  </si>
  <si>
    <t xml:space="preserve">STATIONERY AND PRINTING- INK PRINTING </t>
  </si>
  <si>
    <t>9604/004</t>
  </si>
  <si>
    <t xml:space="preserve">STATIONERY AND PRINTING- NAME CARD </t>
  </si>
  <si>
    <t>9604/005</t>
  </si>
  <si>
    <t xml:space="preserve">STATIONERY AND PRINTING- STICKER </t>
  </si>
  <si>
    <t>9605/000</t>
  </si>
  <si>
    <t>GASOLINE</t>
  </si>
  <si>
    <t>9607/000</t>
  </si>
  <si>
    <t>BANK CHARGES</t>
  </si>
  <si>
    <t>Bank Charge</t>
  </si>
  <si>
    <t>9607/001</t>
  </si>
  <si>
    <t>BANK CHARGES - FCD</t>
  </si>
  <si>
    <t>9607/002</t>
  </si>
  <si>
    <t xml:space="preserve">BANK CHARGES - CUSTOMER LOCAL </t>
  </si>
  <si>
    <t>9607/003</t>
  </si>
  <si>
    <t>BANK CHARGES - CUSTOMER EXPORT</t>
  </si>
  <si>
    <t>9607/004</t>
  </si>
  <si>
    <t xml:space="preserve">BANK CHARGES - GUARANTEE FEE </t>
  </si>
  <si>
    <t>9607/005</t>
  </si>
  <si>
    <t xml:space="preserve">BANK CHARGES-FRONT END FEE/MORTGAGE FEE </t>
  </si>
  <si>
    <t>9607/006</t>
  </si>
  <si>
    <t>BANK CHARGES - CUSTOMER IFS</t>
  </si>
  <si>
    <t>9608/000</t>
  </si>
  <si>
    <t>AUDIT FEE</t>
  </si>
  <si>
    <t>9608/001</t>
  </si>
  <si>
    <t>AUDITOR EXPENSES</t>
  </si>
  <si>
    <t>9609/000</t>
  </si>
  <si>
    <t xml:space="preserve">PRE - OPERATING </t>
  </si>
  <si>
    <t>9610/000</t>
  </si>
  <si>
    <t xml:space="preserve">OTHER FEE </t>
  </si>
  <si>
    <t>9611/000</t>
  </si>
  <si>
    <t xml:space="preserve">RENTAL </t>
  </si>
  <si>
    <t>9612/000</t>
  </si>
  <si>
    <t xml:space="preserve">DOUBTFUL ACCOUNT </t>
  </si>
  <si>
    <t>9613/000</t>
  </si>
  <si>
    <t>MEMBERSHIP FEES</t>
  </si>
  <si>
    <t>9614/000</t>
  </si>
  <si>
    <t>GOVERNMENT TAX / LICENSE</t>
  </si>
  <si>
    <t>9614/001</t>
  </si>
  <si>
    <t>GOVERNMENT TAX/LICENSE-REGISTER FEE</t>
  </si>
  <si>
    <t>9614/002</t>
  </si>
  <si>
    <t>GOVERNMENT TAX/LICENSE-RE NEW FEE</t>
  </si>
  <si>
    <t>9614/003</t>
  </si>
  <si>
    <t xml:space="preserve">GOVERNMENT TAX/LICENSE- VEHICLE </t>
  </si>
  <si>
    <t>9614/004</t>
  </si>
  <si>
    <t>GOVERNMENT TAX/LICENSE- CERTIFICATE</t>
  </si>
  <si>
    <t>9615/000</t>
  </si>
  <si>
    <t xml:space="preserve">PIPE WATER </t>
  </si>
  <si>
    <t>9616/000</t>
  </si>
  <si>
    <t>OFFICE EQUIPMENT / SUPPLIES</t>
  </si>
  <si>
    <t>9617/000</t>
  </si>
  <si>
    <t>ENTERTAINMENT</t>
  </si>
  <si>
    <t>9617/001</t>
  </si>
  <si>
    <t>ENTERTAINMENT - TRAINEE</t>
  </si>
  <si>
    <t>9618/000</t>
  </si>
  <si>
    <t xml:space="preserve">DONATION /GIFT </t>
  </si>
  <si>
    <t>9618/001</t>
  </si>
  <si>
    <t xml:space="preserve">DONATION/GIFT - TEMPLE </t>
  </si>
  <si>
    <t>9618/002</t>
  </si>
  <si>
    <t xml:space="preserve">DONATION/GIFT - GOVERNMENT </t>
  </si>
  <si>
    <t>9618/003</t>
  </si>
  <si>
    <t xml:space="preserve">DONATION/GIFT - SOCIAL </t>
  </si>
  <si>
    <t>9618/004</t>
  </si>
  <si>
    <t>DONATION - CORPORATE SOCIAL RESPONSIBILITY (CSR)</t>
  </si>
  <si>
    <t>9619/000</t>
  </si>
  <si>
    <t xml:space="preserve">DUTY STAMP OF AGREEMENT </t>
  </si>
  <si>
    <t>9620/000</t>
  </si>
  <si>
    <t>SECURITY FEE</t>
  </si>
  <si>
    <t>9621/000</t>
  </si>
  <si>
    <t>CONSULTANT FEE</t>
  </si>
  <si>
    <t>9622/000</t>
  </si>
  <si>
    <t>SURVEY FEE</t>
  </si>
  <si>
    <t>9623/000</t>
  </si>
  <si>
    <t xml:space="preserve">TAX CARD SERVICE </t>
  </si>
  <si>
    <t>9624/000</t>
  </si>
  <si>
    <t>ISO EXPENSES</t>
  </si>
  <si>
    <t>9624/001</t>
  </si>
  <si>
    <t xml:space="preserve">ISO EXPENSE - LICENSE </t>
  </si>
  <si>
    <t>9624/002</t>
  </si>
  <si>
    <t>ISO EXPENSE - TRAVELLING</t>
  </si>
  <si>
    <t>9624/003</t>
  </si>
  <si>
    <t>ISO EXPENSE - ACCOMMODATE / ENTERTAINMENT</t>
  </si>
  <si>
    <t>9624/004</t>
  </si>
  <si>
    <t>ISO EXPENSE - TRAINNING</t>
  </si>
  <si>
    <t>9624/005</t>
  </si>
  <si>
    <t>ISO EXPENSE - CERTIFICATE</t>
  </si>
  <si>
    <t>9625/000</t>
  </si>
  <si>
    <t>LEGAL FEE</t>
  </si>
  <si>
    <t>9626/000</t>
  </si>
  <si>
    <t>DISALLOWANCE EXPENSES</t>
  </si>
  <si>
    <t>9627/000</t>
  </si>
  <si>
    <t xml:space="preserve">MISCELLANEOUS EXPENSES </t>
  </si>
  <si>
    <t>9628/000</t>
  </si>
  <si>
    <t xml:space="preserve">ACTUARIAL FEE </t>
  </si>
  <si>
    <t>9629/000</t>
  </si>
  <si>
    <t>PENALTY EXPENSES</t>
  </si>
  <si>
    <t>9629/001</t>
  </si>
  <si>
    <t xml:space="preserve">PENALTY EXPENSES - REVENUE DEPT. </t>
  </si>
  <si>
    <t>9629/002</t>
  </si>
  <si>
    <t xml:space="preserve">PENALTY EXPENSES - AUTOCAD </t>
  </si>
  <si>
    <t>9630/000</t>
  </si>
  <si>
    <t xml:space="preserve">TRAVELLING &amp; ACCOMMODATION </t>
  </si>
  <si>
    <t>9631/000</t>
  </si>
  <si>
    <t xml:space="preserve">TRANSLATION </t>
  </si>
  <si>
    <t>9632/000</t>
  </si>
  <si>
    <t>WITHHOLDING TAX INSTEAD</t>
  </si>
  <si>
    <t>9633/000</t>
  </si>
  <si>
    <t xml:space="preserve">RECRUITMENT EXP. </t>
  </si>
  <si>
    <t>9634/000</t>
  </si>
  <si>
    <t xml:space="preserve">IMPORT EXPENSES </t>
  </si>
  <si>
    <t>9635/000</t>
  </si>
  <si>
    <t xml:space="preserve">MANAGEMENT FEE - OTHER </t>
  </si>
  <si>
    <t>9636/000</t>
  </si>
  <si>
    <t>IMPAIRMENT LOSS ON TRADE RECEIVABLE - RELATED</t>
  </si>
  <si>
    <t>9637/000</t>
  </si>
  <si>
    <t>IMPAIRMENT LOSS ON TRADE RECEIVABLE-THIRD PARTIES</t>
  </si>
  <si>
    <t>9638/000</t>
  </si>
  <si>
    <t>IMPAIRMENT LOSS ON PPE &amp; INTANGIBLE ASSETS</t>
  </si>
  <si>
    <t>9711/001</t>
  </si>
  <si>
    <t>INTEREST INCOME - FIXED DEPOSITS</t>
  </si>
  <si>
    <t>9711/002</t>
  </si>
  <si>
    <t>INTEREST INCOME - SAVING DEPOSITS</t>
  </si>
  <si>
    <t>9711/003</t>
  </si>
  <si>
    <t>INTEREST - OTHER INCOME</t>
  </si>
  <si>
    <t>9711/003-1</t>
  </si>
  <si>
    <t>INTEREST - OTHER INCOME - MERCATOR INDUSTRIAL LTD.</t>
  </si>
  <si>
    <t>9711/004</t>
  </si>
  <si>
    <t>INTEREST INCOME - MERCATOR MEDICAL S.A.</t>
  </si>
  <si>
    <t>9712/000</t>
  </si>
  <si>
    <t>GAIN ON DISPOSAL OF FIXED ASSETS</t>
  </si>
  <si>
    <t>Gain on Diposal of Fixed Assets</t>
  </si>
  <si>
    <t>9713/000</t>
  </si>
  <si>
    <t>DEFERED TAX REVENUE</t>
  </si>
  <si>
    <t>Deferred Tax Revenue</t>
  </si>
  <si>
    <t>9714/000</t>
  </si>
  <si>
    <t>INCOME - TAX CARD</t>
  </si>
  <si>
    <t>9715/000</t>
  </si>
  <si>
    <t>OTHER INCOME.</t>
  </si>
  <si>
    <t>9715/001</t>
  </si>
  <si>
    <t>COMPENSATION</t>
  </si>
  <si>
    <t>9715/002</t>
  </si>
  <si>
    <t>INSPECTION INCOME</t>
  </si>
  <si>
    <t>9715/003</t>
  </si>
  <si>
    <t>INCOME OF SALE OTHER SCRAP</t>
  </si>
  <si>
    <t>9715/004</t>
  </si>
  <si>
    <t>INCOME OF COMMISSION IN LIEU OF T/T SWIFT</t>
  </si>
  <si>
    <t>9715/005</t>
  </si>
  <si>
    <t>OTHER INCOME (REVENUE NOT CONSIDER INCOME)</t>
  </si>
  <si>
    <t>9716/000</t>
  </si>
  <si>
    <t>GAIN ON EXCHANGE RATE (OTHER CUSTOMER)</t>
  </si>
  <si>
    <t>9717/000</t>
  </si>
  <si>
    <t>GAIN ON EXCHANGE RATE (MERCATOR S.A.)</t>
  </si>
  <si>
    <t>9718/000</t>
  </si>
  <si>
    <t>GAIN ON EXCHANGE RATE (MML NON BOI)</t>
  </si>
  <si>
    <t>9719/000</t>
  </si>
  <si>
    <t>GAIN ON EXCHANGE RATE (OTHER NON BOI)</t>
  </si>
  <si>
    <t>9724/000</t>
  </si>
  <si>
    <t>LOSS ON EXCHANGE RATE (OTHER CUSTOMER)</t>
  </si>
  <si>
    <t>9725/000</t>
  </si>
  <si>
    <t>LOSS ON EXCHANGE RATE (MERCATOR S.A.)</t>
  </si>
  <si>
    <t>9726/000</t>
  </si>
  <si>
    <t>LOSS ON EXCHANGE RATE (MML NON BOI)</t>
  </si>
  <si>
    <t>9727/000</t>
  </si>
  <si>
    <t>LOSS ON EXCHANGE RATE (OTHER NON BOI)</t>
  </si>
  <si>
    <t>9730/000</t>
  </si>
  <si>
    <t>GAIN/(LOSS) OF EXCHANGE - MMP LOAN</t>
  </si>
  <si>
    <t>Gain / Loss of exchange rate</t>
  </si>
  <si>
    <t>9731/000</t>
  </si>
  <si>
    <t>GAIN/(LOSS) OF EXCHANGE - MMP AR/AP</t>
  </si>
  <si>
    <t>9732/000</t>
  </si>
  <si>
    <t>GAIN/(LOSS) OF EXCHANGE - OTHER AR (EXTERNAL)</t>
  </si>
  <si>
    <t>9733/000</t>
  </si>
  <si>
    <t>GAIN/(LOSS) OF EXCHANGE - LOAN / SAVING A/COF BANK</t>
  </si>
  <si>
    <t>9734/000</t>
  </si>
  <si>
    <t>GAIN/(LOSS) OF EXCHANGE - OTHER AP (EXTERNAL)</t>
  </si>
  <si>
    <t>9735/000</t>
  </si>
  <si>
    <t>GAIN/(LOSS) OF EXCHANGE - MMP AR/AP - VALUATION</t>
  </si>
  <si>
    <t>9736/000</t>
  </si>
  <si>
    <t>GAIN/(LOSS) OF EXCHANGE - OTHER AR - VALUATION</t>
  </si>
  <si>
    <t>9737/000</t>
  </si>
  <si>
    <t>GAIN/(LOSS) OF EXCHANGE - OTHER AP - VALUATION</t>
  </si>
  <si>
    <t>9738/000</t>
  </si>
  <si>
    <t>GAIN/(LOSS) OF EXCHANGE - LOAN OF BANK - VALUATION</t>
  </si>
  <si>
    <t>9739/000</t>
  </si>
  <si>
    <t>GAIN/(LOSS) OF EXCHANGE - FORWARD VALUATION</t>
  </si>
  <si>
    <t>9740/000</t>
  </si>
  <si>
    <t>GAIN/(LOSS) OF EXCHANGE - CASH VALUATION</t>
  </si>
  <si>
    <t>9801/000</t>
  </si>
  <si>
    <t>SHARE OF P&amp;L FROM INVESTMENTS ACCOUNTED FOR UNDER EQUITY</t>
  </si>
  <si>
    <t>9802/000</t>
  </si>
  <si>
    <t>SHARE OF P&amp;L FROM INVESTMENTS IN SUBSIDIARIES</t>
  </si>
  <si>
    <t>9803/000</t>
  </si>
  <si>
    <t>SHARE OF P&amp;L FROM INVESTMENTS IN ASSOCIATED COMPANIES</t>
  </si>
  <si>
    <t>9901/000</t>
  </si>
  <si>
    <t>INTEREST EXPENSES</t>
  </si>
  <si>
    <t>9901/001</t>
  </si>
  <si>
    <t>INTEREST EXPENSES - OVERDRAFTS</t>
  </si>
  <si>
    <t>9901/002</t>
  </si>
  <si>
    <t>INTEREST EXPENSES -SHORT TERM LOANS BANK</t>
  </si>
  <si>
    <t>9901/003</t>
  </si>
  <si>
    <t>INTEREST EXPENSES -LOANS FROM MML</t>
  </si>
  <si>
    <t>Interest - MMP</t>
  </si>
  <si>
    <t>9901/004</t>
  </si>
  <si>
    <t>INTEREST EXPENSES - OTHER LONG TERM LOAN</t>
  </si>
  <si>
    <t>Interest - CIMB (Long term)</t>
  </si>
  <si>
    <t>9901/005</t>
  </si>
  <si>
    <t>INTEREST EXPENSES - OTHER</t>
  </si>
  <si>
    <t>Interest - Leasing and other</t>
  </si>
  <si>
    <t>9901/006</t>
  </si>
  <si>
    <t>INTEREST EXPENSES - VEHICLE LEASING</t>
  </si>
  <si>
    <t>9901/007</t>
  </si>
  <si>
    <t>INTEREST EXPENSES - OTHER TR</t>
  </si>
  <si>
    <t>9902/000</t>
  </si>
  <si>
    <t>CORPORATE INCOME TAX</t>
  </si>
  <si>
    <t>Corporate Income Tax (PL - COP INC TAX)</t>
  </si>
  <si>
    <t>9903/000</t>
  </si>
  <si>
    <t>EXTRAQORDANARY ITEMS</t>
  </si>
  <si>
    <t>9904/000</t>
  </si>
  <si>
    <t>LOSS FOR FIRE  (AS 06/01/2007)</t>
  </si>
  <si>
    <t>9905/000</t>
  </si>
  <si>
    <t>REPAIR EXPENSES FOR FIRE</t>
  </si>
  <si>
    <t>9906/000</t>
  </si>
  <si>
    <t>DEFERED TAX EXPENSES</t>
  </si>
  <si>
    <t>Deferred Tax expenses</t>
  </si>
  <si>
    <t>9907/000</t>
  </si>
  <si>
    <t>LOSS ON DISPOSAL OF FIXED ASSETS</t>
  </si>
  <si>
    <t>Loss on Disposal of fixed assets</t>
  </si>
  <si>
    <t>9908/000</t>
  </si>
  <si>
    <t>OTHER EXPENSES (OVER RECEIPT)</t>
  </si>
  <si>
    <t>9909/000</t>
  </si>
  <si>
    <t>OTHER EXPENSES.</t>
  </si>
  <si>
    <t>9910/000</t>
  </si>
  <si>
    <t>FINANCIAL INSTRUMENTS VALUATION</t>
  </si>
  <si>
    <t>9926/001</t>
  </si>
  <si>
    <t xml:space="preserve">SHIPPING &amp; FORWARDING  (NON BOI) </t>
  </si>
  <si>
    <t>9926/002</t>
  </si>
  <si>
    <t xml:space="preserve">FREIGHT CHARGE (NON BOI) </t>
  </si>
  <si>
    <t>9926/003</t>
  </si>
  <si>
    <t>LOADING CONTAINER  (NON BOI)</t>
  </si>
  <si>
    <t>9926/004</t>
  </si>
  <si>
    <t xml:space="preserve">COMMISSION   (NON BOI) </t>
  </si>
  <si>
    <t>9926/005</t>
  </si>
  <si>
    <t xml:space="preserve">TRANSPORT OF SALE </t>
  </si>
  <si>
    <t>9927/001</t>
  </si>
  <si>
    <t xml:space="preserve">WAGES OF PACK (NON BOI) </t>
  </si>
  <si>
    <t>9927/002</t>
  </si>
  <si>
    <t xml:space="preserve">SALARY OF PACK (NON BOI) </t>
  </si>
  <si>
    <t>9927/003</t>
  </si>
  <si>
    <t xml:space="preserve">ALLOWANCE (NON BOI) </t>
  </si>
  <si>
    <t>9927/004</t>
  </si>
  <si>
    <t xml:space="preserve">ACCOMMODATION  (NON BOI) </t>
  </si>
  <si>
    <t>9927/005</t>
  </si>
  <si>
    <t xml:space="preserve">TRAVELLING   (NON BOI) </t>
  </si>
  <si>
    <t>9928/001</t>
  </si>
  <si>
    <t xml:space="preserve">PACKING MATERIAL  (NON BOI) </t>
  </si>
  <si>
    <t>9929/001</t>
  </si>
  <si>
    <t xml:space="preserve">BANK CHARGES (NON BOI) </t>
  </si>
  <si>
    <t>9929/002</t>
  </si>
  <si>
    <t xml:space="preserve">BANK CHANGR FOR OPEN L/C  (NON BOI) </t>
  </si>
  <si>
    <t>9929/003</t>
  </si>
  <si>
    <t xml:space="preserve">INTEREST OF LOAN   (NON BOI) </t>
  </si>
  <si>
    <t>9930/001</t>
  </si>
  <si>
    <t>GAIN/(LOSS) OF EXCHANGE RATE - MML AR (NON BOI)</t>
  </si>
  <si>
    <t>9930/002</t>
  </si>
  <si>
    <t>GAIN/(LOSS) OF EXCHANGE RATE - OTHER AR (NON BOI)</t>
  </si>
  <si>
    <t>9990/001</t>
  </si>
  <si>
    <t xml:space="preserve">EXPENSES OF  TRADING </t>
  </si>
  <si>
    <t>NBR-1008/100</t>
  </si>
  <si>
    <t>FINISHED GOODS - PACKED-PLANT 2</t>
  </si>
  <si>
    <t>NBR-1008/101</t>
  </si>
  <si>
    <t>PRE - POWDERED SMOOTH - PACKED-PLANT 2</t>
  </si>
  <si>
    <t>NBR-1008/102</t>
  </si>
  <si>
    <t>PRE-POWDERED TEXTURE - PACKED -PLANT 2</t>
  </si>
  <si>
    <t>NBR-1008/103</t>
  </si>
  <si>
    <t>POWDERED FREE SMOOTH - PACKED -PLANT 2</t>
  </si>
  <si>
    <t>NBR-1008/104</t>
  </si>
  <si>
    <t>POWDERED FREE TEXTURE - PACKED -PLANT 2</t>
  </si>
  <si>
    <t>NBR-1008/105</t>
  </si>
  <si>
    <t>NITRILE - PACKED-PLANT 2</t>
  </si>
  <si>
    <t>NBR-1008/106</t>
  </si>
  <si>
    <t>OTHER - PACKED-PLANT 2</t>
  </si>
  <si>
    <t>NBR-1008/200</t>
  </si>
  <si>
    <t>FINISHED GOODS - UNPACK -PLANT 2</t>
  </si>
  <si>
    <t>NBR-1008/201</t>
  </si>
  <si>
    <t>PRE-POWDERED SMOOTH - UNPACK -PLANT 2</t>
  </si>
  <si>
    <t>NBR-1008/202</t>
  </si>
  <si>
    <t>PRE-POWDERED TEXTURE - UNPACK -PLANT 2</t>
  </si>
  <si>
    <t>NBR-1008/203</t>
  </si>
  <si>
    <t>POWDERED FREE SMOOTH - UNPACK -PLANT 2</t>
  </si>
  <si>
    <t>NBR-1008/204</t>
  </si>
  <si>
    <t>POWDERED FREE TEXTURE - UNPACK -PLANT 2</t>
  </si>
  <si>
    <t>NBR-1008/205</t>
  </si>
  <si>
    <t>NITRILE - UNPACK-PLANT 2</t>
  </si>
  <si>
    <t>NBR-1008/206</t>
  </si>
  <si>
    <t>OTHER - UNPACK-PLANT 2</t>
  </si>
  <si>
    <t>NBR-1008/300</t>
  </si>
  <si>
    <t>WORK IN PROCESS -PLANT 2</t>
  </si>
  <si>
    <t>NBR-1008/301</t>
  </si>
  <si>
    <t>WORK IN PROCESS - COMPOUND (NR)-PLANT 2</t>
  </si>
  <si>
    <t>NBR-1008/302</t>
  </si>
  <si>
    <t>WORK IN PROCESS - SOLUTION  (NR)-PLANT 2</t>
  </si>
  <si>
    <t>NBR-1008/303</t>
  </si>
  <si>
    <t>WORK IN PROCESS - COMPOUND (NITRILE)-PLANT 2</t>
  </si>
  <si>
    <t>NBR-1008/304</t>
  </si>
  <si>
    <t>WORK IN PROCESS - SOLUTION (NITRILE)-PLANT 2</t>
  </si>
  <si>
    <t>NBR-1008/400</t>
  </si>
  <si>
    <t>RAW MATERIAL -PLANT 2</t>
  </si>
  <si>
    <t>NBR-1008/401</t>
  </si>
  <si>
    <t>SYNTHETIC LATEX-PLANT 2</t>
  </si>
  <si>
    <t>NBR-1008/402</t>
  </si>
  <si>
    <t>CHEMICAL FOR NBR GLOVES-PLANT 2</t>
  </si>
  <si>
    <t>NBR-1008/500</t>
  </si>
  <si>
    <t>ENERGY-PLANT 2</t>
  </si>
  <si>
    <t>NBR-1008/503</t>
  </si>
  <si>
    <t>WOOD CHIP-PLANT 2</t>
  </si>
  <si>
    <t>NBR-1008/504</t>
  </si>
  <si>
    <t>PALM SHELL -PLANT 2</t>
  </si>
  <si>
    <t>NBR-1008/505</t>
  </si>
  <si>
    <t>FIBER -PLANT 2</t>
  </si>
  <si>
    <t>NBR-1008/506</t>
  </si>
  <si>
    <t>FIBER MIX PKS -PLANT 2</t>
  </si>
  <si>
    <t>NBR-1008/507</t>
  </si>
  <si>
    <t>EMPTY FRUIT BUNCH OF PALM -PLANT 2</t>
  </si>
  <si>
    <t>NBR-1008/508</t>
  </si>
  <si>
    <t>CHARCOAL -PLANT 2</t>
  </si>
  <si>
    <t>NBR-1008/600</t>
  </si>
  <si>
    <t>PACKAGING MATERIAL -PLANT 2</t>
  </si>
  <si>
    <t>NBR-1008/601</t>
  </si>
  <si>
    <t>PACKAGING MATERIAL (NITRILE PRODUCTS)-PLANT 2</t>
  </si>
  <si>
    <t>NBR-1008/700</t>
  </si>
  <si>
    <t>OTHER  SUPPLIES - PLANT 2</t>
  </si>
  <si>
    <t>NBR-1008/701</t>
  </si>
  <si>
    <t>HOT OIL -PLANT 2</t>
  </si>
  <si>
    <t>NBR-1008/705</t>
  </si>
  <si>
    <t>RESIN -PLANT 2</t>
  </si>
  <si>
    <t>NBR-1008/710</t>
  </si>
  <si>
    <t>FORMERS -PLANT 2</t>
  </si>
  <si>
    <t>NBR-1008/720</t>
  </si>
  <si>
    <t>OTHER  SUPPLIES -PLANT 2</t>
  </si>
  <si>
    <t>NBR-1008/730</t>
  </si>
  <si>
    <t>DIESEL -PLANT 2</t>
  </si>
  <si>
    <t>NBR-1008/740</t>
  </si>
  <si>
    <t>PLASTIC BAG -PLANT 2</t>
  </si>
  <si>
    <t>NBR-1008/750</t>
  </si>
  <si>
    <t>STRING -PLANT 2</t>
  </si>
  <si>
    <t>NBR-1008/760</t>
  </si>
  <si>
    <t>OPP TAPE -PLANT 2</t>
  </si>
  <si>
    <t>NBR-1008/770</t>
  </si>
  <si>
    <t>WHITE CLOTH -PLANT 2</t>
  </si>
  <si>
    <t>NBR-1008/780</t>
  </si>
  <si>
    <t>CHEMICAL OF LAB -PLANT 2</t>
  </si>
  <si>
    <t>NBR-1008/790</t>
  </si>
  <si>
    <t>SALT -PLANT 2</t>
  </si>
  <si>
    <t>NBR-1008/800</t>
  </si>
  <si>
    <t>SPARE PART OF FORMER -PLANT 2</t>
  </si>
  <si>
    <t>NBR-1008/810</t>
  </si>
  <si>
    <t>SPARE PART OF ENGINEERING -PLANT 2</t>
  </si>
  <si>
    <t>NBR-1008/820</t>
  </si>
  <si>
    <t>SUPPLIES OF WAREHOUSE -PLANT 2</t>
  </si>
  <si>
    <t>NBR-1008/830</t>
  </si>
  <si>
    <t>CHEMICAL OF WATER - PLANT2</t>
  </si>
  <si>
    <t>NBR-1008/900</t>
  </si>
  <si>
    <t>BALANCE SHEET STOCK (TRADING OUT-SOURCE)-PLANT 2</t>
  </si>
  <si>
    <t>NBR-1008/901</t>
  </si>
  <si>
    <t>FINISHED GOODS (OUT-SOURCE)- PACKED -PLANT 2</t>
  </si>
  <si>
    <t xml:space="preserve">Trade goods </t>
  </si>
  <si>
    <t>NBR-1008/902</t>
  </si>
  <si>
    <t>PRE-POWDERED (OUT-SOURCE)- PACKED -PLANT 2</t>
  </si>
  <si>
    <t>NBR-1008/903</t>
  </si>
  <si>
    <t>POWDER-FREE (OUT-SOURCE)- PACKED -PLANT 2</t>
  </si>
  <si>
    <t>NBR-1008/950</t>
  </si>
  <si>
    <t>FINISHED GOODS (OUT-SOURCE) - UN-PACK -PLANT 2</t>
  </si>
  <si>
    <t>NBR-1008/951</t>
  </si>
  <si>
    <t>PRE-POWDERED (OUT-SOURCE) - UN-PACK -PLANT 2</t>
  </si>
  <si>
    <t>NBR-1008/952</t>
  </si>
  <si>
    <t>POWDER-FREE (OUT-SOURCE) - UN-PACK -PLANT 2</t>
  </si>
  <si>
    <t>NBR-1008/990</t>
  </si>
  <si>
    <t>GOODS IN TRANSIT - NBR</t>
  </si>
  <si>
    <t>NBR-1008/991</t>
  </si>
  <si>
    <t>GOODS IN TRANSIT - NBR PRODUCTS</t>
  </si>
  <si>
    <t>NBR-1008/992</t>
  </si>
  <si>
    <t>GOODS IN TRANSIT - NBR RAW MATERIAL</t>
  </si>
  <si>
    <t>NBR-1009/001</t>
  </si>
  <si>
    <t>NBR- PREPAID EXPENSES</t>
  </si>
  <si>
    <t>NBR-1009/002</t>
  </si>
  <si>
    <t>NBR-PREPAID INSURANCE CAR</t>
  </si>
  <si>
    <t>NBR-1009/006</t>
  </si>
  <si>
    <t>NBR-PREPAID UNIFORM SHIRT</t>
  </si>
  <si>
    <t>NBR-1009/007</t>
  </si>
  <si>
    <t>NBR-ACCRUED INCOME</t>
  </si>
  <si>
    <t>NBR-1009/022</t>
  </si>
  <si>
    <t>NBR-ADVANCE FOR EMPLOYEE</t>
  </si>
  <si>
    <t>NBR-1300/010</t>
  </si>
  <si>
    <t>NBR ADVANCE PAYMENT OF ASSETS - NITRILE PROJECT</t>
  </si>
  <si>
    <t>NBR-2501/100</t>
  </si>
  <si>
    <t>LAND - NBR</t>
  </si>
  <si>
    <t>Lands &amp; Land Improvement - NBR</t>
  </si>
  <si>
    <t>NBR-2501/200</t>
  </si>
  <si>
    <t>LAND IMPROVEMENT - NBR</t>
  </si>
  <si>
    <t>NBR-2501/205</t>
  </si>
  <si>
    <t>ACC. DEPRECIATION - LAND IMPROVEMENT - NBR</t>
  </si>
  <si>
    <t>NBR-2501/300</t>
  </si>
  <si>
    <t>ALLOWANCE IMPAIRMENT - LAND IMPROVEMENTS NBR</t>
  </si>
  <si>
    <t>NBR-2501/301</t>
  </si>
  <si>
    <t>ACC. DEPRECIATION - LAND IM. - NBR IMPAIRMENT</t>
  </si>
  <si>
    <t>NBR-2502/100</t>
  </si>
  <si>
    <t>BUILDING AND CONSTRUCTION - NBR</t>
  </si>
  <si>
    <t>Buildings and constructions - NBR</t>
  </si>
  <si>
    <t>NBR-2502/105</t>
  </si>
  <si>
    <t>ACC. DEPRECIATION - BUILDING &amp; CONSTRUCTION - NBR</t>
  </si>
  <si>
    <t>NBR-2502/200</t>
  </si>
  <si>
    <t>BUILDING IMPROVEMENTS - NBR</t>
  </si>
  <si>
    <t>NBR-2502/205</t>
  </si>
  <si>
    <t>ACC. DEPRECIATION - BUILDING IMPROVEMENTS - NBR</t>
  </si>
  <si>
    <t>NBR-2502/300</t>
  </si>
  <si>
    <t>ALLOWANCE IMPAIRMENT - BUILDING &amp; BUILDING IM. NBR</t>
  </si>
  <si>
    <t>NBR-2502/301</t>
  </si>
  <si>
    <t>ACC. DEPRECIATION - BUILDING - NBR IMPAIRMENT</t>
  </si>
  <si>
    <t>NBR-2503/100</t>
  </si>
  <si>
    <t>FACTORY EQUIPMENT - NBR</t>
  </si>
  <si>
    <t>Technical devices and machines - NBR</t>
  </si>
  <si>
    <t>NBR-2503/105</t>
  </si>
  <si>
    <t>ACC. DEPRECIATION - FACTORY EQUIPMENT - NBR</t>
  </si>
  <si>
    <t>NBR-2503/110</t>
  </si>
  <si>
    <t>FACTORY EQUIPMENT - FORMER - NBR</t>
  </si>
  <si>
    <t>NBR-2503/111</t>
  </si>
  <si>
    <t>ACC. DEPRECIATION - FORMER - NBR</t>
  </si>
  <si>
    <t>NBR-2503/200</t>
  </si>
  <si>
    <t>MACHINERY - NBR</t>
  </si>
  <si>
    <t>NBR-2503/205</t>
  </si>
  <si>
    <t>ACC. DEPRECIATION - MACHINERY - NBR</t>
  </si>
  <si>
    <t>NBR-2503/300</t>
  </si>
  <si>
    <t>ALLOWANCE IMPAIRMENT - MACHINERY &amp; EQUIP. NBR</t>
  </si>
  <si>
    <t>NBR-2503/301</t>
  </si>
  <si>
    <t>ACC. DEPRECIATION - MACHINERY&amp;EQUI.-NBR IMPAIRMENT</t>
  </si>
  <si>
    <t>NBR-2503/310</t>
  </si>
  <si>
    <t>ALLOWANCE IMPAIRMENT - FORMER NBR</t>
  </si>
  <si>
    <t>NBR-2503/311</t>
  </si>
  <si>
    <t>ACC. DEPRECIATION - FORMER -NBR IMPAIRMENT</t>
  </si>
  <si>
    <t>NBR-2504/001</t>
  </si>
  <si>
    <t>OFFICE EQUIPMENT - NBR.</t>
  </si>
  <si>
    <t>Other fixed assets - NBR</t>
  </si>
  <si>
    <t>NBR-2504/005</t>
  </si>
  <si>
    <t>ACC. DEPRECIATION - OFFICE EQUIPMENT - NBR</t>
  </si>
  <si>
    <t>NBR-2504/100</t>
  </si>
  <si>
    <t>COMPUTER - NBR</t>
  </si>
  <si>
    <t>NBR-2504/105</t>
  </si>
  <si>
    <t>ACC. DEPRECIATION - COMPUTER - NBR</t>
  </si>
  <si>
    <t>NBR-2504/300</t>
  </si>
  <si>
    <t>ALLOWANCE IMPAIRMENT - OFFICE EQUIPMENT NBR</t>
  </si>
  <si>
    <t>NBR-2504/301</t>
  </si>
  <si>
    <t>ACC. DEPRECIATION - OFFICE EQUIP. - NBR IMPAIRMENT</t>
  </si>
  <si>
    <t>NBR-2505/001</t>
  </si>
  <si>
    <t>FURNITURE AND FIXTURE - NBR.</t>
  </si>
  <si>
    <t>NBR-2505/005</t>
  </si>
  <si>
    <t>ACC. DEPRECIATION - FURNITURE &amp; FIXTURE - NBR</t>
  </si>
  <si>
    <t>NBR-2505/300</t>
  </si>
  <si>
    <t>ALLOWANCE IMPAIRMENT - FURNITURE NBR</t>
  </si>
  <si>
    <t>NBR-2505/301</t>
  </si>
  <si>
    <t>ACC. DEPRECIATION - FURNITURE - NBR IMPAIRMENT</t>
  </si>
  <si>
    <t>NBR-2506/001</t>
  </si>
  <si>
    <t>VEHICLES - NBR.</t>
  </si>
  <si>
    <t>Means of transportation - NBR</t>
  </si>
  <si>
    <t>NBR-2506/005</t>
  </si>
  <si>
    <t>ACC. DEPRECIATIO - VEHICLES - NBR</t>
  </si>
  <si>
    <t>NBR-2506/300</t>
  </si>
  <si>
    <t>ALLOWANCE IMPAIRMENT - VEHICLES NBR</t>
  </si>
  <si>
    <t>NBR-2506/301</t>
  </si>
  <si>
    <t>ACC. DEPRECIATIO - VEHICLES - NBR IMPAIRMENT</t>
  </si>
  <si>
    <t>NBR-2507/001</t>
  </si>
  <si>
    <t>WORK IN PROCESS - CONSTRUCTION - PLANT 2</t>
  </si>
  <si>
    <t>NBR-2507/002</t>
  </si>
  <si>
    <t>WORK IN PROCESS - DIPPING LINES - PLANT 2</t>
  </si>
  <si>
    <t>NBR-2507/003</t>
  </si>
  <si>
    <t>WORK IN PROCESS - TOH - PLANT 2</t>
  </si>
  <si>
    <t>NBR-2507/004</t>
  </si>
  <si>
    <t>WORK IN PROCESS - BUILDING IMPROVED - PLANT 2</t>
  </si>
  <si>
    <t>NBR-2507/005</t>
  </si>
  <si>
    <t>WORK IN PROCESS - WATER TREATMENT - PLANT 2</t>
  </si>
  <si>
    <t>NBR-2507/006</t>
  </si>
  <si>
    <t>WORK IN PROCESS - EQUIPMENT - PLANT 2</t>
  </si>
  <si>
    <t>NBR-2507/300</t>
  </si>
  <si>
    <t>ALLOWANCE IMPAIRMENT - WORK IN PROCESS NBR</t>
  </si>
  <si>
    <t>NBR-2509/100</t>
  </si>
  <si>
    <t>NBR INTANGIBLE ASSETS - PLANT 2</t>
  </si>
  <si>
    <t>NBR-2509/200</t>
  </si>
  <si>
    <t>APPLICATION SOFTWARE - PLANT 2</t>
  </si>
  <si>
    <t>NBR-2509/300</t>
  </si>
  <si>
    <t>RIGHTS OF PROGRAMS - PLANT 2</t>
  </si>
  <si>
    <t>NBR-2509/305</t>
  </si>
  <si>
    <t>ACC.DEPRECIATION-RIGHT OF PROGRAMS - PLANT 2</t>
  </si>
  <si>
    <t>NBR-2509/400</t>
  </si>
  <si>
    <t>ALLOWANCE IMPAIRMENT - INTANGIBLE ASSETS NBR</t>
  </si>
  <si>
    <t>NBR-2509/401</t>
  </si>
  <si>
    <t>ACCUMULATED IMPAIRMENT LOSS - INTANGIBLE ASSET NBR</t>
  </si>
  <si>
    <t>NBR-2600/001</t>
  </si>
  <si>
    <t xml:space="preserve">NBR DEPOSITS - OTHER </t>
  </si>
  <si>
    <t>NBR-3000/001</t>
  </si>
  <si>
    <t>NOTES RECEIVABLE - PLANT 2</t>
  </si>
  <si>
    <t>NBR-3000/002</t>
  </si>
  <si>
    <t>IN-COMMING POST DATED CHEQUES - PLANT 2</t>
  </si>
  <si>
    <t>NBR-3000/003</t>
  </si>
  <si>
    <t>RETURNED CHEQUES - PLANT 2</t>
  </si>
  <si>
    <t>NBR-4000/001</t>
  </si>
  <si>
    <t>BANK OVERDRAFTS - PLANT 2</t>
  </si>
  <si>
    <t>NBR-4000/002</t>
  </si>
  <si>
    <t>SHORT - TERM LOANS FROM BANKS - PLANT 2</t>
  </si>
  <si>
    <t>NBR-4200/000</t>
  </si>
  <si>
    <t>CURRENT PORTION OF LONG  - TERM LOAN - NBR</t>
  </si>
  <si>
    <t>NBR-4200/010</t>
  </si>
  <si>
    <t>CURRENT PORTION OF LONG  - TERM LOAN - PLANT 2</t>
  </si>
  <si>
    <t>NBR-4300/000</t>
  </si>
  <si>
    <t>SHORT-TERM LOANS FROM MML OR PARTIES - NBR</t>
  </si>
  <si>
    <t>NBR-4300/001</t>
  </si>
  <si>
    <t>SHORT - TERM LOANS FROM DIRECTORS AND EMPLOYEES -NBR</t>
  </si>
  <si>
    <t>NBR-4300/002</t>
  </si>
  <si>
    <t xml:space="preserve">NBR SHORT - TERMS LOANS FROM RELATED PARTIES (MMP) </t>
  </si>
  <si>
    <t>NBR-4300/011</t>
  </si>
  <si>
    <t>SHORT-TERM LOANS FROM MML OR PARTIES - PLANT 2</t>
  </si>
  <si>
    <t>NBR-4300/012</t>
  </si>
  <si>
    <t>SHORT - TERM LOANS FROM DIRECTORS AND EMPLOYEES - PLANT 2</t>
  </si>
  <si>
    <t>NBR-4400/000</t>
  </si>
  <si>
    <t xml:space="preserve">NBR CURRENT PORTION OF HIRE PURCHASE </t>
  </si>
  <si>
    <t>NBR-4400/001</t>
  </si>
  <si>
    <t xml:space="preserve">NBR CURRENT PORTION HIRE PURCHASE CREDITOR </t>
  </si>
  <si>
    <t>NBR-4400/002</t>
  </si>
  <si>
    <t xml:space="preserve">NBR CURRENT PORTION OF DEFERED INPUT VAT </t>
  </si>
  <si>
    <t>NBR-4400/003</t>
  </si>
  <si>
    <t xml:space="preserve">NBR CURRENT PORTION OF DEFERED INTEREST EXP. </t>
  </si>
  <si>
    <t>NBR-4500/001</t>
  </si>
  <si>
    <t xml:space="preserve">NBR ACCRUED EXPENSES </t>
  </si>
  <si>
    <t>NBR-4500/002</t>
  </si>
  <si>
    <t xml:space="preserve">NBR ACCRUED INSURANCE </t>
  </si>
  <si>
    <t>NBR-4500/003</t>
  </si>
  <si>
    <t xml:space="preserve">NBR ACCRUED RENTAL </t>
  </si>
  <si>
    <t>NBR-4500/009</t>
  </si>
  <si>
    <t xml:space="preserve">NBR ACCRUED FIXED ASSETS </t>
  </si>
  <si>
    <t>NBR-4500/013</t>
  </si>
  <si>
    <t>NBR SOCIAL SECURITY PAYABLE</t>
  </si>
  <si>
    <t>NBR-5050/001</t>
  </si>
  <si>
    <t>EXPORT SALE-POWDER FREE NITRILE OTHER CUSTOMER - NBR LINES</t>
  </si>
  <si>
    <t>NBR-5050/002</t>
  </si>
  <si>
    <t>EXPORT SALE-POWDER FREE NITRILE- MERCATOR S.A. - NBR LINES</t>
  </si>
  <si>
    <t>NBR-5050/050</t>
  </si>
  <si>
    <t>EXPORT SALE-POWDER FREE NITRILE- B-GRADE - NBR LINES</t>
  </si>
  <si>
    <t>NBR-5050/060</t>
  </si>
  <si>
    <t>EXPORT SALE-POWDER FREE NITRILE- SCRAPS - NBR LINES</t>
  </si>
  <si>
    <t>NBR-5100/001</t>
  </si>
  <si>
    <t>LOCAL SALES - NITRILE PF - NBR LINES</t>
  </si>
  <si>
    <t>NBR-5100/020</t>
  </si>
  <si>
    <t>LOCAL SALES - NITRILE PF - B GRADE - NBR LINES</t>
  </si>
  <si>
    <t>NBR-5100/030</t>
  </si>
  <si>
    <t>LOCAL SALES - NITRILE PF - SCRAP - NBR LINES</t>
  </si>
  <si>
    <t>NBR-5310/001</t>
  </si>
  <si>
    <t>GOODS RETURNED - EXPORT - NBR LINES</t>
  </si>
  <si>
    <t>NBR-5310/002</t>
  </si>
  <si>
    <t>SALES DISCOUNT - EXPORT - OTHER - NBR LINES</t>
  </si>
  <si>
    <t>NBR-5310/003</t>
  </si>
  <si>
    <t>SALES DISCOUNT - EXPORT - MERCATOR MEDICAL S.A.</t>
  </si>
  <si>
    <t>NBR-5320/001</t>
  </si>
  <si>
    <t>GOODS RETUNED - LOCAL - NBR LINES</t>
  </si>
  <si>
    <t>NBR-5320/002</t>
  </si>
  <si>
    <t>SALE DISCOUNT - LOCAL - NBR LINES</t>
  </si>
  <si>
    <t>NBR-6020/000</t>
  </si>
  <si>
    <t>NBR OPENING STOCK - FG  - UNPACK</t>
  </si>
  <si>
    <t>NBR-6021/000</t>
  </si>
  <si>
    <t>NBR CLOSING STOCK - FG - UNPACK</t>
  </si>
  <si>
    <t>NBR-6030/000</t>
  </si>
  <si>
    <t>NBR OPENING STOK - FG - PACKED</t>
  </si>
  <si>
    <t>NBR-6031/000</t>
  </si>
  <si>
    <t>NBR CLOSING STOCK - FG - PACKED</t>
  </si>
  <si>
    <t>NBR-6050/001</t>
  </si>
  <si>
    <t>NBR-ADJUSTMENT FOR COST OF GOOD SOLD.</t>
  </si>
  <si>
    <t>NBR-7000/121</t>
  </si>
  <si>
    <t>NBR OPENING STOCK - CHEMICAL</t>
  </si>
  <si>
    <t>NBR-7000/122</t>
  </si>
  <si>
    <t>NBR PURCHASES - CHEMICAL</t>
  </si>
  <si>
    <t>NBR-7000/123</t>
  </si>
  <si>
    <t>NBR IMPORT DUTY - CHEMICAL</t>
  </si>
  <si>
    <t>NBR-7000/124</t>
  </si>
  <si>
    <t>NBR PURCHASES DISCOUNT - CHEMICAL</t>
  </si>
  <si>
    <t>NBR-7000/125</t>
  </si>
  <si>
    <t>NBR CLOSING STOCK - CHEMICAL</t>
  </si>
  <si>
    <t>NBR-7000/130</t>
  </si>
  <si>
    <t>NBR OPENING STOCK - SYNTHETIC LATEX</t>
  </si>
  <si>
    <t>NBR-7000/131</t>
  </si>
  <si>
    <t>NBR PURCHASE SYNTHETICS LATEX</t>
  </si>
  <si>
    <t>NBR-7000/132</t>
  </si>
  <si>
    <t>NBR-IMPORT EXPENSES - SYNTHETICS LATEX</t>
  </si>
  <si>
    <t>NBR-7000/133</t>
  </si>
  <si>
    <t>PURCHASES DISCOUNT -  SYNTHETICS LATEX</t>
  </si>
  <si>
    <t>NBR-7000/134</t>
  </si>
  <si>
    <t>CLOSING STOCK - SYNTHETICS LATEX</t>
  </si>
  <si>
    <t>NBR-7000/211</t>
  </si>
  <si>
    <t>DIRECT LABOUR - COMPOUND WAGES -NBR</t>
  </si>
  <si>
    <t>NBR-7000/212</t>
  </si>
  <si>
    <t>DIRECT LABOUR - COIMPOUND O/T -NBR</t>
  </si>
  <si>
    <t>NBR-7000/213</t>
  </si>
  <si>
    <t>DIRECT LABOUR - COMPOUND ALLOWANCE -NBR</t>
  </si>
  <si>
    <t>NBR-7000/214</t>
  </si>
  <si>
    <t>DIRECT LABOUR - COMPOUND SOCIAL SECURITY -NBR</t>
  </si>
  <si>
    <t>NBR-7000/215</t>
  </si>
  <si>
    <t>DIRECT LABOUR - COMPOUND BONUS -NBR</t>
  </si>
  <si>
    <t>NBR-7000/221</t>
  </si>
  <si>
    <t>DIRECT LABOUR - DIPPING LINE WAGES -NBR</t>
  </si>
  <si>
    <t>NBR-7000/222</t>
  </si>
  <si>
    <t>DIRECT LABOUR - DIPPING O/T -NBR</t>
  </si>
  <si>
    <t>NBR-7000/223</t>
  </si>
  <si>
    <t>DIRECT LABOUR - DIPPING ALLOWANCE -NBR</t>
  </si>
  <si>
    <t>NBR-7000/224</t>
  </si>
  <si>
    <t>DIRECT LABOUR - DIPPING SOCIAL SECURITY -NBR</t>
  </si>
  <si>
    <t>NBR-7000/225</t>
  </si>
  <si>
    <t>DIRECT LABOUR - DIPPING LINE BONUS -NBR</t>
  </si>
  <si>
    <t>NBR-7000/231</t>
  </si>
  <si>
    <t>DIRECT LABOUR - CHLORINATION WAGES -NBR</t>
  </si>
  <si>
    <t>NBR-7000/232</t>
  </si>
  <si>
    <t>DIRECT LABOUR - CHLORINATION O/T -NBR</t>
  </si>
  <si>
    <t>NBR-7000/233</t>
  </si>
  <si>
    <t>DIRECT LABOUR - CHLORINATION ALLOWANCE -NBR</t>
  </si>
  <si>
    <t>NBR-7000/234</t>
  </si>
  <si>
    <t>DIRECT LABOUR - CHLORINATION SOCIAL -NBR</t>
  </si>
  <si>
    <t>NBR-7000/241</t>
  </si>
  <si>
    <t>DIRECT LABOUR - PACKING WAGES -NBR</t>
  </si>
  <si>
    <t>NBR-7000/242</t>
  </si>
  <si>
    <t>DIRECT LABOUR - PACKING O/T -NBR</t>
  </si>
  <si>
    <t>NBR-7000/243</t>
  </si>
  <si>
    <t>DIRECT LABOUR - PACKING ALLOWANCE -NBR</t>
  </si>
  <si>
    <t>NBR-7000/244</t>
  </si>
  <si>
    <t>DIRECT LABOUR - PACKING SOCIAL -NBR</t>
  </si>
  <si>
    <t>NBR-7000/245</t>
  </si>
  <si>
    <t>DIRECT LABOUR - PACKING CONTRACT -NBR</t>
  </si>
  <si>
    <t>NBR-7000/246</t>
  </si>
  <si>
    <t>DIRECT LABOUR - REWORK GLOVES -NBR</t>
  </si>
  <si>
    <t>NBR-7000/247</t>
  </si>
  <si>
    <t>DIRECT LABOUR - PACKING BONUS -NBR</t>
  </si>
  <si>
    <t>NBR-7000/251</t>
  </si>
  <si>
    <t>DIRECT LABOUR - MAINTENANCE WAGES -NBR</t>
  </si>
  <si>
    <t>NBR-7000/252</t>
  </si>
  <si>
    <t>DIRECT LABOUR - MAINTENANCE O/T -NBR</t>
  </si>
  <si>
    <t>NBR-7000/253</t>
  </si>
  <si>
    <t>DIRECT LABOUR - MAINTENANCE ALLOWANCE -NBR</t>
  </si>
  <si>
    <t>NBR-7000/254</t>
  </si>
  <si>
    <t>DIRECT LABOUR - MAINTENANCE SOCIAL -NBR</t>
  </si>
  <si>
    <t>NBR-7000/255</t>
  </si>
  <si>
    <t>DIRECT LABOUR - MAINTENANCE BONUS -NBR</t>
  </si>
  <si>
    <t>NBR-7000/261</t>
  </si>
  <si>
    <t>DIRECT LABOUR - LAB WAGES -NBR</t>
  </si>
  <si>
    <t>NBR-7000/262</t>
  </si>
  <si>
    <t>DIRECT LABOUR - LAB O/T -NBR</t>
  </si>
  <si>
    <t>NBR-7000/263</t>
  </si>
  <si>
    <t>DIRECT LABOUR - LAB SPECIAL ALLOWANCE -NBR</t>
  </si>
  <si>
    <t>NBR-7000/264</t>
  </si>
  <si>
    <t>DIRECT LABOUR - LAB SOCIAL SECURITY -NBR</t>
  </si>
  <si>
    <t>NBR-7000/265</t>
  </si>
  <si>
    <t>DIRECT LABOUR - LAB BONUS -NBR</t>
  </si>
  <si>
    <t>NBR-7000/271</t>
  </si>
  <si>
    <t>DIRECT LABOUR - QA WAGES -NBR</t>
  </si>
  <si>
    <t>NBR-7000/272</t>
  </si>
  <si>
    <t>DIRECT LABOUR - QA O/T -NBR</t>
  </si>
  <si>
    <t>NBR-7000/273</t>
  </si>
  <si>
    <t>DIRECT LABOUR - QA SPECIAL ALLOWANCE -NBR</t>
  </si>
  <si>
    <t>NBR-7000/274</t>
  </si>
  <si>
    <t>DIRECT LABOUR - QA SOCIAL SECURITY -NBR</t>
  </si>
  <si>
    <t>NBR-7000/275</t>
  </si>
  <si>
    <t>DIRECT LABOUR - QA BONUS -NBR</t>
  </si>
  <si>
    <t>NBR-7000/281</t>
  </si>
  <si>
    <t>DIRECT LABOUR - STORE &amp; WAREHOUSE WAGES -NBR</t>
  </si>
  <si>
    <t>NBR-7000/282</t>
  </si>
  <si>
    <t>DIRECT LABOUR - STORE &amp; WAREHOUSE O/T -NBR</t>
  </si>
  <si>
    <t>NBR-7000/283</t>
  </si>
  <si>
    <t>DIRECT LABOUR - STORE &amp; WAREHOUSE SPECIAL ALLOWANCE -NBR</t>
  </si>
  <si>
    <t>NBR-7000/284</t>
  </si>
  <si>
    <t>DIRECT LABOUR - STORE &amp; WAREHOUSE SOCIAL SECURITY -NBR</t>
  </si>
  <si>
    <t>NBR-7000/285</t>
  </si>
  <si>
    <t>DIRECT LABOUR - STORE &amp; WAREHOUSE BONUS -NBR</t>
  </si>
  <si>
    <t>NBR-7000/331</t>
  </si>
  <si>
    <t xml:space="preserve">NBR OPENING STOCK - WOOD CHIP </t>
  </si>
  <si>
    <t>NBR-7000/332</t>
  </si>
  <si>
    <t>NBR PURCHASES WOOD CHIP</t>
  </si>
  <si>
    <t>NBR-7000/332-1</t>
  </si>
  <si>
    <t>NBR DISCOUNT WOOD CHIP</t>
  </si>
  <si>
    <t>NBR-7000/333</t>
  </si>
  <si>
    <t xml:space="preserve">NBR CLOSING STOCK - WOOD CHIP </t>
  </si>
  <si>
    <t>NBR-7000/341</t>
  </si>
  <si>
    <t xml:space="preserve">NBR OPENING STOCK - PALM SHELL </t>
  </si>
  <si>
    <t>NBR-7000/342</t>
  </si>
  <si>
    <t>NBR PURCHASES - PALM SHELL</t>
  </si>
  <si>
    <t>NBR-7000/342-1</t>
  </si>
  <si>
    <t>NBR DISCOUNT - PALM SHELL</t>
  </si>
  <si>
    <t>NBR-7000/343</t>
  </si>
  <si>
    <t xml:space="preserve">NBR CLOSING STOCK - PALM SHELL </t>
  </si>
  <si>
    <t>NBR-7000/345</t>
  </si>
  <si>
    <t xml:space="preserve">NBR OPENING STOCK - FIBER </t>
  </si>
  <si>
    <t>NBR-7000/346</t>
  </si>
  <si>
    <t>NBR PURCHASE - FIBER</t>
  </si>
  <si>
    <t>NBR-7000/346-1</t>
  </si>
  <si>
    <t>NBR DISCOUNT - FIBER</t>
  </si>
  <si>
    <t>NBR-7000/347</t>
  </si>
  <si>
    <t xml:space="preserve">NBR CLOSING STOCK - FIBER </t>
  </si>
  <si>
    <t>NBR-7000/354</t>
  </si>
  <si>
    <t xml:space="preserve">NBR OPENING STOCK - FIBER MIX WITH PKS </t>
  </si>
  <si>
    <t>NBR-7000/355</t>
  </si>
  <si>
    <t xml:space="preserve">NBR PURCHASES - FIBER MIX WITH PKS </t>
  </si>
  <si>
    <t>NBR-7000/356</t>
  </si>
  <si>
    <t xml:space="preserve">NBR CLOSING STOCK - FIBER MIX WITH PKS </t>
  </si>
  <si>
    <t>NBR-7000/357</t>
  </si>
  <si>
    <t xml:space="preserve">NBR OPENING STOCK - EMPTY FRUIT BUCH PALM </t>
  </si>
  <si>
    <t>NBR-7000/358</t>
  </si>
  <si>
    <t xml:space="preserve">NBR PURCHASES - EMPTY FRUIT BUNCH OF PALM </t>
  </si>
  <si>
    <t>NBR-7000/359</t>
  </si>
  <si>
    <t xml:space="preserve">NBR CLOSING STOCK - EMPTY FRUIT BUCH PALM </t>
  </si>
  <si>
    <t>NBR-7000/360</t>
  </si>
  <si>
    <t>PACKING MATERIAL USED - NBR</t>
  </si>
  <si>
    <t>NBR-7000/361</t>
  </si>
  <si>
    <t>OPENING STOCK - PACKING MATERIAL - NBR</t>
  </si>
  <si>
    <t>NBR-7000/362</t>
  </si>
  <si>
    <t>PURCHASES - PACKING MATERIAL -NBR</t>
  </si>
  <si>
    <t>NBR-7000/362-1</t>
  </si>
  <si>
    <t>PURCHASE - STICKER FOR PACKING MATERIAL - NBR</t>
  </si>
  <si>
    <t>NBR-7000/362-2</t>
  </si>
  <si>
    <t>NBR-DISCOUNT PACKING MATERIAL</t>
  </si>
  <si>
    <t>NBR-7000/362-3</t>
  </si>
  <si>
    <t>NBR - IMPORT EXPENSE - PACKING MATERIAL</t>
  </si>
  <si>
    <t>NBR-7000/363</t>
  </si>
  <si>
    <t>CLOSING STOCK - PACKING MATERIAL -NBR</t>
  </si>
  <si>
    <t>NBR-7000/381</t>
  </si>
  <si>
    <t>NBR OPENING STOCK - OTHER SUPPLIES</t>
  </si>
  <si>
    <t>NBR-7000/382</t>
  </si>
  <si>
    <t>NBR PURCHASES OTHER SUPPLIES</t>
  </si>
  <si>
    <t>NBR-7000/383</t>
  </si>
  <si>
    <t>NBR CLOSING STOCK - OTHER SUPPLIES</t>
  </si>
  <si>
    <t>NBR-7000/384</t>
  </si>
  <si>
    <t xml:space="preserve">NBR OPENING STOCK-DIESEL </t>
  </si>
  <si>
    <t>NBR-7000/385</t>
  </si>
  <si>
    <t>NBR PURCHASES DIESEL</t>
  </si>
  <si>
    <t>NBR-7000/386</t>
  </si>
  <si>
    <t xml:space="preserve">NBR CLOSING STOCK-DIESEL </t>
  </si>
  <si>
    <t>NBR-7000/387</t>
  </si>
  <si>
    <t xml:space="preserve">NBR OPENING STOCK-PLASTIC BAG </t>
  </si>
  <si>
    <t>NBR-7000/388</t>
  </si>
  <si>
    <t>NBR PURCHASES PLASTIC BAG</t>
  </si>
  <si>
    <t>NBR-7000/389</t>
  </si>
  <si>
    <t xml:space="preserve">NBR CLOSING STOCK-PLASTIC BAG </t>
  </si>
  <si>
    <t>NBR-7000/390</t>
  </si>
  <si>
    <t xml:space="preserve">NBR OPENING STOCK-STRING </t>
  </si>
  <si>
    <t>NBR-7000/391</t>
  </si>
  <si>
    <t>NBR PURCHASES STRING</t>
  </si>
  <si>
    <t>NBR-7000/392</t>
  </si>
  <si>
    <t xml:space="preserve">NBR CLOSING STOCK-STRING </t>
  </si>
  <si>
    <t>NBR-7000/393</t>
  </si>
  <si>
    <t xml:space="preserve">NBR OPENING STOCK-OPP TAPE </t>
  </si>
  <si>
    <t>NBR-7000/394</t>
  </si>
  <si>
    <t>NBR PURCHASES OPP TAPE</t>
  </si>
  <si>
    <t>NBR-7000/395</t>
  </si>
  <si>
    <t xml:space="preserve">NBR CLOSING STOCK-OPP TAPE </t>
  </si>
  <si>
    <t>NBR-7000/396</t>
  </si>
  <si>
    <t xml:space="preserve">NBR OPENING STOCK-WHITE CLOTH </t>
  </si>
  <si>
    <t>NBR-7000/397</t>
  </si>
  <si>
    <t>NBR PURCHASES WHITE CLOTH</t>
  </si>
  <si>
    <t>NBR-7000/398</t>
  </si>
  <si>
    <t xml:space="preserve">NBR CLOSING STOCK-WHITE CLOTH </t>
  </si>
  <si>
    <t>NBR-7000/399</t>
  </si>
  <si>
    <t xml:space="preserve">NBR OPENING STOCK-CHEMICAL OF LAB </t>
  </si>
  <si>
    <t>NBR-7000/400</t>
  </si>
  <si>
    <t>NBR PURCHASE CHEMICAL OF LAB</t>
  </si>
  <si>
    <t>NBR-7000/401</t>
  </si>
  <si>
    <t xml:space="preserve">NBR CLOSING STOCK-CHEMICAL OF LAB </t>
  </si>
  <si>
    <t>NBR-7000/402</t>
  </si>
  <si>
    <t xml:space="preserve">NBR OPENING STOCK-SALT </t>
  </si>
  <si>
    <t>NBR-7000/403</t>
  </si>
  <si>
    <t>NBR PURCHASE SALT</t>
  </si>
  <si>
    <t>NBR-7000/404</t>
  </si>
  <si>
    <t xml:space="preserve">NBR CLOSING STOCK-SALT </t>
  </si>
  <si>
    <t>NBR-7000/490</t>
  </si>
  <si>
    <t xml:space="preserve">NBR OPENING STOCK-SPARE PART OF FORMER </t>
  </si>
  <si>
    <t>NBR-7000/491</t>
  </si>
  <si>
    <t>NBR PURCHASE SPARE PART OF FORMER</t>
  </si>
  <si>
    <t>NBR-7000/492</t>
  </si>
  <si>
    <t xml:space="preserve">NBR CLOSING STOCK-SPARE PART OF FORMER </t>
  </si>
  <si>
    <t>NBR-7000/495</t>
  </si>
  <si>
    <t xml:space="preserve">NBR OPENING STOCK-SPARE PART OF ENGINEERING </t>
  </si>
  <si>
    <t>NBR-7000/496</t>
  </si>
  <si>
    <t>NBR PURCHASE SPARE PART OF ENGINEERING</t>
  </si>
  <si>
    <t>NBR-7000/496-1</t>
  </si>
  <si>
    <t>NBR-DISCOUNT OF SPARE PART OF ENGINEERING</t>
  </si>
  <si>
    <t>NBR-7000/497</t>
  </si>
  <si>
    <t xml:space="preserve">NBR CLOSING STOCK-SPARE PART OF ENGINEERING </t>
  </si>
  <si>
    <t>NBR-7000/501</t>
  </si>
  <si>
    <t xml:space="preserve">NBR OPENING STOCK- SUPPLIES OF WAREHOUSE </t>
  </si>
  <si>
    <t>NBR-7000/502</t>
  </si>
  <si>
    <t>NBR PURCHASE SUPPLIES OF WAREHOUSE</t>
  </si>
  <si>
    <t>NBR-7000/503</t>
  </si>
  <si>
    <t xml:space="preserve">NBR CLOSING STOCK - SUPPLIES OF WAREHOUSE </t>
  </si>
  <si>
    <t>NBR-7000/505</t>
  </si>
  <si>
    <t>NBR-PURCHASE CHEMICAL FOR R&amp;D</t>
  </si>
  <si>
    <t>NBR-7000/510</t>
  </si>
  <si>
    <t>NBR-PUCHASE CHEMICAL OF WATER</t>
  </si>
  <si>
    <t>NBR-7000/511</t>
  </si>
  <si>
    <t>OH - SALARY -NBR</t>
  </si>
  <si>
    <t>NBR-7000/512</t>
  </si>
  <si>
    <t>OH - WAGES -NBR</t>
  </si>
  <si>
    <t>NBR-7000/513</t>
  </si>
  <si>
    <t>OH - OVERTIMES -NBR</t>
  </si>
  <si>
    <t>NBR-7000/514</t>
  </si>
  <si>
    <t>OH - ALLOWANCE -NBR</t>
  </si>
  <si>
    <t>NBR-7000/515</t>
  </si>
  <si>
    <t>OH - MEDICAL -NBR</t>
  </si>
  <si>
    <t>NBR-7000/516</t>
  </si>
  <si>
    <t>OH - SOCIAL SECURITY -NBR</t>
  </si>
  <si>
    <t>NBR-7000/517</t>
  </si>
  <si>
    <t>OH - COMPENSATION FUND -NBR</t>
  </si>
  <si>
    <t>NBR-7000/518</t>
  </si>
  <si>
    <t>OH - EMPLOYEE WELFARE -NBR</t>
  </si>
  <si>
    <t>NBR-7000/519</t>
  </si>
  <si>
    <t>OH - TRAINING AND SEMINAR -NBR</t>
  </si>
  <si>
    <t>NBR-7000/520</t>
  </si>
  <si>
    <t>OH - COMMISSION FOR SOURCE WORKER -NBR</t>
  </si>
  <si>
    <t>NBR-7000/521</t>
  </si>
  <si>
    <t>OH - TRAVELLING -NBR</t>
  </si>
  <si>
    <t>NBR-7000/522</t>
  </si>
  <si>
    <t>OH - COMPENSATION FUND FOR EMPLOYEE -NBR</t>
  </si>
  <si>
    <t>NBR-7000/523</t>
  </si>
  <si>
    <t>OH - SEVERANCE PAY -NBR</t>
  </si>
  <si>
    <t>NBR-7000/524</t>
  </si>
  <si>
    <t>OH - BONUS -NBR</t>
  </si>
  <si>
    <t>NBR-7000/525</t>
  </si>
  <si>
    <t>OH - FUNERAL EMPLOYEE RELATIVE - NBR</t>
  </si>
  <si>
    <t>NBR-7000/526</t>
  </si>
  <si>
    <t>OH - EXPENSE OF COVID-19 PREVENTION - NBR</t>
  </si>
  <si>
    <t>NBR-7000/537</t>
  </si>
  <si>
    <t>OH - PIPE WATER - NBR</t>
  </si>
  <si>
    <t>NBR-7000/538</t>
  </si>
  <si>
    <t>OH - ELECTRICITY - NBR</t>
  </si>
  <si>
    <t>NBR-7000/538-1</t>
  </si>
  <si>
    <t>OH - ELECTRICITY - NBR (SAND POND OUTSIDE)</t>
  </si>
  <si>
    <t>NBR-7000/539</t>
  </si>
  <si>
    <t>OH - STAMP AND POSTAGE - NBR</t>
  </si>
  <si>
    <t>NBR-7000/540</t>
  </si>
  <si>
    <t>NBR-OH - LABOR OF OUTSOURCE</t>
  </si>
  <si>
    <t>NBR-7000/541</t>
  </si>
  <si>
    <t xml:space="preserve">NBR OH - R&amp;M BUILDING AND CONSTRUCTION </t>
  </si>
  <si>
    <t>NBR-7000/542</t>
  </si>
  <si>
    <t xml:space="preserve">NBR OH - R&amp;M BUILDING - ROOF </t>
  </si>
  <si>
    <t>NBR-7000/543</t>
  </si>
  <si>
    <t xml:space="preserve">NBR OH - R&amp;M BUILDING - WALL </t>
  </si>
  <si>
    <t>NBR-7000/544</t>
  </si>
  <si>
    <t xml:space="preserve">NBR OH - R&amp;M BUILDING - FLOOR </t>
  </si>
  <si>
    <t>NBR-7000/545</t>
  </si>
  <si>
    <t xml:space="preserve">NBR OH - R&amp;M LAND IMPROVEMENTS </t>
  </si>
  <si>
    <t>NBR-7000/546</t>
  </si>
  <si>
    <t xml:space="preserve">NBR OH - R&amp;M BUILDING IMPROVEMENTS </t>
  </si>
  <si>
    <t>NBR-7000/550</t>
  </si>
  <si>
    <t>NBR-OH - R&amp;M MACHINERY AND FACTORY EQUIPMENT</t>
  </si>
  <si>
    <t>NBR-7000/551</t>
  </si>
  <si>
    <t xml:space="preserve">NBR OH - R&amp;M MAC.&amp;EQUIPMENT- AIR CONDITION </t>
  </si>
  <si>
    <t>NBR-7000/552</t>
  </si>
  <si>
    <t xml:space="preserve">NBR OH - R&amp;M MAC.&amp;EQUIPMENT- PRINTING OF PAC </t>
  </si>
  <si>
    <t>NBR-7000/553</t>
  </si>
  <si>
    <t xml:space="preserve">NBR OH - R&amp;M MAC.&amp;EQUIPMENT- COMPUTER&amp;PRINTE </t>
  </si>
  <si>
    <t>NBR-7000/554</t>
  </si>
  <si>
    <t xml:space="preserve">NBR OH - R&amp;M MAC.&amp;EQUIPMENT- LAB/QA EQUIPMEN </t>
  </si>
  <si>
    <t>NBR-7000/555</t>
  </si>
  <si>
    <t xml:space="preserve">NBR OH - R&amp;M MAC.&amp;EQUIPMENT- WEIGHTING </t>
  </si>
  <si>
    <t>NBR-7000/556</t>
  </si>
  <si>
    <t>NBR OH - R&amp;M MAC.&amp;EQUIPMENT- TOH</t>
  </si>
  <si>
    <t>NBR-7000/563</t>
  </si>
  <si>
    <t>NBR OH - R&amp;M FORKLIFT EXPENSES</t>
  </si>
  <si>
    <t>NBR-7000/564</t>
  </si>
  <si>
    <t xml:space="preserve">NBR OH - R&amp;M KUBOTA EXPENSES/WHEEL LOADER </t>
  </si>
  <si>
    <t>NBR-7000/565</t>
  </si>
  <si>
    <t xml:space="preserve">NBR OH - RENTAL MACHINERY </t>
  </si>
  <si>
    <t>NBR-7000/566</t>
  </si>
  <si>
    <t>NBR OH - RENTAL JCB (REMOVE ASH)</t>
  </si>
  <si>
    <t>NBR-7000/567</t>
  </si>
  <si>
    <t xml:space="preserve">NBR OH - RENTAL JCB FOR MIX ENERGY </t>
  </si>
  <si>
    <t>NBR-7000/568</t>
  </si>
  <si>
    <t>NBR OH - RENTAL FORKLIFT / CRANE</t>
  </si>
  <si>
    <t>NBR-7000/569</t>
  </si>
  <si>
    <t>NBR-OH - RENTAL CONTAINER</t>
  </si>
  <si>
    <t>NBR-7000/570</t>
  </si>
  <si>
    <t>NBR-OH - INSPECTION EXPENSES</t>
  </si>
  <si>
    <t>NBR-7000/571</t>
  </si>
  <si>
    <t>OH - DEPRECIATION LAND IMPROVEMENTS - NBR</t>
  </si>
  <si>
    <t>NBR-7000/572</t>
  </si>
  <si>
    <t>OH - DEPRECIATION BUILDINGS&amp;CONSTRUCTION - NBR</t>
  </si>
  <si>
    <t>NBR-7000/573</t>
  </si>
  <si>
    <t>OH - DEPRECIATION BUILDING IMPROVEMENTS - NBR</t>
  </si>
  <si>
    <t>NBR-7000/574</t>
  </si>
  <si>
    <t>OH - DEPRECIATION MACHINERY&amp;FACTORY EQIPMENT - NBR</t>
  </si>
  <si>
    <t>NBR-7000/575</t>
  </si>
  <si>
    <t>OH - DEPRECIATION FACTORY EQUIPMENT - NBR</t>
  </si>
  <si>
    <t>NBR-7000/579-1</t>
  </si>
  <si>
    <t>OH - DEPRECIATION LAND IMPROVEMENTS NBR IMPAIRMENT</t>
  </si>
  <si>
    <t>NBR-7000/579-2</t>
  </si>
  <si>
    <t>OH - DEPRECIATION BUILDINGS&amp;CON. NBR IMPAIRMENT</t>
  </si>
  <si>
    <t>NBR-7000/579-3</t>
  </si>
  <si>
    <t>OH - DEPRECIATION BUILDING IM. NBR IMPAIRMENT</t>
  </si>
  <si>
    <t>NBR-7000/579-4</t>
  </si>
  <si>
    <t>OH - DEPRECIATION MACHINERY&amp;EQUIP. NBR IMPAIRMENT</t>
  </si>
  <si>
    <t>NBR-7000/579-5</t>
  </si>
  <si>
    <t>OH - DEPRECIATION FACTORY EQUIPMENT NBR IMPAIRMENT</t>
  </si>
  <si>
    <t>NBR-7000/581</t>
  </si>
  <si>
    <t xml:space="preserve">NBR OH - FACTORY EQUIPMENT/SUPPLIES </t>
  </si>
  <si>
    <t>NBR-7000/582</t>
  </si>
  <si>
    <t>NBR OH - FACTORY INSURANCE</t>
  </si>
  <si>
    <t>NBR-7000/583</t>
  </si>
  <si>
    <t xml:space="preserve">NBR OH - MACHINERY &amp; CAR INSURANCE </t>
  </si>
  <si>
    <t>NBR-7000/584</t>
  </si>
  <si>
    <t>NBR OH - STATIONERY AND PRINTING</t>
  </si>
  <si>
    <t>NBR-7000/585</t>
  </si>
  <si>
    <t xml:space="preserve">NBR OH - GASOLINE </t>
  </si>
  <si>
    <t>NBR-7000/586</t>
  </si>
  <si>
    <t>NBR OH - IMPORT DUTY</t>
  </si>
  <si>
    <t>NBR-7000/587</t>
  </si>
  <si>
    <t xml:space="preserve">NBR OH - OTHER CONSUMABLE </t>
  </si>
  <si>
    <t>NBR-7000/588</t>
  </si>
  <si>
    <t>NBR OH - CALABRATE SERVICE</t>
  </si>
  <si>
    <t>NBR-7000/589</t>
  </si>
  <si>
    <t>NBR OH - WATER TREATMENT EXPENSES</t>
  </si>
  <si>
    <t>NBR-7000/590</t>
  </si>
  <si>
    <t xml:space="preserve">NBR OH - SOLD CHEMICAL &amp;  PACKING MATERIAL </t>
  </si>
  <si>
    <t>NBR-7000/591</t>
  </si>
  <si>
    <t>NBR OH - LOSS ON DISPOSAL OF FIXED ASSETS</t>
  </si>
  <si>
    <t>NBR-7000/592</t>
  </si>
  <si>
    <t xml:space="preserve">NBR OH - CONTAINER EXPENSE </t>
  </si>
  <si>
    <t>NBR-7000/593</t>
  </si>
  <si>
    <t>NBR OH - TRANSPORT / SHIPPING EXPENSES</t>
  </si>
  <si>
    <t>NBR-7000/600</t>
  </si>
  <si>
    <t>NBR OH - MISCELLANEOUS EXPENSES</t>
  </si>
  <si>
    <t>NBR-7000/601</t>
  </si>
  <si>
    <t>NBR OH - SAFETY EXPENSE</t>
  </si>
  <si>
    <t>NBR-7000/602</t>
  </si>
  <si>
    <t>NBR OH - TESTING EXPENSE</t>
  </si>
  <si>
    <t>NBR-7000/603</t>
  </si>
  <si>
    <t xml:space="preserve">NBR OH - MANAGEMENT FEE OF PP&amp;E </t>
  </si>
  <si>
    <t>NBR-7000/604</t>
  </si>
  <si>
    <t>NBR OH - DISPOSE SLUDGE AND SCRAP</t>
  </si>
  <si>
    <t>NBR-7000/605</t>
  </si>
  <si>
    <t>NBR OH - RECRUITMENT EXPENSES</t>
  </si>
  <si>
    <t>NBR-7000/606</t>
  </si>
  <si>
    <t>NBR-OH - SERVICE FEE</t>
  </si>
  <si>
    <t>NBR-7000/700</t>
  </si>
  <si>
    <t>NBR-OH - LOSS FROM NET REALIZABLE VALUE</t>
  </si>
  <si>
    <t>NBR-7000/701</t>
  </si>
  <si>
    <t>NBR-OH - LOSS FROM SCRAP LATEX &amp; CHEMICAL COMPOUND</t>
  </si>
  <si>
    <t>NBR-7000/800</t>
  </si>
  <si>
    <t>NBR-OH - OUTSIDE SERVICES - OUTSOURCE</t>
  </si>
  <si>
    <t>NBR-7000/901</t>
  </si>
  <si>
    <t>OPENING STOCK - WORK IN PROGRESS (RAW MATERIAL) - NBR</t>
  </si>
  <si>
    <t>NBR-7000/902</t>
  </si>
  <si>
    <t>CLOSING STOCK - WORK IN PROGRESS (RAW MATERIAL) - NBR</t>
  </si>
  <si>
    <t>NBR-9101/000</t>
  </si>
  <si>
    <t>NBR SALARY</t>
  </si>
  <si>
    <t>NBR-9101/001</t>
  </si>
  <si>
    <t>NBR MANAGEMENT FEE / NBR DIRECTOR FEE</t>
  </si>
  <si>
    <t>NBR-9101/002</t>
  </si>
  <si>
    <t>NBR ALLOWANCE OF EMPLOYEE</t>
  </si>
  <si>
    <t>NBR-9103/000</t>
  </si>
  <si>
    <t>NBR OVERTIME</t>
  </si>
  <si>
    <t>NBR-9104/000</t>
  </si>
  <si>
    <t>NBR ACCOMMODATION</t>
  </si>
  <si>
    <t>NBR-9105/000</t>
  </si>
  <si>
    <t>NBR TRAVELLING</t>
  </si>
  <si>
    <t>NBR-9106/000</t>
  </si>
  <si>
    <t>NBR WELFARE FOR EMPLOYEE</t>
  </si>
  <si>
    <t>NBR-9106/007</t>
  </si>
  <si>
    <t>NBR-FUNERAL STAFF RELATIVE</t>
  </si>
  <si>
    <t>NBR-9107/000</t>
  </si>
  <si>
    <t>NBR SOCIAL INSURANCE</t>
  </si>
  <si>
    <t>NBR-9108/000</t>
  </si>
  <si>
    <t>NBR COMPENSATION FUND</t>
  </si>
  <si>
    <t>NBR-9110/000</t>
  </si>
  <si>
    <t>NBR INSURANCE</t>
  </si>
  <si>
    <t>NBR-9111/000</t>
  </si>
  <si>
    <t>NBR-ADVERTISEMENT EXPENSES</t>
  </si>
  <si>
    <t>NBR-9112/000</t>
  </si>
  <si>
    <t>NBR TRAINING &amp; SEMINAR</t>
  </si>
  <si>
    <t>NBR-9113/000</t>
  </si>
  <si>
    <t>NBR-SEVERANCE PAY</t>
  </si>
  <si>
    <t>NBR-9114/000</t>
  </si>
  <si>
    <t>NBR-PARTY AND GIFT EXPENSE</t>
  </si>
  <si>
    <t>NBR-9115/000</t>
  </si>
  <si>
    <t>NBR-BONUS</t>
  </si>
  <si>
    <t>NBR-9116/000</t>
  </si>
  <si>
    <t>NBR-CURRENT SERVICE COST</t>
  </si>
  <si>
    <t>NBR-9117/000</t>
  </si>
  <si>
    <t>NBR-INTEREST COST (EMPLOYEE BENEFIT)</t>
  </si>
  <si>
    <t>NBR-9118/000</t>
  </si>
  <si>
    <t>NBR-AWARDS TO EMPLOYEES</t>
  </si>
  <si>
    <t>NBR-9201/000</t>
  </si>
  <si>
    <t>FREIGHT AND FORWARDING CHARGES -NBR</t>
  </si>
  <si>
    <t>NBR-9202/000</t>
  </si>
  <si>
    <t>SHIPPING AND LOADING CHARGES -NBR</t>
  </si>
  <si>
    <t>NBR-9202/100</t>
  </si>
  <si>
    <t>FORM A , C/O FORM  SERVICE -NBR</t>
  </si>
  <si>
    <t>NBR-9202/200</t>
  </si>
  <si>
    <t>SHIPPING CLAIM TAX INCOME -NBR</t>
  </si>
  <si>
    <t>NBR-9203/000</t>
  </si>
  <si>
    <t>INSURANCE FOR SHIPMENT -NBR</t>
  </si>
  <si>
    <t>NBR-9204/000</t>
  </si>
  <si>
    <t>TRANSPORTATION -NBR</t>
  </si>
  <si>
    <t>NBR-9205/000</t>
  </si>
  <si>
    <t>LOADING CONTAINER -NBR</t>
  </si>
  <si>
    <t>NBR-9206/000</t>
  </si>
  <si>
    <t>INSPECTION EXPENSES -NBR</t>
  </si>
  <si>
    <t>NBR-9206/001</t>
  </si>
  <si>
    <t>TRAVELLING OF INSPECTOR -NBR</t>
  </si>
  <si>
    <t>NBR-9206/002</t>
  </si>
  <si>
    <t>RENTAL WAREHOUSE / EXPENSES - NBR</t>
  </si>
  <si>
    <t>NBR-9207/000</t>
  </si>
  <si>
    <t>COMMISSION FOR SALE -NBR</t>
  </si>
  <si>
    <t>NBR-9207/001</t>
  </si>
  <si>
    <t>NBR - COMMISSION FOR SALE - MM ITALIA</t>
  </si>
  <si>
    <t>NBR-9208/001</t>
  </si>
  <si>
    <t>NBR - TRADE SHOW EXPENSES</t>
  </si>
  <si>
    <t>NBR-9208/002</t>
  </si>
  <si>
    <t>NBR-SHIPPING CLAIM TAX EXPORT</t>
  </si>
  <si>
    <t>NBR-9208/003</t>
  </si>
  <si>
    <t>NBR-TRAVELLING EXPENSES FOR MARKETING</t>
  </si>
  <si>
    <t>NBR-9208/004</t>
  </si>
  <si>
    <t>NBR - ACCOMMODATION OF CUSTOMER / MARKETING</t>
  </si>
  <si>
    <t>NBR-9208/005</t>
  </si>
  <si>
    <t>NBR - ENTERTAINMENT FOR CUSTOMER</t>
  </si>
  <si>
    <t>NBR-9208/006</t>
  </si>
  <si>
    <t>NBR - COMMUNICATION &amp; POSTAGE OF CUSTOMER</t>
  </si>
  <si>
    <t>NBR-9208/007</t>
  </si>
  <si>
    <t>NBR - TESTING SAMPLE OF GLOVES</t>
  </si>
  <si>
    <t>NBR-9208/008</t>
  </si>
  <si>
    <t>NBR - QUALITY CLAIM BY CUSTOMER</t>
  </si>
  <si>
    <t>NBR-9208/009</t>
  </si>
  <si>
    <t>NBR - CERTIFICATE OF CUSTOMER</t>
  </si>
  <si>
    <t>NBR-9208/010</t>
  </si>
  <si>
    <t>NBR - PRINTING MEDIA - MARKETING</t>
  </si>
  <si>
    <t>NBR-9208/011</t>
  </si>
  <si>
    <t>NBR - SAMPLE GLOVES</t>
  </si>
  <si>
    <t>NBR-9208/012</t>
  </si>
  <si>
    <t>NBR - TRADE INSURANCE</t>
  </si>
  <si>
    <t>NBR-9301/000</t>
  </si>
  <si>
    <t>NBR-INTERNET</t>
  </si>
  <si>
    <t>NBR-9301/001</t>
  </si>
  <si>
    <t xml:space="preserve">NBR-TELEPHONE/FAX - OFFICE FEE </t>
  </si>
  <si>
    <t>NBR-9301/002</t>
  </si>
  <si>
    <t>NBR-TELEPHONE/FAX - HANDPHONE FEE</t>
  </si>
  <si>
    <t>NBR-9301/003</t>
  </si>
  <si>
    <t xml:space="preserve">NBR-TELEPHONE/FAX - FAX FEE </t>
  </si>
  <si>
    <t>NBR-9302/000</t>
  </si>
  <si>
    <t xml:space="preserve">NBR-STAMP AND POSTAGE </t>
  </si>
  <si>
    <t>NBR-9302/001</t>
  </si>
  <si>
    <t xml:space="preserve">NBR-STAMP AND POSTAGE - STAMP </t>
  </si>
  <si>
    <t>NBR-9302/002</t>
  </si>
  <si>
    <t>NBR-STAMP AND POSTAGE - STAMP(ADMIN.)</t>
  </si>
  <si>
    <t>NBR-9302/003</t>
  </si>
  <si>
    <t>NBR-STAMP AND POSTAGE - STAMP(ACCOUNT)</t>
  </si>
  <si>
    <t>NBR-9302/004</t>
  </si>
  <si>
    <t>NBR-STAMP AND POSTAGE - STAMP(OTHER)</t>
  </si>
  <si>
    <t>NBR-9303/000</t>
  </si>
  <si>
    <t xml:space="preserve">NBR-COMMUNICATION EXPENSES </t>
  </si>
  <si>
    <t>NBR-9304/000</t>
  </si>
  <si>
    <t xml:space="preserve">NBR-ELECTRICITY OF OFFICE </t>
  </si>
  <si>
    <t>NBR-9305/000</t>
  </si>
  <si>
    <t>NBR-IT EXPENSES</t>
  </si>
  <si>
    <t>NBR-9306/000</t>
  </si>
  <si>
    <t xml:space="preserve">NBR-CCTV  EXPENSES </t>
  </si>
  <si>
    <t>NBR-9401/000</t>
  </si>
  <si>
    <t xml:space="preserve">NBR-REPAIR AND MAINTENANCE - OFFICE BUILDING </t>
  </si>
  <si>
    <t>NBR-9402/000</t>
  </si>
  <si>
    <t xml:space="preserve">NBR-REPAIR AND MAINTENANCE -OFFICE EQUIPMENT </t>
  </si>
  <si>
    <t>NBR-9402/001</t>
  </si>
  <si>
    <t xml:space="preserve">NBR-REPAIR AND MAINTENANCE - AIR CONDITION </t>
  </si>
  <si>
    <t>NBR-9402/002</t>
  </si>
  <si>
    <t xml:space="preserve">NBR-REPAIR AND MAINTENANCE - TEL. &amp; INTERNET </t>
  </si>
  <si>
    <t>NBR-9402/003</t>
  </si>
  <si>
    <t xml:space="preserve">NBR-REPAIR AND MAINTENANCE - OTHER </t>
  </si>
  <si>
    <t>NBR-9403/000</t>
  </si>
  <si>
    <t xml:space="preserve">NBR-REPAIR AND MAINTENANCE - VEHICLES </t>
  </si>
  <si>
    <t>NBR-9403/001</t>
  </si>
  <si>
    <t>NBR-REPAIR AND MAINTENANCE - VIOS 9295</t>
  </si>
  <si>
    <t>NBR-9403/002</t>
  </si>
  <si>
    <t>NBR-REPAIR AND MAINTENANCE - CIVIC 176</t>
  </si>
  <si>
    <t>NBR-9403/003</t>
  </si>
  <si>
    <t>NBR-REPAIR AND MAINTENANCE - VAN 3805 (40-0561)</t>
  </si>
  <si>
    <t>NBR-9403/004</t>
  </si>
  <si>
    <t>NBR-REPAIR AND MAINTENANCE - CIVIC 1167</t>
  </si>
  <si>
    <t>NBR-9403/005</t>
  </si>
  <si>
    <t>NBR-REPAIR AND MAINTENANCE - MINIBUS 40-0588</t>
  </si>
  <si>
    <t>NBR-9403/006</t>
  </si>
  <si>
    <t>NBR-REPAIR AND MAINTENANCE - MINIBUS 40-0598</t>
  </si>
  <si>
    <t>NBR-9403/007</t>
  </si>
  <si>
    <t>NBR-REPAIR AND MAINTENANCE - MOTORCYCLE 4884</t>
  </si>
  <si>
    <t>NBR-9403/008</t>
  </si>
  <si>
    <t>NBR-EXPENSES FOR VEHICLE FROM PLANT 1</t>
  </si>
  <si>
    <t>NBR-9403/009</t>
  </si>
  <si>
    <t>NBR-REPAIR AND MAINTENANCE - NEW PICK UP</t>
  </si>
  <si>
    <t>NBR-9410/000</t>
  </si>
  <si>
    <t>NBR-REPAIR AND MAINTENANCE - ANNUAL SOFTWARE</t>
  </si>
  <si>
    <t>NBR-9501/000</t>
  </si>
  <si>
    <t>DEPRECIATION - LAND IMPROVEMENTS - NBR</t>
  </si>
  <si>
    <t>NBR-9502/000</t>
  </si>
  <si>
    <t>DEPRECIATION - BULIDING AND CONSTRUCTION - NBR</t>
  </si>
  <si>
    <t>NBR-9503/000</t>
  </si>
  <si>
    <t>DEPRECIATION - BUILDING IMPROVEMENT - NBR</t>
  </si>
  <si>
    <t>NBR-9504/000</t>
  </si>
  <si>
    <t>DEPRECIATION - OFFICE EQUIPMENT - NBR</t>
  </si>
  <si>
    <t>NBR-9504/001</t>
  </si>
  <si>
    <t>DEPRECIATION - RIGHTS OF PROGRAMS - NBR</t>
  </si>
  <si>
    <t>NBR-9505/000</t>
  </si>
  <si>
    <t>DEPRECIATION - COMPUTER - NBR</t>
  </si>
  <si>
    <t>NBR-9506/000</t>
  </si>
  <si>
    <t>DEPRECIATION - FURNITURE &amp; FIXTURE - NBR</t>
  </si>
  <si>
    <t>NBR-9507/000</t>
  </si>
  <si>
    <t>DEPRECIATION - VEHICLES - NBR</t>
  </si>
  <si>
    <t>NBR-9509/000-1</t>
  </si>
  <si>
    <t>DEPRECIATION - LAND IMPROVEMENTS - NBR IMPAIRMENT</t>
  </si>
  <si>
    <t>NBR-9509/000-2</t>
  </si>
  <si>
    <t>DEPRECIATION - BULIDING - NBR IMPAIRMENT</t>
  </si>
  <si>
    <t>NBR-9509/000-3</t>
  </si>
  <si>
    <t>DEPRECIATION - BUILDING IM. - NBR IMPAIRMENT</t>
  </si>
  <si>
    <t>NBR-9509/000-4</t>
  </si>
  <si>
    <t>DEPRECIATION - OFFICE EQUIPMENT - NBR IMPAIRMENT</t>
  </si>
  <si>
    <t>NBR-9509/000-5</t>
  </si>
  <si>
    <t>DEPRECIATION - RIGHTS OF PROGRAMS - NBR IMPAIRMENT</t>
  </si>
  <si>
    <t>NBR-9509/000-6</t>
  </si>
  <si>
    <t>DEPRECIATION - COMPUTER - NBR IMPAIRMENT</t>
  </si>
  <si>
    <t>NBR-9509/000-7</t>
  </si>
  <si>
    <t>DEPRECIATION - FURNITURE&amp;FIXTURE - NBR IMPAIRMENT</t>
  </si>
  <si>
    <t>NBR-9509/000-8</t>
  </si>
  <si>
    <t>DEPRECIATION - VEHICLES - NBR IMPAIRMENT</t>
  </si>
  <si>
    <t>NBR-9601/000</t>
  </si>
  <si>
    <t>NBR-VEHICLES INSURANCE</t>
  </si>
  <si>
    <t>NBR-9602/000</t>
  </si>
  <si>
    <t xml:space="preserve">NBR-FACTORY INSURANCE </t>
  </si>
  <si>
    <t>NBR-9602/001</t>
  </si>
  <si>
    <t xml:space="preserve">NBR-INSURANCE OF EQUIPMENT </t>
  </si>
  <si>
    <t>NBR-9602/002</t>
  </si>
  <si>
    <t>NBR-INSURANCE OF PUBLIC &amp; PRODUCTS LIABILITY</t>
  </si>
  <si>
    <t>NBR-9604/000</t>
  </si>
  <si>
    <t>NBR-STATIONERY AND PRINTING</t>
  </si>
  <si>
    <t>NBR-9604/001</t>
  </si>
  <si>
    <t>NBR-STATIONERY AND PRINTING-PAPER A4</t>
  </si>
  <si>
    <t>NBR-9604/002</t>
  </si>
  <si>
    <t>NBR-STATIONERY AND PRINTING- FORM</t>
  </si>
  <si>
    <t>NBR-9604/003</t>
  </si>
  <si>
    <t>NBR-STATIONERY AND PRINTING- INK PRINTING</t>
  </si>
  <si>
    <t>NBR-9604/004</t>
  </si>
  <si>
    <t>NBR-STATIONERY AND PRINTING- NAME CARD</t>
  </si>
  <si>
    <t>NBR-9604/005</t>
  </si>
  <si>
    <t xml:space="preserve">NBR-STATIONERY AND PRINTING- STICKER </t>
  </si>
  <si>
    <t>NBR-9605/000</t>
  </si>
  <si>
    <t>NBR-GASOLINE</t>
  </si>
  <si>
    <t>NBR-9607/000</t>
  </si>
  <si>
    <t>NBR-BANK CHARGES</t>
  </si>
  <si>
    <t>NBR-9607/001</t>
  </si>
  <si>
    <t>NBR-BANK CHARGES - FCD</t>
  </si>
  <si>
    <t>NBR-9607/002</t>
  </si>
  <si>
    <t>NBR-BANK CHARGES - CUSTOMER LOCAL</t>
  </si>
  <si>
    <t>NBR-9607/003</t>
  </si>
  <si>
    <t>NBR-BANK CHARGES - CUSTOMER EXPORT</t>
  </si>
  <si>
    <t>NBR-9607/004</t>
  </si>
  <si>
    <t xml:space="preserve">NBR-BANK CHARGES - GUARANTEE FEE </t>
  </si>
  <si>
    <t>NBR-9607/005</t>
  </si>
  <si>
    <t xml:space="preserve">NBR-BANK CHARGES-FRONT END FEE/MORTGAGE FEE </t>
  </si>
  <si>
    <t>NBR-9607/006</t>
  </si>
  <si>
    <t>NBR-BANK CHARGES - CUSTOMER IFS</t>
  </si>
  <si>
    <t>NBR-9608/000</t>
  </si>
  <si>
    <t>NBR-AUDIT FEE</t>
  </si>
  <si>
    <t>NBR-9608/001</t>
  </si>
  <si>
    <t>NBR-AUDITOR EXPENSES</t>
  </si>
  <si>
    <t>NBR-9609/000</t>
  </si>
  <si>
    <t xml:space="preserve">NBR-PRE - OPERATING </t>
  </si>
  <si>
    <t>NBR-9610/000</t>
  </si>
  <si>
    <t xml:space="preserve">NBR-OTHER FEE </t>
  </si>
  <si>
    <t>NBR-9611/000</t>
  </si>
  <si>
    <t>NBR-RENTAL</t>
  </si>
  <si>
    <t>NBR-9612/000</t>
  </si>
  <si>
    <t xml:space="preserve">NBR-DOUBTFUL ACCOUNT </t>
  </si>
  <si>
    <t>NBR-9613/000</t>
  </si>
  <si>
    <t>NBR-MEMBERSHIP FEES</t>
  </si>
  <si>
    <t>NBR-9614/000</t>
  </si>
  <si>
    <t>NBR-GOVERNMENT TAX / LICENSE</t>
  </si>
  <si>
    <t>NBR-9614/001</t>
  </si>
  <si>
    <t>NBR-GOVERNMENT TAX/LICENSE-REGISTER FEE</t>
  </si>
  <si>
    <t>NBR-9614/002</t>
  </si>
  <si>
    <t>NBR-GOVERNMENT TAX/LICENSE-RE NEW FEE</t>
  </si>
  <si>
    <t>NBR-9614/003</t>
  </si>
  <si>
    <t xml:space="preserve">NBR-GOVERNMENT TAX/LICENSE- VEHICLE </t>
  </si>
  <si>
    <t>NBR-9614/004</t>
  </si>
  <si>
    <t>NBR-GOVERNMENT TAX/LICENSE- CERTIFICATE</t>
  </si>
  <si>
    <t>NBR-9615/000</t>
  </si>
  <si>
    <t xml:space="preserve">NBR-PIPE WATER </t>
  </si>
  <si>
    <t>NBR-9616/000</t>
  </si>
  <si>
    <t>NBR-OFFICE EQUIPMENT / SUPPLIES</t>
  </si>
  <si>
    <t>NBR-9617/000</t>
  </si>
  <si>
    <t>NBR-ENTERTAINMENT</t>
  </si>
  <si>
    <t>NBR-9617/001</t>
  </si>
  <si>
    <t>NBR-ENTERTAINMENT - TRAINEE</t>
  </si>
  <si>
    <t>NBR-9618/000</t>
  </si>
  <si>
    <t xml:space="preserve">NBR-DONATION /GIFT </t>
  </si>
  <si>
    <t>NBR-9618/001</t>
  </si>
  <si>
    <t xml:space="preserve">NBR-DONATION/GIFT - TEMPLE </t>
  </si>
  <si>
    <t>NBR-9618/002</t>
  </si>
  <si>
    <t xml:space="preserve">NBR-DONATION/GIFT - GOVERNMENT </t>
  </si>
  <si>
    <t>NBR-9618/003</t>
  </si>
  <si>
    <t>NBR-DONATION/GIFT - SOCIAL</t>
  </si>
  <si>
    <t>NBR-9618/004</t>
  </si>
  <si>
    <t>NBR-DONAT - CORPORAT SOCIAL RESPONSIBILITY (CSR)</t>
  </si>
  <si>
    <t>NBR-9619/000</t>
  </si>
  <si>
    <t xml:space="preserve">NBR-DUTY STAMP OF AGREEMENT </t>
  </si>
  <si>
    <t>NBR-9620/000</t>
  </si>
  <si>
    <t>NBR-SECURITY FEE</t>
  </si>
  <si>
    <t>NBR-9621/000</t>
  </si>
  <si>
    <t>NBR-CONSULTANT FEE</t>
  </si>
  <si>
    <t>NBR-9622/000</t>
  </si>
  <si>
    <t xml:space="preserve">NBR-SURVEY FEE </t>
  </si>
  <si>
    <t>NBR-9623/000</t>
  </si>
  <si>
    <t xml:space="preserve">NBR-TAX CARD SERVICE </t>
  </si>
  <si>
    <t>NBR-9624/000</t>
  </si>
  <si>
    <t>NBR-ISO EXPENSES</t>
  </si>
  <si>
    <t>NBR-9624/001</t>
  </si>
  <si>
    <t xml:space="preserve">NBR-ISO EXPENSE - LICENSE </t>
  </si>
  <si>
    <t>NBR-9624/002</t>
  </si>
  <si>
    <t>NBR-ISO EXPENSE - TRAVELLING</t>
  </si>
  <si>
    <t>NBR-9624/003</t>
  </si>
  <si>
    <t>NBR-ISO EXPENSE - ACCOMMODATE / ENTERTAINMENT</t>
  </si>
  <si>
    <t>NBR-9624/004</t>
  </si>
  <si>
    <t>NBR-ISO EXPENSE - TRAINNING</t>
  </si>
  <si>
    <t>NBR-9625/000</t>
  </si>
  <si>
    <t>NBR-LEGAL FEE</t>
  </si>
  <si>
    <t>NBR-9626/000</t>
  </si>
  <si>
    <t>NBR-DISALLOWANCE EXPENSES</t>
  </si>
  <si>
    <t>NBR-9627/000</t>
  </si>
  <si>
    <t>NBR-MISCELLANEOUS EXPENSES</t>
  </si>
  <si>
    <t>NBR-9628/000</t>
  </si>
  <si>
    <t xml:space="preserve">NBR-ACTUARIAL FEE </t>
  </si>
  <si>
    <t>NBR-9629/000</t>
  </si>
  <si>
    <t>NBR-PENALTY EXPENSES</t>
  </si>
  <si>
    <t>NBR-9629/001</t>
  </si>
  <si>
    <t xml:space="preserve">NBR-PENALTY EXPENSES - REVENUE DEPT. </t>
  </si>
  <si>
    <t>NBR-9629/002</t>
  </si>
  <si>
    <t xml:space="preserve">NBR-PENALTY EXPENSES - AUTOCAD </t>
  </si>
  <si>
    <t>NBR-9630/000</t>
  </si>
  <si>
    <t xml:space="preserve">NBR-TRAVELLING &amp; ACCOMMODATION </t>
  </si>
  <si>
    <t>NBR-9631/000</t>
  </si>
  <si>
    <t>NBR-TRANSLATION</t>
  </si>
  <si>
    <t>NBR-9632/000</t>
  </si>
  <si>
    <t>NBR-WITHHOLDING TAX INSTEAD</t>
  </si>
  <si>
    <t>NBR-9633/000</t>
  </si>
  <si>
    <t xml:space="preserve">NBR-RECRUITMENT EXP. </t>
  </si>
  <si>
    <t>NBR-9634/000</t>
  </si>
  <si>
    <t xml:space="preserve">NBR-IMPORT EXPENSES </t>
  </si>
  <si>
    <t>NBR-9635/000</t>
  </si>
  <si>
    <t>NBR-MANAGEMENT FEE - OTHER</t>
  </si>
  <si>
    <t>NBR-9636/000</t>
  </si>
  <si>
    <t>NBR-IMPAIRMENT LOSS ON TRADE RECEIVABLE-RELATED</t>
  </si>
  <si>
    <t>NBR-9637/000</t>
  </si>
  <si>
    <t>NBR-IMPAIRMENT LOSS ON TRADE RECEIVABLE-THIRD</t>
  </si>
  <si>
    <t>NBR-9638/000</t>
  </si>
  <si>
    <t>NBR-IMPAIRMENT LOSS ON PPE &amp; INTANGIBLE ASSETS</t>
  </si>
  <si>
    <t>NBR-9711/001</t>
  </si>
  <si>
    <t>NBR-INTEREST INCOME - FIXED DEPOSITS</t>
  </si>
  <si>
    <t>NBR-9711/002</t>
  </si>
  <si>
    <t>NBR-INTEREST INCOME - SAVING DEPOSITS</t>
  </si>
  <si>
    <t>NBR-9711/003</t>
  </si>
  <si>
    <t>NBR-INTEREST - OTHER INCOME</t>
  </si>
  <si>
    <t>NBR-9712/000</t>
  </si>
  <si>
    <t>NBR - GAIN ON DISPOSAL OF FIXED ASSETS</t>
  </si>
  <si>
    <t>NBR-9714/000</t>
  </si>
  <si>
    <t>NBR-INCOME - TAX CARD</t>
  </si>
  <si>
    <t>NBR-9715/000</t>
  </si>
  <si>
    <t>OTHER INCOME - NBR..</t>
  </si>
  <si>
    <t>NBR-9715/001</t>
  </si>
  <si>
    <t>NBR - COMPENSATION</t>
  </si>
  <si>
    <t>NBR-9715/003</t>
  </si>
  <si>
    <t>NBR-INCOME OF SALE OTHER SCRAP</t>
  </si>
  <si>
    <t>NBR-9715/004</t>
  </si>
  <si>
    <t>NBR-OTHER INCOME FOR PENALTY</t>
  </si>
  <si>
    <t>NBR-9715/005</t>
  </si>
  <si>
    <t>NBR-OTHER INCOME (REVENUE NOT CONSIDER INCOME)</t>
  </si>
  <si>
    <t>NBR-9715/006</t>
  </si>
  <si>
    <t>NBR - OTHER INCOME FOR SHIPPING FEE</t>
  </si>
  <si>
    <t>NBR-9715/007</t>
  </si>
  <si>
    <t>NBR - OTHER INCOME OF COSHILED'S PREPAYMENT</t>
  </si>
  <si>
    <t>NBR-9730/000</t>
  </si>
  <si>
    <t>NBR-GAIN/(LOSS) OF EXCHANGE - MMP LOAN</t>
  </si>
  <si>
    <t>NBR-9731/000</t>
  </si>
  <si>
    <t>NBR-GAIN/(LOSS) OF EXCHANGE - MMP AR/AP</t>
  </si>
  <si>
    <t>NBR-9732/000</t>
  </si>
  <si>
    <t>NBR-GAIN/(LOSS) OF EXCHANGE - OTHER AR (EXTERNAL)</t>
  </si>
  <si>
    <t>NBR-9732/100</t>
  </si>
  <si>
    <t>NBR-GAIN/(LOSS) OF EXCHANGE - FORWARD CONTRACT</t>
  </si>
  <si>
    <t>NBR-9733/000</t>
  </si>
  <si>
    <t>NBR-GAIN/(LOSS) OF EXCHANGE -LOAN / SAVING OF BANK</t>
  </si>
  <si>
    <t>NBR-9734/000</t>
  </si>
  <si>
    <t>NBR-GAIN/(LOSS) OF EXCHANGE - OTHER AP (EXTERNAL)</t>
  </si>
  <si>
    <t>G/L / Adj(P)</t>
  </si>
  <si>
    <t>NBR-9735/000</t>
  </si>
  <si>
    <t>NBR-GAIN/(LOSS) OF EXCHANGE - MMP LOAN - VALUATION</t>
  </si>
  <si>
    <t>NBR-9736/000</t>
  </si>
  <si>
    <t>NBR-GAIN/(LOSS) OF EXCHANGE - OTHER AR - VALUATION</t>
  </si>
  <si>
    <t>NBR-9736/001</t>
  </si>
  <si>
    <t>NBR-GAIN/(LOSS) OF EXCHANGE - MMP AR/AP- VALUATION</t>
  </si>
  <si>
    <t>NBR-9737/000</t>
  </si>
  <si>
    <t>NBR-GAIN/(LOSS) OF EXCHANGE - OTHER AP - VALUATION</t>
  </si>
  <si>
    <t>NBR-9738/000</t>
  </si>
  <si>
    <t>NBR-GAIN/(LOSS) OF EXCHANGE - LOAN OF BANK - VALUA</t>
  </si>
  <si>
    <t>NBR-9739/000</t>
  </si>
  <si>
    <t>NBR-GAIN/(LOSS) OF EXCHANGE - FORWARD VALUATION</t>
  </si>
  <si>
    <t>NBR-9740/000</t>
  </si>
  <si>
    <t>NBR-GAIN/(LOSS) OF EXCHANGE - CASH VALUATION</t>
  </si>
  <si>
    <t>NBR-9901/000</t>
  </si>
  <si>
    <t>NBR-INTEREST EXPENSES</t>
  </si>
  <si>
    <t>NBR-9901/001</t>
  </si>
  <si>
    <t>NBR-INTEREST EXPENSES - OVERDRAFTS</t>
  </si>
  <si>
    <t>NBR-9901/002</t>
  </si>
  <si>
    <t>NBR-INTEREST EXPENSES -SHORT TERM LOANS BANK</t>
  </si>
  <si>
    <t>NBR-9901/003</t>
  </si>
  <si>
    <t>NBR-INTEREST EXPENSES -SHORT TERM LOANS - MMP</t>
  </si>
  <si>
    <t>NBR-9901/004</t>
  </si>
  <si>
    <t>NBR-INTEREST EXPENSES -LONG TERM LOANS BANK</t>
  </si>
  <si>
    <t>NBR-9901/006</t>
  </si>
  <si>
    <t>NBR-INTEREST EXPENSES - VEHICLE LEASING</t>
  </si>
  <si>
    <t>NBR-9907/000</t>
  </si>
  <si>
    <t>NBR-LOSS ON DISPOSAL OF FIXED ASSETS</t>
  </si>
  <si>
    <t>NBR-9908/000</t>
  </si>
  <si>
    <t>NBR-OTHER EXPENSES (OVER RECEIPT)</t>
  </si>
  <si>
    <t>NBR-9990/001</t>
  </si>
  <si>
    <t>NBR-EXPENSES OF TRADING</t>
  </si>
  <si>
    <t>P3-10-00-00-2000</t>
  </si>
  <si>
    <t>ASSETS - NBR PLANT 3</t>
  </si>
  <si>
    <t>P3-1008/100</t>
  </si>
  <si>
    <t>FINISHED GOODS - PACKED-PLANT 3</t>
  </si>
  <si>
    <t>BALANCE SHEET STOCK-PLANT 3</t>
  </si>
  <si>
    <t>P3-1008/101</t>
  </si>
  <si>
    <t>PRE - POWDERED SMOOTH - PACKED-PLANT 3</t>
  </si>
  <si>
    <t>P3-1008/102</t>
  </si>
  <si>
    <t>PRE-POWDERED TEXTURE - PACKED -PLANT 3</t>
  </si>
  <si>
    <t>P3-1008/103</t>
  </si>
  <si>
    <t>POWDERED FREE SMOOTH - PACKED -PLANT 3</t>
  </si>
  <si>
    <t>P3-1008/104</t>
  </si>
  <si>
    <t>POWDERED FREE TEXTURE - PACKED -PLANT 3</t>
  </si>
  <si>
    <t>P3-1008/105</t>
  </si>
  <si>
    <t>NITRILE - PACKED-PLANT 3</t>
  </si>
  <si>
    <t>P3-1008/106</t>
  </si>
  <si>
    <t>OTHER - PACKED-PLANT 3</t>
  </si>
  <si>
    <t>P3-1008/200</t>
  </si>
  <si>
    <t>FINISHED GOODS - UNPACK -PLANT 3</t>
  </si>
  <si>
    <t>P3-1008/201</t>
  </si>
  <si>
    <t>PRE-POWDERED SMOOTH - UNPACK -PLANT 3</t>
  </si>
  <si>
    <t>P3-1008/202</t>
  </si>
  <si>
    <t>PRE-POWDERED TEXTURE - UNPACK -PLANT 3</t>
  </si>
  <si>
    <t>P3-1008/203</t>
  </si>
  <si>
    <t>POWDERED FREE SMOOTH - UNPACK -PLANT 3</t>
  </si>
  <si>
    <t>P3-1008/204</t>
  </si>
  <si>
    <t>POWDERED FREE TEXTURE - UNPACK -PLANT 3</t>
  </si>
  <si>
    <t>P3-1008/205</t>
  </si>
  <si>
    <t>NITRILE - UNPACK-PLANT 3</t>
  </si>
  <si>
    <t>P3-1008/206</t>
  </si>
  <si>
    <t>OTHER - UNPACK-PLANT 3</t>
  </si>
  <si>
    <t>P3-1008/300</t>
  </si>
  <si>
    <t>WORK IN PROCESS -PLANT 3</t>
  </si>
  <si>
    <t>P3-1008/301</t>
  </si>
  <si>
    <t>WORK IN PROCESS - COMPOUND (NR)-PLANT 3</t>
  </si>
  <si>
    <t>P3-1008/302</t>
  </si>
  <si>
    <t>WORK IN PROCESS - SOLUTION  (NR)-PLANT 3</t>
  </si>
  <si>
    <t>P3-1008/303</t>
  </si>
  <si>
    <t>WORK IN PROCESS - COMPOUND (NITRILE)-PLANT 3</t>
  </si>
  <si>
    <t>P3-1008/304</t>
  </si>
  <si>
    <t>WORK IN PROCESS - SOLUTION (NITRILE)-PLANT 3</t>
  </si>
  <si>
    <t>P3-1008/400</t>
  </si>
  <si>
    <t>RAW MATERIAL -PLANT 3</t>
  </si>
  <si>
    <t>P3-1008/401</t>
  </si>
  <si>
    <t>SYNTHETIC LATEX-PLANT 3</t>
  </si>
  <si>
    <t>P3-1008/402</t>
  </si>
  <si>
    <t>CHEMICAL FOR PLANT 3 GLOVES-PLANT 3</t>
  </si>
  <si>
    <t>P3-1008/500</t>
  </si>
  <si>
    <t>ENERGY-PLANT 3</t>
  </si>
  <si>
    <t>P3-1008/503</t>
  </si>
  <si>
    <t>WOOD CHIP-PLANT 3</t>
  </si>
  <si>
    <t>P3-1008/504</t>
  </si>
  <si>
    <t>PALM SHELL -PLANT 3</t>
  </si>
  <si>
    <t>P3-1008/505</t>
  </si>
  <si>
    <t>FIBER -PLANT 3</t>
  </si>
  <si>
    <t>P3-1008/506</t>
  </si>
  <si>
    <t>FIBER MIX PKS -PLANT 3</t>
  </si>
  <si>
    <t>P3-1008/507</t>
  </si>
  <si>
    <t>EMPTY FRUIT BUNCH OF PALM -PLANT 3</t>
  </si>
  <si>
    <t>P3-1008/508</t>
  </si>
  <si>
    <t>CHARCOAL -PLANT 3</t>
  </si>
  <si>
    <t>P3-1008/600</t>
  </si>
  <si>
    <t>PACKAGING MATERIAL -PLANT 3</t>
  </si>
  <si>
    <t>P3-1008/601</t>
  </si>
  <si>
    <t>PACKAGING MATERIAL (NITRILE PRODUCTS)-PLANT 3</t>
  </si>
  <si>
    <t>P3-1008/700</t>
  </si>
  <si>
    <t>OTHER  SUPPLIES - PLANT 3</t>
  </si>
  <si>
    <t>P3-1008/701</t>
  </si>
  <si>
    <t>HOT OIL -PLANT 3</t>
  </si>
  <si>
    <t>P3-1008/705</t>
  </si>
  <si>
    <t>RESIN -PLANT 3</t>
  </si>
  <si>
    <t>P3-1008/710</t>
  </si>
  <si>
    <t>FORMERS -PLANT 3</t>
  </si>
  <si>
    <t>P3-1008/720</t>
  </si>
  <si>
    <t>OTHER  SUPPLIES -PLANT 3</t>
  </si>
  <si>
    <t>P3-1008/730</t>
  </si>
  <si>
    <t>DIESEL -PLANT 3</t>
  </si>
  <si>
    <t>P3-1008/740</t>
  </si>
  <si>
    <t>PLASTIC BAG -PLANT 3</t>
  </si>
  <si>
    <t>P3-1008/750</t>
  </si>
  <si>
    <t>STRING -PLANT 3</t>
  </si>
  <si>
    <t>P3-1008/760</t>
  </si>
  <si>
    <t>OPP TAPE -PLANT 3</t>
  </si>
  <si>
    <t>P3-1008/770</t>
  </si>
  <si>
    <t>WHITE CLOTH -PLANT 3</t>
  </si>
  <si>
    <t>P3-1008/780</t>
  </si>
  <si>
    <t>CHEMICAL OF LAB -PLANT 3</t>
  </si>
  <si>
    <t>P3-1008/790</t>
  </si>
  <si>
    <t>SALT -PLANT 3</t>
  </si>
  <si>
    <t>P3-1008/800</t>
  </si>
  <si>
    <t>SPARE PART OF FORMER -PLANT 3</t>
  </si>
  <si>
    <t>P3-1008/810</t>
  </si>
  <si>
    <t>SPARE PART OF ENGINEERING -PLANT 3</t>
  </si>
  <si>
    <t>P3-1008/820</t>
  </si>
  <si>
    <t>SUPPLIES OF WAREHOUSE -PLANT 3</t>
  </si>
  <si>
    <t>P3-1008/830</t>
  </si>
  <si>
    <t>CHEMICAL OF WATER - PLANT3</t>
  </si>
  <si>
    <t>P3-1008/900</t>
  </si>
  <si>
    <t>BALANCE SHEET STOCK (TRADING OUT-SOURCE)-PLANT 3</t>
  </si>
  <si>
    <t>P3-1008/901</t>
  </si>
  <si>
    <t>FINISHED GOODS (OUT-SOURCE)- PACKED -PLANT 3</t>
  </si>
  <si>
    <t>P3-1008/902</t>
  </si>
  <si>
    <t>PRE-POWDERED (OUT-SOURCE)- PACKED -PLANT 3</t>
  </si>
  <si>
    <t>P3-1008/903</t>
  </si>
  <si>
    <t>POWDER-FREE (OUT-SOURCE)- PACKED -PLANT 3</t>
  </si>
  <si>
    <t>P3-1008/950</t>
  </si>
  <si>
    <t>FINISHED GOODS (OUT-SOURCE) - UN-PACK -PLANT 3</t>
  </si>
  <si>
    <t>P3-1008/951</t>
  </si>
  <si>
    <t>PRE-POWDERED (OUT-SOURCE) - UN-PACK -PLANT 3</t>
  </si>
  <si>
    <t>P3-1008/952</t>
  </si>
  <si>
    <t>POWDER-FREE (OUT-SOURCE) - UN-PACK -PLANT 3</t>
  </si>
  <si>
    <t>P3-1008/990</t>
  </si>
  <si>
    <t>GOODS IN TRANSIT PLANT 3</t>
  </si>
  <si>
    <t>P3-1008/991</t>
  </si>
  <si>
    <t>GOODS IN TRANSIT - PLANT 3 PRODUCTS</t>
  </si>
  <si>
    <t>P3-1009/001</t>
  </si>
  <si>
    <t xml:space="preserve">PLANT 3- PREPAID EXPENSES </t>
  </si>
  <si>
    <t>NBR PLANT 3-PREPAID EXPENSES AND ACCRUED INCOME</t>
  </si>
  <si>
    <t>P3-1009/002</t>
  </si>
  <si>
    <t xml:space="preserve">PLANT 3-PREPAID INSURANCE CAR </t>
  </si>
  <si>
    <t>P3-1009/006</t>
  </si>
  <si>
    <t xml:space="preserve">PLANT 3-PREPAID INSURANCE FACTORY </t>
  </si>
  <si>
    <t>P3-1009/007</t>
  </si>
  <si>
    <t>PLANT 3-ACCRUED INCOME</t>
  </si>
  <si>
    <t>P3-1009/022</t>
  </si>
  <si>
    <t xml:space="preserve">PLANT 3-ADVANCE FOR EMPLOYEE </t>
  </si>
  <si>
    <t>NBR PLANT 3-ADVANCE PAYMENT</t>
  </si>
  <si>
    <t>P3-10-10-01-2000</t>
  </si>
  <si>
    <t>CURRENT ASSETS - NBR PLANT 3</t>
  </si>
  <si>
    <t>P3-10-10-02-1008</t>
  </si>
  <si>
    <t>P3-10-21-00-1009</t>
  </si>
  <si>
    <t>OTHER CURRENT ASSETS-NBR PLANT 3</t>
  </si>
  <si>
    <t>P3-10-21-01-1009</t>
  </si>
  <si>
    <t>P3-10-21-02-1009</t>
  </si>
  <si>
    <t>P3-10-55-00-1300</t>
  </si>
  <si>
    <t>ADVANCE PAYMENT OF ASSETS - NBR PLANT 3</t>
  </si>
  <si>
    <t>P3-10-60-01-2501</t>
  </si>
  <si>
    <t>FIXED ASSETS - NBR PLANT 3</t>
  </si>
  <si>
    <t>P3-10-65-01-2500</t>
  </si>
  <si>
    <t>LAND IMPROVEMENT - NBR PLANT 3</t>
  </si>
  <si>
    <t>P3-10-65-02-2500</t>
  </si>
  <si>
    <t>BUILDING AND CONSTRUCTION - NBR PLANT 3</t>
  </si>
  <si>
    <t>P3-10-65-03-2500</t>
  </si>
  <si>
    <t>MACHINERY AND FACTORY EQUIPMENT PLANT 3</t>
  </si>
  <si>
    <t>P3-10-65-04-2500</t>
  </si>
  <si>
    <t>OFFICE EQUIPMENT - NBR PLANT 3</t>
  </si>
  <si>
    <t>P3-10-65-05-2500</t>
  </si>
  <si>
    <t>FURNITURE AND FIXTURE - NBR PLANT 3</t>
  </si>
  <si>
    <t>P3-10-65-06-2500</t>
  </si>
  <si>
    <t>VEHICLES - NBR PLANT 3</t>
  </si>
  <si>
    <t>P3-10-65-07-2500</t>
  </si>
  <si>
    <t>WORK IN PROCESS - PLANT 3</t>
  </si>
  <si>
    <t>P3-10-75-00-2500</t>
  </si>
  <si>
    <t>INTANGIBLE ASSETS - PLANT 3</t>
  </si>
  <si>
    <t>P3-10-85-00-2600</t>
  </si>
  <si>
    <t>OTHER NON CURRENT ASSETS - PLANT 3</t>
  </si>
  <si>
    <t>P3-10-85-01-2600</t>
  </si>
  <si>
    <t>DEPOSITS - PLANT 3</t>
  </si>
  <si>
    <t>P3-10-95-00-3000</t>
  </si>
  <si>
    <t>CURRENT RECEIVABLE - Plant 3</t>
  </si>
  <si>
    <t>P3-10-95-01-3000</t>
  </si>
  <si>
    <t>OTHER RECEIVABLES - PLANT 3</t>
  </si>
  <si>
    <t>P3-1300/010</t>
  </si>
  <si>
    <t>PLANT 3 ADVANCE PAYMENT OF ASSETS - NITRILE PROJECT</t>
  </si>
  <si>
    <t>P3-20-00-00-2000</t>
  </si>
  <si>
    <t>LIABILITIES - Plant 3</t>
  </si>
  <si>
    <t>P3-20-15-00-4000</t>
  </si>
  <si>
    <t>CURRENT LIABILITIES - PLANT 3</t>
  </si>
  <si>
    <t>P3-20-15-01-4000</t>
  </si>
  <si>
    <t>BANK OVERDRAFTS AND SHORT - TERM LOANS - PLANT 3</t>
  </si>
  <si>
    <t>P3-20-15-03-4000</t>
  </si>
  <si>
    <t>OTHER PAYABLE - PLANT 3</t>
  </si>
  <si>
    <t>P3-20-15-03-4001</t>
  </si>
  <si>
    <t>OTHER PAYABLE - NBR PLANT 3</t>
  </si>
  <si>
    <t>P3-2501/100</t>
  </si>
  <si>
    <t>LAND - PLANT 3</t>
  </si>
  <si>
    <t>P3-2501/200</t>
  </si>
  <si>
    <t>LAND IMPROVEMENT - PLANT 3</t>
  </si>
  <si>
    <t>P3-2501/205</t>
  </si>
  <si>
    <t>ACC. DEPRECIATION - LAND IMPROVEMENT - PLANT 3</t>
  </si>
  <si>
    <t>P3-2501/300</t>
  </si>
  <si>
    <t>ALLOWANCE IMPAIRMENT - LAND IMPROVEMENT-P3</t>
  </si>
  <si>
    <t>P3-2501/301</t>
  </si>
  <si>
    <t>ACC. DEPRECIATION - LAND IM. - P3 IMPAIRMENT</t>
  </si>
  <si>
    <t>P3-2502/100</t>
  </si>
  <si>
    <t>BUILDING AND CONSTRUCTION - PLANT 3</t>
  </si>
  <si>
    <t>P3-2502/105</t>
  </si>
  <si>
    <t>ACC. DEPRECIATION - BUILDING &amp; CONSTRUCTION - PLANT 3</t>
  </si>
  <si>
    <t>P3-2502/200</t>
  </si>
  <si>
    <t>BUILDING IMPROVEMENTS - PLANT 3</t>
  </si>
  <si>
    <t>P3-2502/205</t>
  </si>
  <si>
    <t>ACC. DEPRECIATION - BUILDING IMPROVEMENTS - PLANT 3</t>
  </si>
  <si>
    <t>P3-2502/300</t>
  </si>
  <si>
    <t>ALLOWANCE IMPAIRMENT - BUILDING &amp; BUILDING IM.-P3</t>
  </si>
  <si>
    <t>P3-2502/301</t>
  </si>
  <si>
    <t>ACC. DEPRECIATION - BUILDING  - P3 IMPAIRMENT</t>
  </si>
  <si>
    <t>P3-2503/100</t>
  </si>
  <si>
    <t>FACTORY EQUIPMENT - PLANT 3</t>
  </si>
  <si>
    <t>P3-2503/105</t>
  </si>
  <si>
    <t>ACC. DEPRECIATION - FACTORY EQUIPMENT - PLANT 3</t>
  </si>
  <si>
    <t>P3-2503/110</t>
  </si>
  <si>
    <t>FACTORY EQUIPMENT - FORMER - PLANT 3</t>
  </si>
  <si>
    <t>P3-2503/111</t>
  </si>
  <si>
    <t>ACC. DEPRECIATION - FORMER - PLANT 3</t>
  </si>
  <si>
    <t>P3-2503/200</t>
  </si>
  <si>
    <t>MACHINERY - PLANT 3</t>
  </si>
  <si>
    <t>P3-2503/205</t>
  </si>
  <si>
    <t>ACC. DEPRECIATION - MACHINERY - PLANT 3</t>
  </si>
  <si>
    <t>P3-2503/300</t>
  </si>
  <si>
    <t>ALLOWANCE IMPAIRMENT - MACHINERY &amp; EQUIPMENT-P3</t>
  </si>
  <si>
    <t>P3-2503/301</t>
  </si>
  <si>
    <t>ACC. DEPRECIATION - MACHINERY&amp;EQUIP- P3 IMPAIRMENT</t>
  </si>
  <si>
    <t>P3-2503/310</t>
  </si>
  <si>
    <t>ALLOWANCE IMPAIRMENT - FORMER -P3</t>
  </si>
  <si>
    <t>P3-2503/311</t>
  </si>
  <si>
    <t>ACC. DEPRECIATION - FORMER - P3 IMPAIRMENT</t>
  </si>
  <si>
    <t>P3-2504/001</t>
  </si>
  <si>
    <t>OFFICE EQUIPMENT - PLANT 3.</t>
  </si>
  <si>
    <t>P3-2504/005</t>
  </si>
  <si>
    <t>ACC. DEPRECIATION - OFFICE EQUIPMENT - PLANT 3</t>
  </si>
  <si>
    <t>P3-2504/100</t>
  </si>
  <si>
    <t>COMPUTER - PLANT 3</t>
  </si>
  <si>
    <t>P3-2504/105</t>
  </si>
  <si>
    <t>ACC. DEPRECIATION - COMPUTER - PLANT 3</t>
  </si>
  <si>
    <t>P3-2504/300</t>
  </si>
  <si>
    <t>ALLOWANCE IMPAIRMENT - OFFICE EQIUPMENT-P3</t>
  </si>
  <si>
    <t>P3-2504/301</t>
  </si>
  <si>
    <t>ACC. DEPRECIATION - OFFICE EQUIP. - P3 IMPAIRMENT</t>
  </si>
  <si>
    <t>P3-2505/001</t>
  </si>
  <si>
    <t>FURNITURE AND FIXTURE - PLANT 3.</t>
  </si>
  <si>
    <t>P3-2505/005</t>
  </si>
  <si>
    <t>ACC. DEPRECIATION - FURNITURE &amp; FIXTURE - PLANT 3</t>
  </si>
  <si>
    <t>P3-2505/300</t>
  </si>
  <si>
    <t>ALLOWANCE IMPAIRMENT - FURNITURE-P3</t>
  </si>
  <si>
    <t>P3-2505/301</t>
  </si>
  <si>
    <t>ACC. DEPRECIATION - FURNITURE - P3 IMPAIRMENT</t>
  </si>
  <si>
    <t>P3-2506/001</t>
  </si>
  <si>
    <t>VEHICLES - PLANT 3.</t>
  </si>
  <si>
    <t>P3-2506/005</t>
  </si>
  <si>
    <t>ACC. DEPRECIATION - VEHICLES - PLANT 3</t>
  </si>
  <si>
    <t>P3-2506/300</t>
  </si>
  <si>
    <t>ALLOWANCE IMPAIRMENT - VEHICLES-P3</t>
  </si>
  <si>
    <t>P3-2506/301</t>
  </si>
  <si>
    <t>ACC. DEPRECIATION - VEHICLES - P3 IMPAIRMENT</t>
  </si>
  <si>
    <t>P3-2507/001</t>
  </si>
  <si>
    <t>WORK IN PROCESS - CONSTRUCTION - PLANT 3</t>
  </si>
  <si>
    <t>P3-2507/002</t>
  </si>
  <si>
    <t>WORK IN PROCESS - DIPPING LINES - PLANT 3</t>
  </si>
  <si>
    <t>P3-2507/003</t>
  </si>
  <si>
    <t>WORK IN PROCESS - TOH - PLANT 3</t>
  </si>
  <si>
    <t>P3-2507/004</t>
  </si>
  <si>
    <t>WORK IN PROCESS - BUILDING IMPROVED - PLANT 3</t>
  </si>
  <si>
    <t>P3-2507/005</t>
  </si>
  <si>
    <t>WORK IN PROCESS - WATER TREATMENT - PLANT 3</t>
  </si>
  <si>
    <t>P3-2507/006</t>
  </si>
  <si>
    <t>WORK IN PROCESS - OTHER EQUIPMENT- PLANT 3</t>
  </si>
  <si>
    <t>P3-2507/300</t>
  </si>
  <si>
    <t>ALLOWANCE IMPAIRMENT - WORK IN PROCESS-P3</t>
  </si>
  <si>
    <t>P3-2509/100</t>
  </si>
  <si>
    <t>NBR INTANGIBLE ASSETS - PLANT 3</t>
  </si>
  <si>
    <t>P3-2509/200</t>
  </si>
  <si>
    <t>APPLICATION SOFTWARE - PLANT 3</t>
  </si>
  <si>
    <t>P3-2509/300</t>
  </si>
  <si>
    <t>RIGHTS OF PROGRAMS - PLANT 3</t>
  </si>
  <si>
    <t>P3-2509/305</t>
  </si>
  <si>
    <t>ACC.DEPRECIATION-RIGHT OF PROGRAMS - PLANT 3</t>
  </si>
  <si>
    <t>P3-2509/400</t>
  </si>
  <si>
    <t>ELECTRICITY 115/33KV OUTDOOR - PLANT 3</t>
  </si>
  <si>
    <t>P3-2509/405</t>
  </si>
  <si>
    <t>ACC.DEPRECIATION-ELECTRICITY 115/33KV - PLANT 3</t>
  </si>
  <si>
    <t>P3-2509/500</t>
  </si>
  <si>
    <t>ALLOWANCE IMPAIRMENT - INTANGIBLE ASSETS-P3</t>
  </si>
  <si>
    <t>P3-2509/501</t>
  </si>
  <si>
    <t>ACCUMULATED IMPAIRMENT LOSS - INTANGIBLE ASSET P3</t>
  </si>
  <si>
    <t>P3-2600/001</t>
  </si>
  <si>
    <t xml:space="preserve">PLANT 3 DEPOSITS - OTHER </t>
  </si>
  <si>
    <t>P3-3000/001</t>
  </si>
  <si>
    <t>NOTES RECEIVABLE - PLANT 3</t>
  </si>
  <si>
    <t>P3-3000/002</t>
  </si>
  <si>
    <t>IN-COMMING POST DATED CHEQUES - PLANT 3</t>
  </si>
  <si>
    <t>P3-3000/003</t>
  </si>
  <si>
    <t>RETURNED CHEQUES - PLANT 3</t>
  </si>
  <si>
    <t>P3-4000/001</t>
  </si>
  <si>
    <t>BANK OVERDRAFTS - PLANT 3</t>
  </si>
  <si>
    <t>P3-4000/002</t>
  </si>
  <si>
    <t>SHORT - TERM LOANS FROM BANKS - PLANT 3</t>
  </si>
  <si>
    <t>P3-40-10-02-5000</t>
  </si>
  <si>
    <t>EXPORT SALES OF NBR LINES - PLANT 3</t>
  </si>
  <si>
    <t>P3-40-20-02-5100</t>
  </si>
  <si>
    <t>LOCAL SALES OF NBR LINES - PLANT 3</t>
  </si>
  <si>
    <t>P3-40-40-02-5310</t>
  </si>
  <si>
    <t>GOODS RETRUNED &amp; SALES RETURN FOR NBR SALE PLANT 3</t>
  </si>
  <si>
    <t>P3-40-40-02-5310-1</t>
  </si>
  <si>
    <t>GOODS RETRUNED &amp; SALES RETURN - EXPORT PLANT 3</t>
  </si>
  <si>
    <t>P3-40-40-02-5310-2</t>
  </si>
  <si>
    <t>GOODS RETURNED &amp; SALES DISCOUNT - LOCAL PLANT 3</t>
  </si>
  <si>
    <t>P3-4200/000</t>
  </si>
  <si>
    <t>PLANT 3-CURRENT PORTION OF LONG  - TERM LOAN</t>
  </si>
  <si>
    <t>P3-4200/010</t>
  </si>
  <si>
    <t>CURRENT PORTION OF LONG  - TERM LOAN - PLANT 3</t>
  </si>
  <si>
    <t>P3-4300/000</t>
  </si>
  <si>
    <t>PLANT 3-SHORT-TERM LOANS FROM MML OR PARTIES</t>
  </si>
  <si>
    <t>P3-4300/001</t>
  </si>
  <si>
    <t>PLANT 3-SHORT - TERM LOANS FROM DIRECTORS AND EMPLOYEES</t>
  </si>
  <si>
    <t>P3-4300/002</t>
  </si>
  <si>
    <t xml:space="preserve">PLANT 3 SHORT - TERMS LOANS FROM RELATED PARTIES (MMP) </t>
  </si>
  <si>
    <t>P3-4300/011</t>
  </si>
  <si>
    <t>SHORT-TERM LOANS FROM MML OR PARTIES - PLANT 3</t>
  </si>
  <si>
    <t>P3-4300/012</t>
  </si>
  <si>
    <t>SHORT - TERM LOANS FROM DIRECTORS AND EMPLOYEES - PLANT 3</t>
  </si>
  <si>
    <t>P3-4400/000</t>
  </si>
  <si>
    <t xml:space="preserve">PLANT 3 CURRENT PORTION OF HIRE PURCHASE </t>
  </si>
  <si>
    <t>P3-4400/001</t>
  </si>
  <si>
    <t xml:space="preserve">PLANT 3 CURRENT PORTION HIRE PURCHASE CREDITOR </t>
  </si>
  <si>
    <t>P3-4400/002</t>
  </si>
  <si>
    <t xml:space="preserve">PLANT 3 CURRENT PORTION OF DEFERED INPUT VAT </t>
  </si>
  <si>
    <t>P3-4400/003</t>
  </si>
  <si>
    <t xml:space="preserve">PLANT 3 CURRENT PORTION OF DEFERED INTEREST EXP. </t>
  </si>
  <si>
    <t>P3-4500/001</t>
  </si>
  <si>
    <t xml:space="preserve">PLANT 3 ACCRUED EXPENSES </t>
  </si>
  <si>
    <t>P3-4500/002</t>
  </si>
  <si>
    <t xml:space="preserve">PLANT 3 ACCRUED INSURANCE </t>
  </si>
  <si>
    <t>P3-4500/003</t>
  </si>
  <si>
    <t xml:space="preserve">PLANT 3 ACCRUED RENTAL </t>
  </si>
  <si>
    <t>P3-4500/009</t>
  </si>
  <si>
    <t xml:space="preserve">PLANT 3 ACCRUED FIXED ASSETS </t>
  </si>
  <si>
    <t>P3-4500/013</t>
  </si>
  <si>
    <t xml:space="preserve">PLANT 3 SOCIAL SECURITY PAYABLE </t>
  </si>
  <si>
    <t>P3-50-00-10-0000</t>
  </si>
  <si>
    <t>COST OF GOODS SOLD PLANT 3</t>
  </si>
  <si>
    <t>P3-50-20-02-6020</t>
  </si>
  <si>
    <t>NBR FINISHED GOODS - UNPACK PLANT 3</t>
  </si>
  <si>
    <t>P3-50-30-02-6030</t>
  </si>
  <si>
    <t>NBR FINISHED GOODS - PACKED PLANT 3</t>
  </si>
  <si>
    <t>P3-50-40-00-0000</t>
  </si>
  <si>
    <t>PLANT 3 ADJUSTMENT FOR COST OF GOOD SOLD</t>
  </si>
  <si>
    <t>P3-5050/001</t>
  </si>
  <si>
    <t xml:space="preserve">PLANT 3-EXPORT SALE-POWDER FREE NITRILE OTHER CUSTOMER </t>
  </si>
  <si>
    <t>P3-5050/002</t>
  </si>
  <si>
    <t>PLANT 3-EXPORT SALE-POWDER FREE NITRILE- MERCATOR S.A.</t>
  </si>
  <si>
    <t>P3-5050/050</t>
  </si>
  <si>
    <t xml:space="preserve">PLANT 3-EXPORT SALE-POWDER FREE NITRILE- B-GRADE </t>
  </si>
  <si>
    <t>P3-5050/060</t>
  </si>
  <si>
    <t xml:space="preserve">PLANT 3-EXPORT SALE-POWDER FREE NITRILE- SCRAPS </t>
  </si>
  <si>
    <t>P3-50-50-00-8000</t>
  </si>
  <si>
    <t>MANUFACTURING ACCOUNT-COST OF PRODUCTION PLANT 3</t>
  </si>
  <si>
    <t>P3-50-50-02-7200</t>
  </si>
  <si>
    <t>DIRECT LABOUR OF NBR PRODUCTS PLANT 3</t>
  </si>
  <si>
    <t>P3-50-50-02-7201</t>
  </si>
  <si>
    <t>DIRECT LABOUR - COMPOUND -NBR PLANT 3</t>
  </si>
  <si>
    <t>P3-50-50-02-7202</t>
  </si>
  <si>
    <t>DIRECT LABOUR - DIPPING LINE -NBR PLANT 3</t>
  </si>
  <si>
    <t>P3-50-50-02-7203</t>
  </si>
  <si>
    <t>DIRECT LABOUR - CHLORINATION -NBR PLANT 3</t>
  </si>
  <si>
    <t>P3-50-50-02-7204</t>
  </si>
  <si>
    <t>DIRECT LABOUR - PACKING -NBR PLANT 3</t>
  </si>
  <si>
    <t>P3-50-50-02-7205</t>
  </si>
  <si>
    <t>DIRECT LABOUR - MAINTENANCE -NBR PLANT 3</t>
  </si>
  <si>
    <t>P3-50-50-02-7206</t>
  </si>
  <si>
    <t>DIRECT LABOUR - LAB -NBR PLANT 3</t>
  </si>
  <si>
    <t>P3-50-50-02-7207</t>
  </si>
  <si>
    <t>DIRECT LABOUR - QA -NBR PLANT 3</t>
  </si>
  <si>
    <t>P3-50-50-02-7208</t>
  </si>
  <si>
    <t>DIRECT LABOUR - STORE &amp; WAREHOUSE-NBR PLANT 3</t>
  </si>
  <si>
    <t>P3-50-50-02-7300</t>
  </si>
  <si>
    <t>CHEMICAL USED - NBR PLANT 3</t>
  </si>
  <si>
    <t>RAW MATERIAL - NBR PLANT 3</t>
  </si>
  <si>
    <t>P3-50-50-02-8000</t>
  </si>
  <si>
    <t>P3-50-50-02-8001</t>
  </si>
  <si>
    <t>SYNTHETICS LATEX PLANT 3</t>
  </si>
  <si>
    <t>P3-50-50-03-7200</t>
  </si>
  <si>
    <t>FUEL CONSUMED - NBR PLANT 3</t>
  </si>
  <si>
    <t>P3-50-50-03-7202</t>
  </si>
  <si>
    <t>PACKING MATERIAL USED OF PLANT 3 PRODUCTS PLANT 3</t>
  </si>
  <si>
    <t>P3-50-50-04-7200</t>
  </si>
  <si>
    <t>MANUFACTURING OVERHEAD - EMPLOYEE EXP. OF NBR PRODUCTS PLANT 3</t>
  </si>
  <si>
    <t>P3-50-50-04-7300</t>
  </si>
  <si>
    <t>NBR OTHER SUPPLIES PLANT 3</t>
  </si>
  <si>
    <t>P3-50-50-05-7200</t>
  </si>
  <si>
    <t>MANURACTURING OVERHEAD - UTILITIES OF NBR PRODUCTS PLANT 3</t>
  </si>
  <si>
    <t>P3-50-50-06-7200</t>
  </si>
  <si>
    <t>MANUFACTURING OVERHEAD - REPAIR &amp; UPKEEP (NBR PLANT 3)</t>
  </si>
  <si>
    <t>P3-50-50-07-7200</t>
  </si>
  <si>
    <t>MANUFACTURING OVERHEAD - DEPRECIATION OF NBR PRODUCTS PLANT 3</t>
  </si>
  <si>
    <t>P3-50-50-08-7200</t>
  </si>
  <si>
    <t>MANUFACTURING OVERHEAD - OTHER EXPENSES (NBR PLANT 3)</t>
  </si>
  <si>
    <t>P3-50-50-09-7200</t>
  </si>
  <si>
    <t>WORK IN PROGESS OF NBR PRODUCTS PLANT 3</t>
  </si>
  <si>
    <t>Cost of Good Sale</t>
  </si>
  <si>
    <t>P3-5100/001</t>
  </si>
  <si>
    <t xml:space="preserve">PLANT 3-LOCAL SALES - NITRILE PF </t>
  </si>
  <si>
    <t>P3-5100/020</t>
  </si>
  <si>
    <t>PLANT 3-LOCAL SALES - NITRILE PF - B GRADE</t>
  </si>
  <si>
    <t>P3-5100/030</t>
  </si>
  <si>
    <t>PLANT 3-LOCAL SALES - NITRILE PF - SCRAP</t>
  </si>
  <si>
    <t>P3-5310/001</t>
  </si>
  <si>
    <t xml:space="preserve">PLANT 3-GOODS RETURNED - EXPORT </t>
  </si>
  <si>
    <t>P3-5310/002</t>
  </si>
  <si>
    <t>PLANT 3-SALES DISCOUNT - EXPORT - OTHER</t>
  </si>
  <si>
    <t>P3-5310/003</t>
  </si>
  <si>
    <t>PLANT 3-SALES DISCOUNT - EXPORT - MERCATOR MEDICAL S.A.</t>
  </si>
  <si>
    <t>P3-5320/001</t>
  </si>
  <si>
    <t>GOODS RETUNED - LOCAL-1</t>
  </si>
  <si>
    <t>P3-5320/002</t>
  </si>
  <si>
    <t>SALE DISCOUNT - LOCAL -1</t>
  </si>
  <si>
    <t>P3-6020/000</t>
  </si>
  <si>
    <t xml:space="preserve">PLANT 3 OPENING STOCK - FG  - UNPACK </t>
  </si>
  <si>
    <t>P3-6021/000</t>
  </si>
  <si>
    <t xml:space="preserve">PLANT 3 CLOSING STOCK - FG - UNPACK </t>
  </si>
  <si>
    <t>P3-6030/000</t>
  </si>
  <si>
    <t xml:space="preserve">PLANT 3 OPENING STOK - FG - PACKED </t>
  </si>
  <si>
    <t>P3-6031/000</t>
  </si>
  <si>
    <t xml:space="preserve">PLANT 3 CLOSING STOCK - FG - PACKED </t>
  </si>
  <si>
    <t>P3-6050/001</t>
  </si>
  <si>
    <t>PLANT 3 ADJUSTMENT FOR COST OF GOOD SOLD.</t>
  </si>
  <si>
    <t>P3-7000/121</t>
  </si>
  <si>
    <t xml:space="preserve">PLANT 3 OPENING STOCK - CHEMICAL </t>
  </si>
  <si>
    <t>P3-7000/122</t>
  </si>
  <si>
    <t>PLANT 3 PURCHASES - CHEMICAL</t>
  </si>
  <si>
    <t>P3-7000/123</t>
  </si>
  <si>
    <t>PLANT 3 IMPORT DUTY - CHEMICAL</t>
  </si>
  <si>
    <t>P3-7000/124</t>
  </si>
  <si>
    <t>PLANT 3 PURCHASES DISCOUNT - CHEMICAL</t>
  </si>
  <si>
    <t>P3-7000/125</t>
  </si>
  <si>
    <t xml:space="preserve">PLANT 3 CLOSING STOCK - CHEMICAL </t>
  </si>
  <si>
    <t>P3-7000/130</t>
  </si>
  <si>
    <t xml:space="preserve">PLANT 3-OPENING STOCK - SYNTHETIC LATEX </t>
  </si>
  <si>
    <t>P3-7000/131</t>
  </si>
  <si>
    <t>PLANT 3-PURCHASE SYNTHETICS LATEX</t>
  </si>
  <si>
    <t>P3-7000/132</t>
  </si>
  <si>
    <t xml:space="preserve">PLANT 3-IMPORT EXPENSES - SYNTHETICS LATEX </t>
  </si>
  <si>
    <t>P3-7000/133</t>
  </si>
  <si>
    <t>PLANT 3-PURCHASES DISCOUNT -  SYNTHETICS LATEX</t>
  </si>
  <si>
    <t>P3-7000/134</t>
  </si>
  <si>
    <t xml:space="preserve">PLANT 3-CLOSING STOCK - SYNTHETICS LATEX </t>
  </si>
  <si>
    <t>P3-7000/211</t>
  </si>
  <si>
    <t>PLANT 3-DIRECT LABOUR - COMPOUND WAGES</t>
  </si>
  <si>
    <t>P3-7000/212</t>
  </si>
  <si>
    <t>PLANT 3-DIRECT LABOUR - COIMPOUND O/T</t>
  </si>
  <si>
    <t>P3-7000/213</t>
  </si>
  <si>
    <t>PLANT 3-DIRECT LABOUR - COMPOUND ALLOWANCE</t>
  </si>
  <si>
    <t>P3-7000/214</t>
  </si>
  <si>
    <t>PLANT 3-DIRECT LABOUR - COMPOUND SOCIAL SECURITY</t>
  </si>
  <si>
    <t>P3-7000/215</t>
  </si>
  <si>
    <t>PLANT 3-DIRECT LABOUR - COMPOUND BONUS</t>
  </si>
  <si>
    <t>P3-7000/221</t>
  </si>
  <si>
    <t>PLANT 3-DIRECT LABOUR - DIPPING LINE WAGES</t>
  </si>
  <si>
    <t>P3-7000/222</t>
  </si>
  <si>
    <t>PLANT 3-DIRECT LABOUR - DIPPING O/T</t>
  </si>
  <si>
    <t>P3-7000/223</t>
  </si>
  <si>
    <t>PLANT 3-DIRECT LABOUR - DIPPING ALLOWANCE</t>
  </si>
  <si>
    <t>P3-7000/224</t>
  </si>
  <si>
    <t>PLANT 3-DIRECT LABOUR - DIPPING SOCIAL SECURITY</t>
  </si>
  <si>
    <t>P3-7000/225</t>
  </si>
  <si>
    <t>PLANT 3-DIRECT LABOUR - DIPPING LINE BONUS</t>
  </si>
  <si>
    <t>P3-7000/231</t>
  </si>
  <si>
    <t>PLANT 3-DIRECT LABOUR - CHLORINATION WAGES</t>
  </si>
  <si>
    <t>P3-7000/232</t>
  </si>
  <si>
    <t>PLANT 3-DIRECT LABOUR - CHLORINATION O/T</t>
  </si>
  <si>
    <t>P3-7000/233</t>
  </si>
  <si>
    <t>PLANT 3-DIRECT LABOUR - CHLORINATION ALLOWANCE</t>
  </si>
  <si>
    <t>P3-7000/234</t>
  </si>
  <si>
    <t>PLANT 3-DIRECT LABOUR - CHLORINATION SOCIAL</t>
  </si>
  <si>
    <t>P3-7000/241</t>
  </si>
  <si>
    <t>PLANT 3-DIRECT LABOUR - PACKING WAGES</t>
  </si>
  <si>
    <t>P3-7000/242</t>
  </si>
  <si>
    <t>PLANT 3-DIRECT LABOUR - PACKING O/T</t>
  </si>
  <si>
    <t>P3-7000/243</t>
  </si>
  <si>
    <t>PLANT 3-DIRECT LABOUR - PACKING ALLOWANCE</t>
  </si>
  <si>
    <t>P3-7000/244</t>
  </si>
  <si>
    <t>PLANT 3-DIRECT LABOUR - PACKING SOCIAL</t>
  </si>
  <si>
    <t>P3-7000/245</t>
  </si>
  <si>
    <t>PLANT 3-DIRECT LABOUR - PACKING CONTRACT</t>
  </si>
  <si>
    <t>P3-7000/246</t>
  </si>
  <si>
    <t>PLANT 3-DIRECT LABOUR - REWORK GLOVES</t>
  </si>
  <si>
    <t>P3-7000/247</t>
  </si>
  <si>
    <t>PLANT 3-DIRECT LABOUR - PACKING BONUS</t>
  </si>
  <si>
    <t>P3-7000/251</t>
  </si>
  <si>
    <t>PLANT 3-DIRECT LABOUR - MAINTENANCE WAGES</t>
  </si>
  <si>
    <t>P3-7000/252</t>
  </si>
  <si>
    <t>PLANT 3-DIRECT LABOUR - MAINTENANCE O/T</t>
  </si>
  <si>
    <t>P3-7000/253</t>
  </si>
  <si>
    <t>PLANT 3-DIRECT LABOUR - MAINTENANCE ALLOWANCE</t>
  </si>
  <si>
    <t>P3-7000/254</t>
  </si>
  <si>
    <t>PLANT 3-DIRECT LABOUR - MAINTENANCE SOCIAL</t>
  </si>
  <si>
    <t>P3-7000/255</t>
  </si>
  <si>
    <t>PLANT 3-DIRECT LABOUR - MAINTENANCE BONUS</t>
  </si>
  <si>
    <t>P3-7000/261</t>
  </si>
  <si>
    <t>PLANT 3-DIRECT LABOUR - LAB WAGES</t>
  </si>
  <si>
    <t>P3-7000/262</t>
  </si>
  <si>
    <t>PLANT 3-DIRECT LABOUR - LAB O/T</t>
  </si>
  <si>
    <t>P3-7000/263</t>
  </si>
  <si>
    <t>PLANT 3-DIRECT LABOUR - LAB SPECIAL ALLOWANCE</t>
  </si>
  <si>
    <t>P3-7000/264</t>
  </si>
  <si>
    <t>PLANT 3-DIRECT LABOUR - LAB SOCIAL SECURITY</t>
  </si>
  <si>
    <t>P3-7000/265</t>
  </si>
  <si>
    <t>PLANT 3-DIRECT LABOUR - LAB BONUS</t>
  </si>
  <si>
    <t>P3-7000/271</t>
  </si>
  <si>
    <t>PLANT 3-DIRECT LABOUR - QA WAGES</t>
  </si>
  <si>
    <t>P3-7000/272</t>
  </si>
  <si>
    <t>PLANT 3-DIRECT LABOUR - QA O/T</t>
  </si>
  <si>
    <t>P3-7000/273</t>
  </si>
  <si>
    <t>PLANT 3-DIRECT LABOUR - QA SPECIAL ALLOWANCE</t>
  </si>
  <si>
    <t>P3-7000/274</t>
  </si>
  <si>
    <t>PLANT 3-DIRECT LABOUR - QA SOCIAL SECURITY</t>
  </si>
  <si>
    <t>P3-7000/275</t>
  </si>
  <si>
    <t>PLANT 3-DIRECT LABOUR - QA BONUS</t>
  </si>
  <si>
    <t>P3-7000/281</t>
  </si>
  <si>
    <t>PLANT 3-DIRECT LABOUR - STORE &amp; WAREHOUSE WAGES</t>
  </si>
  <si>
    <t>P3-7000/282</t>
  </si>
  <si>
    <t>PLANT 3-DIRECT LABOUR - STORE &amp; WAREHOUSE O/T</t>
  </si>
  <si>
    <t>P3-7000/283</t>
  </si>
  <si>
    <t>PLANT 3-DIRECT LABOUR - STORE &amp; WAREHOUSE SPECIAL ALLOWANCE</t>
  </si>
  <si>
    <t>P3-7000/284</t>
  </si>
  <si>
    <t>PLANT 3-DIRECT LABOUR - STORE &amp; WAREHOUSE SOCIAL SECURITY</t>
  </si>
  <si>
    <t>P3-7000/285</t>
  </si>
  <si>
    <t>PLANT 3-DIRECT LABOUR - STORE &amp; WAREHOUSE BONUS</t>
  </si>
  <si>
    <t>P3-7000/331</t>
  </si>
  <si>
    <t xml:space="preserve">PLANT 3 OPENING STOCK - WOOD CHIP </t>
  </si>
  <si>
    <t>P3-7000/332</t>
  </si>
  <si>
    <t>PLANT 3 PURCHASES WOOD CHIP</t>
  </si>
  <si>
    <t>P3-7000/332-1</t>
  </si>
  <si>
    <t>PLANT 3 DISCOUNT WOOD CHIP</t>
  </si>
  <si>
    <t>P3-7000/333</t>
  </si>
  <si>
    <t xml:space="preserve">PLANT 3 CLOSING STOCK - WOOD CHIP </t>
  </si>
  <si>
    <t>P3-7000/341</t>
  </si>
  <si>
    <t xml:space="preserve">PLANT 3 OPENING STOCK - PALM SHELL </t>
  </si>
  <si>
    <t>P3-7000/342</t>
  </si>
  <si>
    <t>PLANT 3 PURCHASES - PALM SHELL</t>
  </si>
  <si>
    <t>P3-7000/342-1</t>
  </si>
  <si>
    <t>PLANT 3 DISCOUNT - PALM SHELL</t>
  </si>
  <si>
    <t>P3-7000/343</t>
  </si>
  <si>
    <t xml:space="preserve">PLANT 3 CLOSING STOCK - PALM SHELL </t>
  </si>
  <si>
    <t>P3-7000/345</t>
  </si>
  <si>
    <t xml:space="preserve">PLANT 3 OPENING STOCK - FIBER </t>
  </si>
  <si>
    <t>P3-7000/346</t>
  </si>
  <si>
    <t>PLANT 3 PURCHASE - FIBER</t>
  </si>
  <si>
    <t>P3-7000/346-1</t>
  </si>
  <si>
    <t>PLANT 3 DISCOUNT - FIBER</t>
  </si>
  <si>
    <t>P3-7000/347</t>
  </si>
  <si>
    <t xml:space="preserve">PLANT 3 CLOSING STOCK - FIBER </t>
  </si>
  <si>
    <t>P3-7000/354</t>
  </si>
  <si>
    <t xml:space="preserve">PLANT 3 OPENING STOCK - FIBER MIX WITH PKS </t>
  </si>
  <si>
    <t>P3-7000/355</t>
  </si>
  <si>
    <t>PLANT 3 PURCHASES - FIBER MIX WITH PKS</t>
  </si>
  <si>
    <t>P3-7000/356</t>
  </si>
  <si>
    <t xml:space="preserve">PLANT 3 CLOSING STOCK - FIBER MIX WITH PKS </t>
  </si>
  <si>
    <t>P3-7000/357</t>
  </si>
  <si>
    <t xml:space="preserve">PLANT 3 OPENING STOCK - EMPTY FRUIT BUCH PALM </t>
  </si>
  <si>
    <t>P3-7000/358</t>
  </si>
  <si>
    <t>PLANT 3 PURCHASES - EMPTY FRUIT BUNCH OF PALM</t>
  </si>
  <si>
    <t>P3-7000/359</t>
  </si>
  <si>
    <t xml:space="preserve">PLANT 3 CLOSING STOCK - EMPTY FRUIT BUCH PALM </t>
  </si>
  <si>
    <t>P3-7000/360</t>
  </si>
  <si>
    <t xml:space="preserve">PLANT 3-PACKING MATERIAL USED </t>
  </si>
  <si>
    <t>P3-7000/361</t>
  </si>
  <si>
    <t>PLANT 3-OPENING STOCK - PACKING MATERIAL</t>
  </si>
  <si>
    <t>P3-7000/362</t>
  </si>
  <si>
    <t>PLANT 3-PURCHASES - PACKING MATERIAL</t>
  </si>
  <si>
    <t>P3-7000/362-1</t>
  </si>
  <si>
    <t>PLANT 3-PURCHASES - STICKER PACKING MATERIAL</t>
  </si>
  <si>
    <t>P3-7000/362-2</t>
  </si>
  <si>
    <t>PLANT 3-DISCOUNT PACKING MATERIAL</t>
  </si>
  <si>
    <t>P3-7000/362-3</t>
  </si>
  <si>
    <t>PLANT 3-IMPORT EXPENSE - PACKING MATERIAL</t>
  </si>
  <si>
    <t>P3-7000/363</t>
  </si>
  <si>
    <t>PLANT 3-CLOSING STOCK - PACKING MATERIAL</t>
  </si>
  <si>
    <t>P3-7000/381</t>
  </si>
  <si>
    <t xml:space="preserve">PLANT 3-OPENING STOCK - OTHER SUPPLIER </t>
  </si>
  <si>
    <t>P3-7000/382</t>
  </si>
  <si>
    <t>PLANT 3-PURCHASES OTHER SUPPLIES</t>
  </si>
  <si>
    <t>P3-7000/383</t>
  </si>
  <si>
    <t xml:space="preserve">PLANT 3-CLOSING STOCK - OTHER SUPPLIERS </t>
  </si>
  <si>
    <t>P3-7000/384</t>
  </si>
  <si>
    <t xml:space="preserve">PLANT 3-OPENING STOCK-DIESEL </t>
  </si>
  <si>
    <t>P3-7000/385</t>
  </si>
  <si>
    <t>PLANT 3-PURCHASES DIESEL</t>
  </si>
  <si>
    <t>P3-7000/386</t>
  </si>
  <si>
    <t xml:space="preserve">PLANT 3-CLOSING STOCK-DIESEL </t>
  </si>
  <si>
    <t>P3-7000/387</t>
  </si>
  <si>
    <t xml:space="preserve">PLANT 3-OPENING STOCK-PLASTIC BAG </t>
  </si>
  <si>
    <t>P3-7000/388</t>
  </si>
  <si>
    <t>PLANT 3-PURCHASES PLASTIC BAG</t>
  </si>
  <si>
    <t>P3-7000/389</t>
  </si>
  <si>
    <t xml:space="preserve">PLANT 3-CLOSING STOCK-PLASTIC BAG </t>
  </si>
  <si>
    <t>P3-7000/390</t>
  </si>
  <si>
    <t xml:space="preserve">PLANT 3-OPENING STOCK-STRING </t>
  </si>
  <si>
    <t>P3-7000/391</t>
  </si>
  <si>
    <t>PLANT 3-PURCHASES STRING</t>
  </si>
  <si>
    <t>P3-7000/392</t>
  </si>
  <si>
    <t xml:space="preserve">PLANT 3-CLOSING STOCK-STRING </t>
  </si>
  <si>
    <t>P3-7000/393</t>
  </si>
  <si>
    <t xml:space="preserve">PLANT 3-OPENING STOCK-OPP TAPE </t>
  </si>
  <si>
    <t>P3-7000/394</t>
  </si>
  <si>
    <t>PLANT 3-PURCHASES OPP TAPE</t>
  </si>
  <si>
    <t>P3-7000/395</t>
  </si>
  <si>
    <t xml:space="preserve">PLANT 3-CLOSING STOCK-OPP TAPE </t>
  </si>
  <si>
    <t>P3-7000/396</t>
  </si>
  <si>
    <t xml:space="preserve">PLANT 3-OPENING STOCK-WHITE CLOTH </t>
  </si>
  <si>
    <t>P3-7000/397</t>
  </si>
  <si>
    <t>PLANT 3-PURCHASES WHITE CLOTH</t>
  </si>
  <si>
    <t>P3-7000/398</t>
  </si>
  <si>
    <t xml:space="preserve">PLANT 3-CLOSING STOCK-WHITE CLOTH </t>
  </si>
  <si>
    <t>P3-7000/399</t>
  </si>
  <si>
    <t xml:space="preserve">PLANT 3-OPENING STOCK-CHEMICAL OF LAB </t>
  </si>
  <si>
    <t>P3-7000/400</t>
  </si>
  <si>
    <t xml:space="preserve">PLANT 3-PURCHASE CHEMICAL OF LAB </t>
  </si>
  <si>
    <t>P3-7000/401</t>
  </si>
  <si>
    <t xml:space="preserve">PLANT 3-CLOSING STOCK-CHEMICAL OF LAB </t>
  </si>
  <si>
    <t>P3-7000/402</t>
  </si>
  <si>
    <t xml:space="preserve">PLANT 3-OPENING STOCK-SALT </t>
  </si>
  <si>
    <t>P3-7000/403</t>
  </si>
  <si>
    <t>PLANT 3-PURCHASE SALT</t>
  </si>
  <si>
    <t>P3-7000/404</t>
  </si>
  <si>
    <t xml:space="preserve">PLANT 3-CLOSING STOCK-SALT </t>
  </si>
  <si>
    <t>P3-7000/490</t>
  </si>
  <si>
    <t xml:space="preserve">PLANT 3-OPENING STOCK-SPARE PART OF FORMER </t>
  </si>
  <si>
    <t>P3-7000/491</t>
  </si>
  <si>
    <t>PLANT 3-PURCHASE SPARE PART OF FORMER</t>
  </si>
  <si>
    <t>P3-7000/492</t>
  </si>
  <si>
    <t xml:space="preserve">PLANT 3-CLOSING STOCK-SPARE PART OF FORMER </t>
  </si>
  <si>
    <t>P3-7000/495</t>
  </si>
  <si>
    <t xml:space="preserve">PLANT 3-OPENING STOCK-SPARE PART OF ENGINEERING </t>
  </si>
  <si>
    <t>P3-7000/496</t>
  </si>
  <si>
    <t>PLANT 3-PURCHASE SPARE PART OF ENGINEERING</t>
  </si>
  <si>
    <t>P3-7000/496-3</t>
  </si>
  <si>
    <t xml:space="preserve">PLANT 3-DISCOUNT OF SPARE PART OF ENGINEERING </t>
  </si>
  <si>
    <t>P3-7000/497</t>
  </si>
  <si>
    <t xml:space="preserve">PLANT 3-CLOSING STOCK-SPARE PART OF ENGINEERING </t>
  </si>
  <si>
    <t>P3-7000/501</t>
  </si>
  <si>
    <t xml:space="preserve">PLANT 3-OPENING STOCK- SUPPLIES OF WAREHOUSE </t>
  </si>
  <si>
    <t>P3-7000/502</t>
  </si>
  <si>
    <t>PLANT 3-PURCHASE SUPPLIES OF WAREHOUSE</t>
  </si>
  <si>
    <t>P3-7000/503</t>
  </si>
  <si>
    <t xml:space="preserve">PLANT 3-CLOSING STOCK - SUPPLIES OF WAREHOUSE </t>
  </si>
  <si>
    <t>P3-7000/505</t>
  </si>
  <si>
    <t>PLANT 3-PUCHASE CHEMICAL FOR R&amp;D</t>
  </si>
  <si>
    <t>P3-7000/510</t>
  </si>
  <si>
    <t>PLANT 3-PUCHASE CHEMICAL OF WATER</t>
  </si>
  <si>
    <t>P3-7000/511</t>
  </si>
  <si>
    <t>PLANT 3-OH - SALARY</t>
  </si>
  <si>
    <t>P3-7000/512</t>
  </si>
  <si>
    <t>PLANT 3-OH - WAGES</t>
  </si>
  <si>
    <t>P3-7000/513</t>
  </si>
  <si>
    <t>PLANT 3-OH - OVERTIMES</t>
  </si>
  <si>
    <t>P3-7000/514</t>
  </si>
  <si>
    <t>PLANT 3-OH - ALLOWANCE</t>
  </si>
  <si>
    <t>P3-7000/515</t>
  </si>
  <si>
    <t>PLANT 3-OH - MEDICAL</t>
  </si>
  <si>
    <t>P3-7000/516</t>
  </si>
  <si>
    <t>PLANT 3-OH - SOCIAL SECURITY</t>
  </si>
  <si>
    <t>P3-7000/517</t>
  </si>
  <si>
    <t>PLANT 3-OH - COMPENSATION FUND</t>
  </si>
  <si>
    <t>P3-7000/518</t>
  </si>
  <si>
    <t>PLANT 3-OH - EMPLOYEE WELFARE</t>
  </si>
  <si>
    <t>P3-7000/519</t>
  </si>
  <si>
    <t>PLANT 3-OH - TRAINING AND SEMINAR</t>
  </si>
  <si>
    <t>P3-7000/520</t>
  </si>
  <si>
    <t>PLANT 3-OH - COMMISSION FOR SOURCE WORKER</t>
  </si>
  <si>
    <t>P3-7000/521</t>
  </si>
  <si>
    <t>PLANT 3-OH - TRAVELLING</t>
  </si>
  <si>
    <t>P3-7000/522</t>
  </si>
  <si>
    <t>PLANT 3-OH - COMPENSATION FUND FOR EMPLOYEE</t>
  </si>
  <si>
    <t>P3-7000/523</t>
  </si>
  <si>
    <t>PLANT 3-OH - SEVERANCE PAY</t>
  </si>
  <si>
    <t>P3-7000/524</t>
  </si>
  <si>
    <t>PLANT 3-OH - BONUS</t>
  </si>
  <si>
    <t>P3-7000/525</t>
  </si>
  <si>
    <t>PLANT 3-OH - FUNERAL EMPLOYEE RELATIVE</t>
  </si>
  <si>
    <t>P3-7000/526</t>
  </si>
  <si>
    <t>PLANT 3-OH - EXPENSE OF COVID-19 PREVENTION</t>
  </si>
  <si>
    <t>P3-7000/537</t>
  </si>
  <si>
    <t>PLANT 3-OH - PIPE WATER</t>
  </si>
  <si>
    <t>P3-7000/538</t>
  </si>
  <si>
    <t>PLANT 3-OH - ELECTRICITY</t>
  </si>
  <si>
    <t>P3-7000/538-1</t>
  </si>
  <si>
    <t>PLANT 3-OH - ELECTRICITY (SAND POND OUTSIDE)</t>
  </si>
  <si>
    <t>P3-7000/539</t>
  </si>
  <si>
    <t>PLANT 3-OH - STAMP AND POSTAGE</t>
  </si>
  <si>
    <t>P3-7000/540</t>
  </si>
  <si>
    <t>PLANT 3-OH - LABOR OF OUTSOURCE</t>
  </si>
  <si>
    <t>P3-7000/541</t>
  </si>
  <si>
    <t xml:space="preserve">PLANT 3-OH - R&amp;M BUILDING AND CONSTRUCTION </t>
  </si>
  <si>
    <t>P3-7000/542</t>
  </si>
  <si>
    <t xml:space="preserve">PLANT 3-OH - R&amp;M BUILDING - ROOF </t>
  </si>
  <si>
    <t>P3-7000/543</t>
  </si>
  <si>
    <t xml:space="preserve">PLANT 3-OH - R&amp;M BUILDING - WALL </t>
  </si>
  <si>
    <t>P3-7000/544</t>
  </si>
  <si>
    <t xml:space="preserve">PLANT 3-OH - R&amp;M BUILDING - FLOOR </t>
  </si>
  <si>
    <t>P3-7000/545</t>
  </si>
  <si>
    <t xml:space="preserve">PLANT 3-OH - R&amp;M LAND IMPROVEMENTS </t>
  </si>
  <si>
    <t>P3-7000/546</t>
  </si>
  <si>
    <t xml:space="preserve">PLANT 3-OH - R&amp;M BUILDING IMPROVEMENTS </t>
  </si>
  <si>
    <t>P3-7000/550</t>
  </si>
  <si>
    <t xml:space="preserve">PLANT 3-OH - R&amp;M MACHINERY AND FACTORY EQUIPMENT </t>
  </si>
  <si>
    <t>P3-7000/551</t>
  </si>
  <si>
    <t xml:space="preserve">PLANT 3-OH - R&amp;M MAC.&amp;EQUIPMENT- AIR CONDITION </t>
  </si>
  <si>
    <t>P3-7000/552</t>
  </si>
  <si>
    <t xml:space="preserve">PLANT 3-OH - R&amp;M MAC.&amp;EQUIPMENT- PRINTING OF PAC </t>
  </si>
  <si>
    <t>P3-7000/553</t>
  </si>
  <si>
    <t xml:space="preserve">PLANT 3-OH - R&amp;M MAC.&amp;EQUIPMENT- COMPUTER&amp;PRINTE </t>
  </si>
  <si>
    <t>P3-7000/554</t>
  </si>
  <si>
    <t xml:space="preserve">PLANT 3-OH - R&amp;M MAC.&amp;EQUIPMENT- LAB/QA EQUIPMEN </t>
  </si>
  <si>
    <t>P3-7000/555</t>
  </si>
  <si>
    <t xml:space="preserve">PLANT 3-OH - R&amp;M MAC.&amp;EQUIPMENT- WEIGHTING </t>
  </si>
  <si>
    <t>P3-7000/556</t>
  </si>
  <si>
    <t xml:space="preserve">PLANT 3-OH - R&amp;M MAC.&amp;EQUIPMENT- TOH </t>
  </si>
  <si>
    <t>P3-7000/563</t>
  </si>
  <si>
    <t xml:space="preserve">PLANT 3-OH - R&amp;M FORKLIFT EXPENSES </t>
  </si>
  <si>
    <t>P3-7000/564</t>
  </si>
  <si>
    <t xml:space="preserve">PLANT 3-OH - R&amp;M KUBOTA EXPENSES/WHEEL LOADER </t>
  </si>
  <si>
    <t>P3-7000/565</t>
  </si>
  <si>
    <t xml:space="preserve">PLANT 3-OH - RENTAL MACHINERY </t>
  </si>
  <si>
    <t>P3-7000/566</t>
  </si>
  <si>
    <t>PLANT 3-OH - RENTAL JCB (REMOVE ASH)</t>
  </si>
  <si>
    <t>P3-7000/567</t>
  </si>
  <si>
    <t xml:space="preserve">PLANT 3-OH - RENTAL JCB FOR MIX ENERGY </t>
  </si>
  <si>
    <t>P3-7000/568</t>
  </si>
  <si>
    <t>PLANT 3-OH - RENTAL FORKLIFT /CRANE</t>
  </si>
  <si>
    <t>P3-7000/569</t>
  </si>
  <si>
    <t>PLANT 3-OH - RENTAL CONTAINER</t>
  </si>
  <si>
    <t>P3-7000/570</t>
  </si>
  <si>
    <t>PLANT 3-OH - INSPECTION EXPENSES</t>
  </si>
  <si>
    <t>P3-7000/571</t>
  </si>
  <si>
    <t>PLANT 3-OH - DEPRECIATION LAND IMPROVEMENTS</t>
  </si>
  <si>
    <t>P3-7000/572</t>
  </si>
  <si>
    <t>PLANT 3-OH - DEPRECIATION BUILDINGS&amp;CONSTRUCTION</t>
  </si>
  <si>
    <t>P3-7000/573</t>
  </si>
  <si>
    <t>PLANT 3-OH - DEPRECIATION BUILDING IMPROVEMENTS</t>
  </si>
  <si>
    <t>P3-7000/574</t>
  </si>
  <si>
    <t>PLANT 3-OH - DEPRECIATION MACHINERY&amp;FACTORY EQIPMENT</t>
  </si>
  <si>
    <t>P3-7000/575</t>
  </si>
  <si>
    <t>PLANT 3-OH - DEPRECIATION FACTORY EQUIPMENT</t>
  </si>
  <si>
    <t>P3-7000/575-1</t>
  </si>
  <si>
    <t>PLANT 3-OH - DEPRECIATION FACTORY EQUIPMENT (ADD B</t>
  </si>
  <si>
    <t>P3-7000/579-1</t>
  </si>
  <si>
    <t>PLANT 3-OH - DEPRECIATION LAND IM. IMPAIRMENT</t>
  </si>
  <si>
    <t>P3-7000/579-2</t>
  </si>
  <si>
    <t>PLANT 3-OH - DEPRECIATION BUILDINGS IMPAIRMENT</t>
  </si>
  <si>
    <t>P3-7000/579-3</t>
  </si>
  <si>
    <t>PLANT 3-OH - DEPRECIATION BUILDING IM. IMPAIRMENT</t>
  </si>
  <si>
    <t>P3-7000/579-4</t>
  </si>
  <si>
    <t>PLANT 3-OH - DEPRECIATION MACHINERY IMPAIRMENT</t>
  </si>
  <si>
    <t>P3-7000/579-5</t>
  </si>
  <si>
    <t>PLANT 3-OH - DEPRECIATION EQUIPMENT IMPAIRMENT</t>
  </si>
  <si>
    <t>P3-7000/579-6</t>
  </si>
  <si>
    <t>PLANT 3-OH -DEPRECIATION EQUIP.(ADDBACK)IMPAIRMENT</t>
  </si>
  <si>
    <t>P3-7000/581</t>
  </si>
  <si>
    <t xml:space="preserve">PLANT 3-OH - FACTORY EQUIPMENT/SUPPLIES </t>
  </si>
  <si>
    <t>P3-7000/582</t>
  </si>
  <si>
    <t xml:space="preserve">PLANT 3-OH - FACTORY INSURANCE </t>
  </si>
  <si>
    <t>P3-7000/583</t>
  </si>
  <si>
    <t xml:space="preserve">PLANT 3-OH - MACHINERY &amp; CAR INSURANCE </t>
  </si>
  <si>
    <t>P3-7000/584</t>
  </si>
  <si>
    <t xml:space="preserve">PLANT 3-OH - STATIONERY AND PRINTING </t>
  </si>
  <si>
    <t>P3-7000/585</t>
  </si>
  <si>
    <t xml:space="preserve">PLANT 3-OH - GASOLINE </t>
  </si>
  <si>
    <t>P3-7000/586</t>
  </si>
  <si>
    <t xml:space="preserve">PLANT 3-OH - IMPORT DUTY </t>
  </si>
  <si>
    <t>P3-7000/587</t>
  </si>
  <si>
    <t xml:space="preserve">PLANT 3-OH - OTHER CONSUMABLE </t>
  </si>
  <si>
    <t>P3-7000/588</t>
  </si>
  <si>
    <t xml:space="preserve">PLANT 3-OH - CALABRATE SERVICE </t>
  </si>
  <si>
    <t>P3-7000/589</t>
  </si>
  <si>
    <t xml:space="preserve">PLANT 3-OH - WATER TREATMENT EXPENSES </t>
  </si>
  <si>
    <t>P3-7000/590</t>
  </si>
  <si>
    <t xml:space="preserve">PLANT 3-OH - SOLD CHEMICAL &amp;  PACKING MATERIAL </t>
  </si>
  <si>
    <t>P3-7000/591</t>
  </si>
  <si>
    <t>PLANT 3-OH - LOSS ON DISPOSAL OF FIXED ASSETS</t>
  </si>
  <si>
    <t>P3-7000/592</t>
  </si>
  <si>
    <t xml:space="preserve">PLANT 3-OH - CONTAINER EXPENSE </t>
  </si>
  <si>
    <t>P3-7000/593</t>
  </si>
  <si>
    <t>PLANT 3-OH - TRANSPORT / SHIPPING EXPENSES</t>
  </si>
  <si>
    <t>P3-7000/600</t>
  </si>
  <si>
    <t xml:space="preserve">PLANT 3-OH - MISCELLANEOUS EXPENSES </t>
  </si>
  <si>
    <t>P3-7000/601</t>
  </si>
  <si>
    <t xml:space="preserve">PLANT 3-OH - SAFETY EXPENSE </t>
  </si>
  <si>
    <t>P3-7000/602</t>
  </si>
  <si>
    <t>PLANT 3-OH - TESTING EXPENSE</t>
  </si>
  <si>
    <t>P3-7000/603</t>
  </si>
  <si>
    <t xml:space="preserve">PLANT 3-OH - MANAGEMENT FEE OF PP&amp;E </t>
  </si>
  <si>
    <t>P3-7000/604</t>
  </si>
  <si>
    <t>PLANT 3-OH - DISPOSE SLUDGE AND SCRAP</t>
  </si>
  <si>
    <t>P3-7000/605</t>
  </si>
  <si>
    <t>PLANT 3-OH - RECRUITMENT EXPENSES</t>
  </si>
  <si>
    <t>P3-7000/606</t>
  </si>
  <si>
    <t>PLANT 3-OH - SERVICE FEE</t>
  </si>
  <si>
    <t>P3-7000/700</t>
  </si>
  <si>
    <t>PLANT 3-OH - LOSS FROM NET REALIZABLE VALUE</t>
  </si>
  <si>
    <t>P3-7000/701</t>
  </si>
  <si>
    <t>PLANT 3-OH - LOSS FROM SCRAP LATEX &amp; CHEM COMPOUND</t>
  </si>
  <si>
    <t>P3-7000/800</t>
  </si>
  <si>
    <t>PLANT 3-OH - OUTSIDE SERVICES - OUTSOURCE</t>
  </si>
  <si>
    <t>P3-7000/901</t>
  </si>
  <si>
    <t>OPENING STOCK - WORK IN PROGRESS (RAW MATERIAL)-1</t>
  </si>
  <si>
    <t>P3-7000/902</t>
  </si>
  <si>
    <t>CLOSING STOCK - WORK IN PROGRESS (RAW MATERIAL)-1</t>
  </si>
  <si>
    <t>P3-70-30-00-9200</t>
  </si>
  <si>
    <t>SELLING AND PROMOTION EXPENSES OF NBR PRODUCTS PLANT 3</t>
  </si>
  <si>
    <t>P3-70-30-00-9201</t>
  </si>
  <si>
    <t>SELLING AND PROMOTION EXPENSES OF NBR PRODUCTS (COMMISSION) PLANT 3</t>
  </si>
  <si>
    <t>P3-70-30-00-9202</t>
  </si>
  <si>
    <t>OTHER SELLING AND PROMOTION EXPENSES PLANT 3</t>
  </si>
  <si>
    <t>P3-70-50-00-0000</t>
  </si>
  <si>
    <t>SELLING AND ADMINISTRATIVE EXPENSES (NBR PLANT 3)</t>
  </si>
  <si>
    <t>P3-70-50-00-9100</t>
  </si>
  <si>
    <t>SALARY  NBR PLANT 3</t>
  </si>
  <si>
    <t>P3-70-50-00-9300</t>
  </si>
  <si>
    <t>SELLING AND ADMINISTRATIVE - UTILITIES (NBR PLANT 3)</t>
  </si>
  <si>
    <t>P3-70-50-01-9300</t>
  </si>
  <si>
    <t>COMMUNICATION &amp; POSTAGE EXPENSES(NBR PLANT 3)</t>
  </si>
  <si>
    <t>P3-70-50-02-9400</t>
  </si>
  <si>
    <t>SELLING AND ADMINSTRATIVE -REPAIR&amp;UPKEEP (NBR PLANT 3)</t>
  </si>
  <si>
    <t>P3-70-50-03-9500</t>
  </si>
  <si>
    <t>SELLING AND ADMINISTRATIVE-DEPRECIATION (NBR PLANT 3)</t>
  </si>
  <si>
    <t>P3-70-50-04-9600</t>
  </si>
  <si>
    <t>SELLING AND ADMINISTRATIVE - OTHER EXP. (NBR PLANT 3)</t>
  </si>
  <si>
    <t>P3-80-50-00-9700</t>
  </si>
  <si>
    <t>OTHER INCOME - NBR PLANT 3</t>
  </si>
  <si>
    <t>P3-80-50-01-9700</t>
  </si>
  <si>
    <t>INTEREST INCOME - NBR PLANT 3</t>
  </si>
  <si>
    <t>P3-80-50-01-9710</t>
  </si>
  <si>
    <t>OTHER INCOME - NBR PLANT 3-1</t>
  </si>
  <si>
    <t>P3-80-50-02-0001</t>
  </si>
  <si>
    <t>LOSS ON DISPOSAL OF MARKETABLE SECURITES PLANT 3</t>
  </si>
  <si>
    <t>OTHER EXPENSES PLANT 3</t>
  </si>
  <si>
    <t>P3-80-50-03-9901</t>
  </si>
  <si>
    <t>INTERST EXPENSES - NBR PLANT 3</t>
  </si>
  <si>
    <t>P3-80-50-04-9900</t>
  </si>
  <si>
    <t>OTHER EXPENSES - NBR PLANT 3</t>
  </si>
  <si>
    <t>P3-80-50-10-0000</t>
  </si>
  <si>
    <t>OTHER INCOME AND OTHER EXPENSES - NBR PLANT 3</t>
  </si>
  <si>
    <t>P3-80-50-10-0001</t>
  </si>
  <si>
    <t>P3-9101/000</t>
  </si>
  <si>
    <t>PLANT 3 SALARY</t>
  </si>
  <si>
    <t>Salary Expense</t>
  </si>
  <si>
    <t>P3-9101/001</t>
  </si>
  <si>
    <t>PLANT 3 MANAGEMENT FEE</t>
  </si>
  <si>
    <t>P3-9101/002</t>
  </si>
  <si>
    <t>PLANT 3 ALLOWANCE OF EMPLOYEE</t>
  </si>
  <si>
    <t>P3-9103/000</t>
  </si>
  <si>
    <t>PLANT 3 OVERTIME</t>
  </si>
  <si>
    <t>P3-9104/000</t>
  </si>
  <si>
    <t>PLANT 3 ACCOMMODATION</t>
  </si>
  <si>
    <t>P3-9105/000</t>
  </si>
  <si>
    <t>PLANT 3 TRAVELLING</t>
  </si>
  <si>
    <t>P3-9106/000</t>
  </si>
  <si>
    <t>PLANT 3 WELFARE FOR EMPLOYEE</t>
  </si>
  <si>
    <t>P3-9106/007</t>
  </si>
  <si>
    <t>PLANT 3 FUNERAL STAFF RELATIVE</t>
  </si>
  <si>
    <t>P3-9107/000</t>
  </si>
  <si>
    <t>PLANT 3 SOCIAL INSURANCE</t>
  </si>
  <si>
    <t>P3-9108/000</t>
  </si>
  <si>
    <t xml:space="preserve">PLANT 3 COMPENSATION FUND </t>
  </si>
  <si>
    <t>P3-9110/000</t>
  </si>
  <si>
    <t xml:space="preserve">PLANT 3 INSURANCE </t>
  </si>
  <si>
    <t>P3-9111/000</t>
  </si>
  <si>
    <t>PLANT 3-ADVERTISEMENT EXPENSES</t>
  </si>
  <si>
    <t>P3-9112/000</t>
  </si>
  <si>
    <t>PLANT 3 TRAINING &amp; SEMINAR</t>
  </si>
  <si>
    <t>P3-9113/000</t>
  </si>
  <si>
    <t xml:space="preserve">PLANT 3-SEVERANCE PAY </t>
  </si>
  <si>
    <t>P3-9114/000</t>
  </si>
  <si>
    <t>PLANT 3-PARTY AND GIFT EXPENSE</t>
  </si>
  <si>
    <t>P3-9115/000</t>
  </si>
  <si>
    <t xml:space="preserve">PLANT 3-BONUS </t>
  </si>
  <si>
    <t>P3-9116/000</t>
  </si>
  <si>
    <t xml:space="preserve">PLANT 3-CURRENT SERVICE COST </t>
  </si>
  <si>
    <t>P3-9117/000</t>
  </si>
  <si>
    <t xml:space="preserve">PLANT 3-INTEREST COST (EMPLOYEE BENEFIT) </t>
  </si>
  <si>
    <t>P3-9118/000</t>
  </si>
  <si>
    <t>PLANT 3-AWARDS TO EMPLOYEES</t>
  </si>
  <si>
    <t>P3-9201/000</t>
  </si>
  <si>
    <t>PLANT 3-FREIGHT AND FORWARDING CHARGES</t>
  </si>
  <si>
    <t>P3-9202/000</t>
  </si>
  <si>
    <t>PLANT 3-SHIPPING AND LOADING CHARGES</t>
  </si>
  <si>
    <t>P3-9202/100</t>
  </si>
  <si>
    <t>PLANT 3-FORM A , C/O FORM  SERVICE</t>
  </si>
  <si>
    <t>P3-9202/200</t>
  </si>
  <si>
    <t>PLANT 3-SHIPPING CLAIM TAX INCOME</t>
  </si>
  <si>
    <t>P3-9203/000</t>
  </si>
  <si>
    <t>PLANT 3-INSURANCE FOR SHIPMENT</t>
  </si>
  <si>
    <t>P3-9204/000</t>
  </si>
  <si>
    <t>PLANT 3-TRANSPORTATION</t>
  </si>
  <si>
    <t>P3-9205/000</t>
  </si>
  <si>
    <t>PLANT 3-LOADING CONTAINER</t>
  </si>
  <si>
    <t>P3-9206/000</t>
  </si>
  <si>
    <t>PLANT 3-INSPECTION EXPENSES</t>
  </si>
  <si>
    <t>P3-9206/001</t>
  </si>
  <si>
    <t>PLANT 3-TRAVELLING OF INSPECTOR</t>
  </si>
  <si>
    <t>P3-9206/002</t>
  </si>
  <si>
    <t>PLANT 3-RENTAL WAREHOUSE / EXPENSES</t>
  </si>
  <si>
    <t>P3-9207/000</t>
  </si>
  <si>
    <t>PLANT 3 - COMMISSION FOR SALE</t>
  </si>
  <si>
    <t>P3-9207/001</t>
  </si>
  <si>
    <t>PLANT 3 - COMMISSION FOR SALE - MM ITALIA</t>
  </si>
  <si>
    <t>P3-9208/001</t>
  </si>
  <si>
    <t>PLANT 3-TRADE SHOW EXPENSES</t>
  </si>
  <si>
    <t>P3-9208/002</t>
  </si>
  <si>
    <t>PLANT 3-SHIPPING-CLAIM TAX EXPORT</t>
  </si>
  <si>
    <t>P3-9208/003</t>
  </si>
  <si>
    <t>PLANT 3-TRAVELLING EXPENSES FOR MARKETING</t>
  </si>
  <si>
    <t>P3-9208/004</t>
  </si>
  <si>
    <t>PLANT 3-ACCOMMODATION OF CUSTOMER / MARKETING</t>
  </si>
  <si>
    <t>P3-9208/005</t>
  </si>
  <si>
    <t>PLANT 3-ENTERTAINMENT FOR CUSTOMER</t>
  </si>
  <si>
    <t>P3-9208/006</t>
  </si>
  <si>
    <t>PLANT 3-COMMUNICATION &amp; POSTAGE OF CUSTOMER</t>
  </si>
  <si>
    <t>P3-9208/007</t>
  </si>
  <si>
    <t>PLANT 3-TESTING SAMPLE OF GLOVES</t>
  </si>
  <si>
    <t>P3-9208/008</t>
  </si>
  <si>
    <t>PLANT 3-QUALITY CLAIM BY CUSTOMER</t>
  </si>
  <si>
    <t>P3-9208/009</t>
  </si>
  <si>
    <t>PLANT 3-CERTIFICATE OF CUSTOMER</t>
  </si>
  <si>
    <t>P3-9208/010</t>
  </si>
  <si>
    <t>PLANT 3-PRINTING MEDIA - MARKETING</t>
  </si>
  <si>
    <t>P3-9208/011</t>
  </si>
  <si>
    <t>PLANT 3-SAMPLE GLOVE</t>
  </si>
  <si>
    <t>P3-9208/012</t>
  </si>
  <si>
    <t>PLANT 3-TRADE INSURANCE</t>
  </si>
  <si>
    <t>P3-9301/000</t>
  </si>
  <si>
    <t>PLANT 3-INTERNET FEE</t>
  </si>
  <si>
    <t>P3-9301/001</t>
  </si>
  <si>
    <t xml:space="preserve">PLANT 3-TELEPHONE/FAX - OFFICE FEE </t>
  </si>
  <si>
    <t>P3-9301/002</t>
  </si>
  <si>
    <t xml:space="preserve">PLANT 3-TELEPHONE/FAX - HANDPHONE FEE </t>
  </si>
  <si>
    <t>P3-9301/003</t>
  </si>
  <si>
    <t xml:space="preserve">PLANT 3-TELEPHONE/FAX - FAX FEE </t>
  </si>
  <si>
    <t>P3-9302/000</t>
  </si>
  <si>
    <t xml:space="preserve">PLANT 3-STAMP AND POSTAGE </t>
  </si>
  <si>
    <t>P3-9302/001</t>
  </si>
  <si>
    <t xml:space="preserve">PLANT 3-STAMP AND POSTAGE - STAMP </t>
  </si>
  <si>
    <t>P3-9302/002</t>
  </si>
  <si>
    <t>PLANT 3-STAMP AND POSTAGE - STAMP(ADMIN.)</t>
  </si>
  <si>
    <t>P3-9302/003</t>
  </si>
  <si>
    <t>PLANT 3-STAMP AND POSTAGE - STAMP(ACCOUNT)</t>
  </si>
  <si>
    <t>P3-9302/004</t>
  </si>
  <si>
    <t>PLANT 3-STAMP AND POSTAGE - STAMP(OTHER)</t>
  </si>
  <si>
    <t>P3-9303/000</t>
  </si>
  <si>
    <t xml:space="preserve">PLANT 3-COMMUNICATION EXPENSES </t>
  </si>
  <si>
    <t>P3-9304/000</t>
  </si>
  <si>
    <t xml:space="preserve">PLANT 3-ELECTRICITY OF OFFICE </t>
  </si>
  <si>
    <t>P3-9305/000</t>
  </si>
  <si>
    <t xml:space="preserve">PLANT 3-IT EXPENSES </t>
  </si>
  <si>
    <t>P3-9306/000</t>
  </si>
  <si>
    <t xml:space="preserve">PLANT 3-CCTV  EXPENSES </t>
  </si>
  <si>
    <t>P3-9401/000</t>
  </si>
  <si>
    <t xml:space="preserve">PLANT 3-REPAIR AND MAINTENANCE - OFFICE BUILDING </t>
  </si>
  <si>
    <t>P3-9402/000</t>
  </si>
  <si>
    <t xml:space="preserve">PLANT 3-REPAIR AND MAINTENANCE -OFFICE EQUIPMENT </t>
  </si>
  <si>
    <t>P3-9402/001</t>
  </si>
  <si>
    <t xml:space="preserve">PLANT 3-REPAIR AND MAINTENANCE - AIR CONDITION </t>
  </si>
  <si>
    <t>P3-9402/002</t>
  </si>
  <si>
    <t xml:space="preserve">PLANT 3-REPAIR AND MAINTENANCE - TEL. &amp; INTERNET </t>
  </si>
  <si>
    <t>P3-9402/003</t>
  </si>
  <si>
    <t xml:space="preserve">PLANT 3-REPAIR AND MAINTENANCE - OTHER </t>
  </si>
  <si>
    <t>P3-9403/000</t>
  </si>
  <si>
    <t xml:space="preserve">PLANT 3-REPAIR AND MAINTENANCE - VEHICLES </t>
  </si>
  <si>
    <t>P3-9403/001</t>
  </si>
  <si>
    <t>PLANT 3-REPAIR AND MAINTENANCE - Vios 9295</t>
  </si>
  <si>
    <t>P3-9403/002</t>
  </si>
  <si>
    <t>PLANT 3-REPAIR AND MAINTENANCE - CIVIC 176</t>
  </si>
  <si>
    <t>P3-9403/003</t>
  </si>
  <si>
    <t>PLANT 3-REPAIR AND MAINTENANCE - VAN 0561</t>
  </si>
  <si>
    <t>P3-9403/004</t>
  </si>
  <si>
    <t>PLANT 3-REPAIR AND MAINTENANCE - CIVIC 1167</t>
  </si>
  <si>
    <t>P3-9403/005</t>
  </si>
  <si>
    <t>PLANT 3-EXPENSES FOR VEHICLE FROM PLANT 1</t>
  </si>
  <si>
    <t>P3-9410/000</t>
  </si>
  <si>
    <t>PLANT 3-REPAIR AND MAINTENANCE - ANNUAL SOFTWARE</t>
  </si>
  <si>
    <t>P3-9501/000</t>
  </si>
  <si>
    <t>PLANT 3-DEPRECIATION - LAND IMPROVEMENTS</t>
  </si>
  <si>
    <t>P3-9502/000</t>
  </si>
  <si>
    <t>PLANT 3-DEPRECIATION - BULIDING AND CONSTRUCTION</t>
  </si>
  <si>
    <t>P3-9503/000</t>
  </si>
  <si>
    <t>PLANT 3-DEPRECIATION - BUILDING IMPROVEMENT</t>
  </si>
  <si>
    <t>P3-9504/000</t>
  </si>
  <si>
    <t>PLANT 3-DEPRECIATION - OFFICE EQUIPMENT</t>
  </si>
  <si>
    <t>P3-9504/001</t>
  </si>
  <si>
    <t>PLANT 3-DEPRECIATION - RIGHTS OF PROGRAMS</t>
  </si>
  <si>
    <t>P3-9505/000</t>
  </si>
  <si>
    <t>PLANT 3-DEPRECIATION - COMPUTER</t>
  </si>
  <si>
    <t>P3-9506/000</t>
  </si>
  <si>
    <t>PLANT 3-DEPRECIATION - FURNITURE &amp; FIXTURE</t>
  </si>
  <si>
    <t>P3-9507/000</t>
  </si>
  <si>
    <t>PLANT 3-DEPRECIATION - VEHICLES</t>
  </si>
  <si>
    <t>P3-9509/000-1</t>
  </si>
  <si>
    <t>PLANT 3-DEPRECIATION - LAND IM. IMPAIRMENT</t>
  </si>
  <si>
    <t>P3-9509/000-2</t>
  </si>
  <si>
    <t>PLANT 3-DEPRECIATION - BULIDING IMPAIRMENT</t>
  </si>
  <si>
    <t>P3-9509/000-3</t>
  </si>
  <si>
    <t>PLANT 3-DEPRECIATION - BUILDING IM. IMPAIRMENT</t>
  </si>
  <si>
    <t>P3-9509/000-4</t>
  </si>
  <si>
    <t>PLANT 3-DEPRECIATION - OFFICE EQUIP. IMPAIRMENT</t>
  </si>
  <si>
    <t>P3-9509/000-5</t>
  </si>
  <si>
    <t>PLANT 3-DEPRECIATION - RIGHTS IMPAIRMENT</t>
  </si>
  <si>
    <t>P3-9509/000-6</t>
  </si>
  <si>
    <t>PLANT 3-DEPRECIATION - COMPUTER IMPAIRMENT</t>
  </si>
  <si>
    <t>P3-9509/000-7</t>
  </si>
  <si>
    <t>PLANT 3-DEPRECIATION - FURNITURE IMPAIRMENT</t>
  </si>
  <si>
    <t>P3-9509/000-8</t>
  </si>
  <si>
    <t>PLANT 3-DEPRECIATION - VEHICLES IMPAIRMENT</t>
  </si>
  <si>
    <t>P3-9601/000</t>
  </si>
  <si>
    <t xml:space="preserve">PLANT 3-VEHICLES INSURANCE </t>
  </si>
  <si>
    <t>P3-9602/000</t>
  </si>
  <si>
    <t xml:space="preserve">PLANT 3-FACTORY INSURANCE </t>
  </si>
  <si>
    <t>P3-9602/001</t>
  </si>
  <si>
    <t xml:space="preserve">PLANT 3-INSURANCE OF EQUIPMENT </t>
  </si>
  <si>
    <t>P3-9602/002</t>
  </si>
  <si>
    <t>PLANT 3-INSURANCE OF PUBLIC &amp; PRODUCTS LIABILITY</t>
  </si>
  <si>
    <t>P3-9604/000</t>
  </si>
  <si>
    <t xml:space="preserve">PLANT 3-STATIONERY AND PRINTING </t>
  </si>
  <si>
    <t>P3-9604/001</t>
  </si>
  <si>
    <t xml:space="preserve">PLANT 3-STATIONERY AND PRINTING-PAPER A4 </t>
  </si>
  <si>
    <t>P3-9604/002</t>
  </si>
  <si>
    <t xml:space="preserve">PLANT 3-STATIONERY AND PRINTING- FORM </t>
  </si>
  <si>
    <t>P3-9604/003</t>
  </si>
  <si>
    <t xml:space="preserve">PLANT 3-STATIONERY AND PRINTING- INK PRINTING </t>
  </si>
  <si>
    <t>P3-9604/004</t>
  </si>
  <si>
    <t xml:space="preserve">PLANT 3-STATIONERY AND PRINTING- NAME CARD </t>
  </si>
  <si>
    <t>P3-9604/005</t>
  </si>
  <si>
    <t xml:space="preserve">PLANT 3-STATIONERY AND PRINTING- STICKER </t>
  </si>
  <si>
    <t>P3-9605/000</t>
  </si>
  <si>
    <t>PLANT 3-GASOLINE</t>
  </si>
  <si>
    <t>P3-9607/000</t>
  </si>
  <si>
    <t>PLANT 3-BANK CHARGES</t>
  </si>
  <si>
    <t>P3-9607/001</t>
  </si>
  <si>
    <t>PLANT 3-BANK CHARGES - FCD</t>
  </si>
  <si>
    <t>P3-9607/002</t>
  </si>
  <si>
    <t xml:space="preserve">PLANT 3-BANK CHARGES - CUSTOMER LOCAL </t>
  </si>
  <si>
    <t>P3-9607/003</t>
  </si>
  <si>
    <t xml:space="preserve">PLANT 3-BANK CHARGES - CUSTOMER EXPORT </t>
  </si>
  <si>
    <t>P3-9607/004</t>
  </si>
  <si>
    <t xml:space="preserve">PLANT 3-BANK CHARGES - GUARANTEE FEE </t>
  </si>
  <si>
    <t>P3-9607/005</t>
  </si>
  <si>
    <t xml:space="preserve">PLANT 3-BANK CHARGES-FRONT END FEE/MORTGAGE FEE </t>
  </si>
  <si>
    <t>P3-9607/006</t>
  </si>
  <si>
    <t>PLANT 3-BANK CHARGES - CUSTOMER IFS</t>
  </si>
  <si>
    <t>P3-9608/000</t>
  </si>
  <si>
    <t>PLANT 3-AUDIT FEE</t>
  </si>
  <si>
    <t>P3-9608/001</t>
  </si>
  <si>
    <t>PLANT 3-AUDITOR EXPENSES</t>
  </si>
  <si>
    <t>P3-9609/000</t>
  </si>
  <si>
    <t xml:space="preserve">PLANT 3-PRE - OPERATING </t>
  </si>
  <si>
    <t>P3-9610/000</t>
  </si>
  <si>
    <t xml:space="preserve">PLANT 3-OTHER FEE </t>
  </si>
  <si>
    <t>P3-9611/000</t>
  </si>
  <si>
    <t xml:space="preserve">PLANT 3-RENTAL </t>
  </si>
  <si>
    <t>P3-9612/000</t>
  </si>
  <si>
    <t xml:space="preserve">PLANT 3-DOUBTFUL ACCOUNT </t>
  </si>
  <si>
    <t>P3-9613/000</t>
  </si>
  <si>
    <t xml:space="preserve">PLANT 3-MEMBERSHIP FEES </t>
  </si>
  <si>
    <t>P3-9614/000</t>
  </si>
  <si>
    <t>PLANT 3-GOVERNMENT TAX / LICENSE</t>
  </si>
  <si>
    <t>P3-9614/001</t>
  </si>
  <si>
    <t>PLANT 3-GOVERNMENT TAX/LICENSE-REGISTER FEE</t>
  </si>
  <si>
    <t>P3-9614/002</t>
  </si>
  <si>
    <t xml:space="preserve">PLANT 3-GOVERNMENT TAX/LICENSE-RE NEW FEE </t>
  </si>
  <si>
    <t>P3-9614/003</t>
  </si>
  <si>
    <t xml:space="preserve">PLANT 3-GOVERNMENT TAX/LICENSE- VEHICLE </t>
  </si>
  <si>
    <t>P3-9614/004</t>
  </si>
  <si>
    <t>PLANT 3-GOVERNMENT TAX/LICENSE- CERTIFICATE</t>
  </si>
  <si>
    <t>P3-9615/000</t>
  </si>
  <si>
    <t xml:space="preserve">PLANT 3-PIPE WATER </t>
  </si>
  <si>
    <t>P3-9616/000</t>
  </si>
  <si>
    <t>PLANT 3-OFFICE EQUIPMENT / SUPPLIES</t>
  </si>
  <si>
    <t>P3-9617/000</t>
  </si>
  <si>
    <t>PLANT 3-ENTERTAINMENT</t>
  </si>
  <si>
    <t>P3-9617/001</t>
  </si>
  <si>
    <t>PLANT 3-ENTERTAINMENT - TRAINEE</t>
  </si>
  <si>
    <t>P3-9618/000</t>
  </si>
  <si>
    <t xml:space="preserve">PLANT 3-DONATION /GIFT </t>
  </si>
  <si>
    <t>P3-9618/001</t>
  </si>
  <si>
    <t xml:space="preserve">PLANT 3-DONATION/GIFT - TEMPLE </t>
  </si>
  <si>
    <t>P3-9618/002</t>
  </si>
  <si>
    <t xml:space="preserve">PLANT 3-DONATION/GIFT - GOVERNMENT </t>
  </si>
  <si>
    <t>P3-9618/003</t>
  </si>
  <si>
    <t xml:space="preserve">PLANT 3-DONATION/GIFT - SOCIAL </t>
  </si>
  <si>
    <t>P3-9618/004</t>
  </si>
  <si>
    <t>PLANT 3-DONATION - CORPORATE SOCIAL RESPONSIBILITY</t>
  </si>
  <si>
    <t>P3-9619/000</t>
  </si>
  <si>
    <t xml:space="preserve">PLANT 3-DUTY STAMP OF AGREEMENT </t>
  </si>
  <si>
    <t>P3-9620/000</t>
  </si>
  <si>
    <t xml:space="preserve">PLANT 3-SECURITY FEE </t>
  </si>
  <si>
    <t>P3-9621/000</t>
  </si>
  <si>
    <t xml:space="preserve">PLANT 3-CONSULTANT FEE </t>
  </si>
  <si>
    <t>P3-9622/000</t>
  </si>
  <si>
    <t xml:space="preserve">PLANT 3-SURVEY FEE </t>
  </si>
  <si>
    <t>P3-9623/000</t>
  </si>
  <si>
    <t xml:space="preserve">PLANT 3-TAX CARD SERVICE </t>
  </si>
  <si>
    <t>P3-9624/000</t>
  </si>
  <si>
    <t>PLANT 3-ISO EXPENSES</t>
  </si>
  <si>
    <t>P3-9624/001</t>
  </si>
  <si>
    <t xml:space="preserve">PLANT 3-ISO EXPENSE - LICENSE </t>
  </si>
  <si>
    <t>P3-9624/002</t>
  </si>
  <si>
    <t xml:space="preserve">PLANT 3-ISO EXPENSE - TRAVELLING </t>
  </si>
  <si>
    <t>P3-9624/003</t>
  </si>
  <si>
    <t>PLANT 3-ISO EXPENSE - ACCOMMODATE / ENTERTAINMENT</t>
  </si>
  <si>
    <t>P3-9624/004</t>
  </si>
  <si>
    <t xml:space="preserve">PLANT 3-ISO EXPENSE - TRAINNING </t>
  </si>
  <si>
    <t>P3-9625/000</t>
  </si>
  <si>
    <t xml:space="preserve">PLANT 3-LEGAL FEE </t>
  </si>
  <si>
    <t>P3-9626/000</t>
  </si>
  <si>
    <t>PLANT 3-DISALLOWANCE EXPENSES</t>
  </si>
  <si>
    <t>P3-9627/000</t>
  </si>
  <si>
    <t xml:space="preserve">PLANT 3-MISCELLANEOUS EXPENSES </t>
  </si>
  <si>
    <t>P3-9628/000</t>
  </si>
  <si>
    <t xml:space="preserve">PLANT 3-ACTUARIAL FEE </t>
  </si>
  <si>
    <t>P3-9629/000</t>
  </si>
  <si>
    <t>PLANT 3-PENALTY EXPENSES</t>
  </si>
  <si>
    <t>P3-9629/001</t>
  </si>
  <si>
    <t xml:space="preserve">PLANT 3-PENALTY EXPENSES - REVENUE DEPT. </t>
  </si>
  <si>
    <t>P3-9629/002</t>
  </si>
  <si>
    <t xml:space="preserve">PLANT 3-PENALTY EXPENSES - AUTOCAD </t>
  </si>
  <si>
    <t>P3-9630/000</t>
  </si>
  <si>
    <t xml:space="preserve">PLANT 3-TRAVELLING &amp; ACCOMMODATION </t>
  </si>
  <si>
    <t>P3-9631/000</t>
  </si>
  <si>
    <t xml:space="preserve">PLANT 3-TRANSLATION </t>
  </si>
  <si>
    <t>P3-9632/000</t>
  </si>
  <si>
    <t xml:space="preserve">PLANT 3-WITHHOLDING TAX INSTEAD </t>
  </si>
  <si>
    <t>P3-9633/000</t>
  </si>
  <si>
    <t xml:space="preserve">PLANT 3-RECRUITMENT EXP. </t>
  </si>
  <si>
    <t>P3-9634/000</t>
  </si>
  <si>
    <t xml:space="preserve">PLANT 3-IMPORT EXPENSES </t>
  </si>
  <si>
    <t>P3-9635/000</t>
  </si>
  <si>
    <t xml:space="preserve">PLANT 3-MANAGEMENT FEE - OTHER </t>
  </si>
  <si>
    <t>P3-9638/000</t>
  </si>
  <si>
    <t>PLANT3-IMPAIRMENT LOSS ON PPE &amp; INTANGIBLE ASSETS</t>
  </si>
  <si>
    <t>P3-9711/001</t>
  </si>
  <si>
    <t>PLANT 3-INTEREST INCOME - FIXED DEPOSITS</t>
  </si>
  <si>
    <t>P3-9711/002</t>
  </si>
  <si>
    <t>PLANT 3-INTEREST INCOME - SAVING DEPOSITS</t>
  </si>
  <si>
    <t>P3-9711/003</t>
  </si>
  <si>
    <t xml:space="preserve">PLANT 3-INTEREST - OTHER INCOME </t>
  </si>
  <si>
    <t>P3-9712/000</t>
  </si>
  <si>
    <t xml:space="preserve">PLANT 3 - GAIN ON DISPOSAL OF FIXED ASSETS </t>
  </si>
  <si>
    <t>P3-9714/000</t>
  </si>
  <si>
    <t xml:space="preserve">PLANT 3-INCOME - TAX CARD </t>
  </si>
  <si>
    <t>P3-9715/000</t>
  </si>
  <si>
    <t>PLANT 3 - OTHER INCOME</t>
  </si>
  <si>
    <t>P3-9715/001</t>
  </si>
  <si>
    <t>PLANT 3 - COMPENSATION</t>
  </si>
  <si>
    <t>P3-9715/003</t>
  </si>
  <si>
    <t>PLANT 3-INCOME OF SALE OTHER SCRAP</t>
  </si>
  <si>
    <t>P3-9715/004</t>
  </si>
  <si>
    <t>PLANT 3-OTHER INCOME FOR PENALTY</t>
  </si>
  <si>
    <t>P3-9715/005</t>
  </si>
  <si>
    <t>PLANT 3-OTHER INCOME (REVENUE NOT CONSIDER INCOME)</t>
  </si>
  <si>
    <t>P3-9715/006</t>
  </si>
  <si>
    <t>PLANT 3 - OTHER INCOME FOR SHIPPING FEE</t>
  </si>
  <si>
    <t>P3-9731/000</t>
  </si>
  <si>
    <t>PLANT 3-GAIN/(LOSS) OF EXCHANGE - MMP AR/AP</t>
  </si>
  <si>
    <t>P3-9732/000</t>
  </si>
  <si>
    <t>PLANT 3-GAIN/(LOSS) OF EXCHANGE - OTHER AR (EX.)</t>
  </si>
  <si>
    <t>P3-9732/100</t>
  </si>
  <si>
    <t>PLANT 3-GAIN/(LOSS) OF EXCHANGE - FORWARD CONTRACT</t>
  </si>
  <si>
    <t>P3-9733/000</t>
  </si>
  <si>
    <t>PLANT 3-GAIN/(LOSS) OF EXCHANGE - LOAN/SAVING BANK</t>
  </si>
  <si>
    <t>P3-9734/000</t>
  </si>
  <si>
    <t>PLANT 3-GAIN/(LOSS) OF EXCHANGE - OTHER AP (EX.)</t>
  </si>
  <si>
    <t>P3-9735/000</t>
  </si>
  <si>
    <t>PLANT 3-GAIN/(LOSS) OF EXCHANGE-MMP AR/AP VALUATIO</t>
  </si>
  <si>
    <t>P3-9736/000</t>
  </si>
  <si>
    <t>PLANT 3-GAIN/(LOSS) OF EXCHANGE - OTHER AR - VALUATION</t>
  </si>
  <si>
    <t>P3-9737/000</t>
  </si>
  <si>
    <t>PLANT 3-GAIN/(LOSS) OF EXCHANGE - OTHER AP - VALUATION</t>
  </si>
  <si>
    <t>P3-9738/000</t>
  </si>
  <si>
    <t>PLANT 3-GAIN/(LOSS) OF EXCHANGE - LOAN OF BANK - VALUATION</t>
  </si>
  <si>
    <t>P3-9739/000</t>
  </si>
  <si>
    <t>PLANT 3-GAIN/(LOSS) OF EXCHANGE - FORWARD CONTRACT VALUATION</t>
  </si>
  <si>
    <t>P3-9901/000</t>
  </si>
  <si>
    <t xml:space="preserve">PLANT 3-INTEREST EXPENSES </t>
  </si>
  <si>
    <t>P3-9901/001</t>
  </si>
  <si>
    <t xml:space="preserve">PLANT 3-INTEREST EXPENSES - OVERDRAFTS </t>
  </si>
  <si>
    <t>P3-9901/002</t>
  </si>
  <si>
    <t xml:space="preserve">PLANT 3-INTEREST EXPENSES -SHORT TERM LOANS BANK </t>
  </si>
  <si>
    <t>P3-9901/003</t>
  </si>
  <si>
    <t>PLANT 3-INTEREST EXPENSES -SHORT TERM LOANS - MMP</t>
  </si>
  <si>
    <t>P3-9901/004</t>
  </si>
  <si>
    <t xml:space="preserve">PLANT 3-INTEREST EXPENSES -LONG TERM LOANS BANK </t>
  </si>
  <si>
    <t>P3-9901/006</t>
  </si>
  <si>
    <t xml:space="preserve">PLANT 3-INTEREST EXPENSES - VEHICLE LEASING </t>
  </si>
  <si>
    <t>P3-9908/000</t>
  </si>
  <si>
    <t>PLANT 3-OTHER EXPENSES (OVER RECEIPT)</t>
  </si>
  <si>
    <t>P3-9990/001</t>
  </si>
  <si>
    <t>PLANT 3-EXPENSES OF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</si>
</sst>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84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sz val="10"/>
      <color rgb="FFC00000"/>
      <name val="Calibri"/>
      <family val="2"/>
      <scheme val="minor"/>
    </font>
    <font>
      <b/>
      <sz val="8"/>
      <color theme="1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b/>
      <i/>
      <sz val="14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rgb="FFFF0000"/>
      <name val="Calibri"/>
      <family val="2"/>
    </font>
    <font>
      <i/>
      <sz val="10"/>
      <color rgb="FFFF0000"/>
      <name val="Calibri"/>
      <family val="2"/>
    </font>
    <font>
      <sz val="6"/>
      <color theme="1"/>
      <name val="Calibri"/>
      <family val="2"/>
    </font>
    <font>
      <sz val="5"/>
      <color rgb="FF000000"/>
      <name val="Calibri"/>
      <family val="2"/>
    </font>
    <font>
      <b/>
      <sz val="5"/>
      <color rgb="FF000000"/>
      <name val="Calibri"/>
      <family val="2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9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theme="0" tint="-0.14999847407452621"/>
      <name val="Calibri"/>
      <family val="2"/>
    </font>
    <font>
      <sz val="9"/>
      <color theme="0" tint="-0.14999847407452621"/>
      <name val="Calibri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b/>
      <sz val="9"/>
      <name val="Calibri"/>
      <family val="2"/>
      <scheme val="minor"/>
    </font>
    <font>
      <sz val="10"/>
      <color rgb="FFC00000"/>
      <name val="Calibri"/>
      <family val="2"/>
    </font>
    <font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FDFD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CE4D6"/>
        <bgColor rgb="FFFFFFFF"/>
      </patternFill>
    </fill>
    <fill>
      <patternFill patternType="solid">
        <fgColor theme="5" tint="0.79992065187536243"/>
        <bgColor rgb="FF000000"/>
      </patternFill>
    </fill>
    <fill>
      <patternFill patternType="solid">
        <fgColor theme="5" tint="0.79992065187536243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000000"/>
      </patternFill>
    </fill>
    <fill>
      <patternFill patternType="solid">
        <fgColor theme="8" tint="0.79992065187536243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rgb="FFFFFFFF"/>
      </patternFill>
    </fill>
  </fills>
  <borders count="6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106">
    <xf numFmtId="0" fontId="0" fillId="0" borderId="0"/>
    <xf numFmtId="43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42" fillId="18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15" borderId="0" applyNumberFormat="0" applyBorder="0" applyAlignment="0" applyProtection="0"/>
    <xf numFmtId="0" fontId="42" fillId="30" borderId="0" applyNumberFormat="0" applyBorder="0" applyAlignment="0" applyProtection="0"/>
    <xf numFmtId="0" fontId="43" fillId="17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4" borderId="0" applyNumberFormat="0" applyBorder="0" applyAlignment="0" applyProtection="0"/>
    <xf numFmtId="0" fontId="43" fillId="17" borderId="0" applyNumberFormat="0" applyBorder="0" applyAlignment="0" applyProtection="0"/>
    <xf numFmtId="0" fontId="43" fillId="16" borderId="0" applyNumberFormat="0" applyBorder="0" applyAlignment="0" applyProtection="0"/>
    <xf numFmtId="0" fontId="44" fillId="38" borderId="0" applyNumberFormat="0" applyBorder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6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2" fillId="0" borderId="0"/>
    <xf numFmtId="0" fontId="49" fillId="0" borderId="0"/>
    <xf numFmtId="0" fontId="49" fillId="0" borderId="0"/>
    <xf numFmtId="0" fontId="45" fillId="0" borderId="0"/>
    <xf numFmtId="0" fontId="46" fillId="0" borderId="0"/>
    <xf numFmtId="0" fontId="47" fillId="0" borderId="0"/>
    <xf numFmtId="0" fontId="42" fillId="0" borderId="0"/>
    <xf numFmtId="0" fontId="42" fillId="0" borderId="0"/>
    <xf numFmtId="9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0" fontId="51" fillId="42" borderId="41" applyNumberFormat="0" applyAlignment="0" applyProtection="0"/>
    <xf numFmtId="0" fontId="52" fillId="0" borderId="42" applyNumberFormat="0" applyFill="0" applyAlignment="0" applyProtection="0"/>
    <xf numFmtId="0" fontId="53" fillId="32" borderId="0" applyNumberFormat="0" applyBorder="0" applyAlignment="0" applyProtection="0"/>
    <xf numFmtId="0" fontId="54" fillId="12" borderId="43" applyNumberFormat="0" applyAlignment="0" applyProtection="0"/>
    <xf numFmtId="0" fontId="55" fillId="12" borderId="44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3" borderId="0" applyNumberFormat="0" applyBorder="0" applyAlignment="0" applyProtection="0"/>
    <xf numFmtId="0" fontId="50" fillId="0" borderId="0"/>
    <xf numFmtId="0" fontId="50" fillId="0" borderId="0"/>
    <xf numFmtId="0" fontId="60" fillId="15" borderId="44" applyNumberFormat="0" applyAlignment="0" applyProtection="0"/>
    <xf numFmtId="0" fontId="61" fillId="19" borderId="0" applyNumberFormat="0" applyBorder="0" applyAlignment="0" applyProtection="0"/>
    <xf numFmtId="0" fontId="62" fillId="0" borderId="45" applyNumberFormat="0" applyFill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6" borderId="0" applyNumberFormat="0" applyBorder="0" applyAlignment="0" applyProtection="0"/>
    <xf numFmtId="0" fontId="48" fillId="47" borderId="46" applyNumberFormat="0" applyFont="0" applyAlignment="0" applyProtection="0"/>
    <xf numFmtId="0" fontId="63" fillId="0" borderId="47" applyNumberFormat="0" applyFill="0" applyAlignment="0" applyProtection="0"/>
    <xf numFmtId="0" fontId="64" fillId="0" borderId="48" applyNumberFormat="0" applyFill="0" applyAlignment="0" applyProtection="0"/>
    <xf numFmtId="0" fontId="65" fillId="0" borderId="49" applyNumberFormat="0" applyFill="0" applyAlignment="0" applyProtection="0"/>
    <xf numFmtId="0" fontId="65" fillId="0" borderId="0" applyNumberFormat="0" applyFill="0" applyBorder="0" applyAlignment="0" applyProtection="0"/>
  </cellStyleXfs>
  <cellXfs count="594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/>
    <xf numFmtId="0" fontId="2" fillId="0" borderId="0" xfId="0" applyFont="1" applyAlignment="1">
      <alignment horizontal="center" readingOrder="1"/>
    </xf>
    <xf numFmtId="0" fontId="2" fillId="0" borderId="0" xfId="0" applyFont="1" applyAlignment="1">
      <alignment horizontal="left" readingOrder="1"/>
    </xf>
    <xf numFmtId="0" fontId="2" fillId="0" borderId="2" xfId="0" applyFont="1" applyBorder="1" applyAlignment="1">
      <alignment horizontal="center" readingOrder="1"/>
    </xf>
    <xf numFmtId="0" fontId="2" fillId="0" borderId="2" xfId="0" applyFont="1" applyBorder="1" applyAlignment="1">
      <alignment horizontal="left" readingOrder="1"/>
    </xf>
    <xf numFmtId="0" fontId="3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readingOrder="1"/>
    </xf>
    <xf numFmtId="0" fontId="5" fillId="0" borderId="0" xfId="0" applyFont="1"/>
    <xf numFmtId="43" fontId="5" fillId="0" borderId="0" xfId="1" applyFont="1"/>
    <xf numFmtId="43" fontId="5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8" fillId="0" borderId="0" xfId="0" applyFont="1"/>
    <xf numFmtId="0" fontId="9" fillId="2" borderId="0" xfId="0" applyFont="1" applyFill="1"/>
    <xf numFmtId="0" fontId="8" fillId="5" borderId="0" xfId="0" applyFont="1" applyFill="1"/>
    <xf numFmtId="0" fontId="9" fillId="3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5" fillId="0" borderId="0" xfId="0" applyFont="1" applyAlignment="1">
      <alignment wrapText="1"/>
    </xf>
    <xf numFmtId="43" fontId="5" fillId="0" borderId="0" xfId="1" applyFont="1" applyFill="1"/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4" fillId="6" borderId="3" xfId="0" applyFont="1" applyFill="1" applyBorder="1" applyAlignment="1">
      <alignment horizontal="right" wrapText="1"/>
    </xf>
    <xf numFmtId="43" fontId="14" fillId="6" borderId="3" xfId="1" applyFont="1" applyFill="1" applyBorder="1" applyAlignment="1">
      <alignment horizontal="center"/>
    </xf>
    <xf numFmtId="43" fontId="14" fillId="0" borderId="3" xfId="1" applyFont="1" applyFill="1" applyBorder="1" applyAlignment="1">
      <alignment horizontal="center"/>
    </xf>
    <xf numFmtId="0" fontId="14" fillId="0" borderId="4" xfId="0" applyFont="1" applyBorder="1" applyAlignment="1">
      <alignment horizontal="right" wrapText="1"/>
    </xf>
    <xf numFmtId="43" fontId="14" fillId="0" borderId="4" xfId="1" applyFont="1" applyFill="1" applyBorder="1" applyAlignment="1">
      <alignment horizontal="center"/>
    </xf>
    <xf numFmtId="0" fontId="14" fillId="6" borderId="5" xfId="0" applyFont="1" applyFill="1" applyBorder="1" applyAlignment="1">
      <alignment horizontal="right" wrapText="1"/>
    </xf>
    <xf numFmtId="43" fontId="14" fillId="6" borderId="5" xfId="1" applyFont="1" applyFill="1" applyBorder="1" applyAlignment="1">
      <alignment horizontal="center"/>
    </xf>
    <xf numFmtId="0" fontId="10" fillId="0" borderId="6" xfId="0" applyFont="1" applyBorder="1" applyAlignment="1">
      <alignment wrapText="1"/>
    </xf>
    <xf numFmtId="43" fontId="10" fillId="0" borderId="3" xfId="1" applyFont="1" applyBorder="1"/>
    <xf numFmtId="43" fontId="10" fillId="0" borderId="7" xfId="1" applyFont="1" applyFill="1" applyBorder="1"/>
    <xf numFmtId="43" fontId="10" fillId="0" borderId="4" xfId="1" applyFont="1" applyFill="1" applyBorder="1"/>
    <xf numFmtId="43" fontId="10" fillId="0" borderId="4" xfId="1" applyFont="1" applyBorder="1"/>
    <xf numFmtId="0" fontId="15" fillId="0" borderId="6" xfId="0" applyFont="1" applyBorder="1" applyAlignment="1">
      <alignment wrapText="1"/>
    </xf>
    <xf numFmtId="10" fontId="16" fillId="0" borderId="4" xfId="2" applyNumberFormat="1" applyFont="1" applyFill="1" applyBorder="1" applyAlignment="1"/>
    <xf numFmtId="0" fontId="17" fillId="3" borderId="8" xfId="0" applyFont="1" applyFill="1" applyBorder="1" applyAlignment="1">
      <alignment horizontal="center" vertical="center" wrapText="1"/>
    </xf>
    <xf numFmtId="43" fontId="11" fillId="3" borderId="9" xfId="1" applyFont="1" applyFill="1" applyBorder="1" applyAlignment="1">
      <alignment vertical="top" wrapText="1"/>
    </xf>
    <xf numFmtId="43" fontId="10" fillId="0" borderId="0" xfId="1" applyFont="1"/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 wrapText="1"/>
    </xf>
    <xf numFmtId="43" fontId="18" fillId="5" borderId="0" xfId="1" applyFont="1" applyFill="1" applyAlignment="1">
      <alignment horizontal="center"/>
    </xf>
    <xf numFmtId="0" fontId="5" fillId="6" borderId="0" xfId="0" applyFont="1" applyFill="1"/>
    <xf numFmtId="9" fontId="5" fillId="6" borderId="0" xfId="2" applyFont="1" applyFill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wrapText="1"/>
    </xf>
    <xf numFmtId="43" fontId="10" fillId="6" borderId="10" xfId="1" applyFont="1" applyFill="1" applyBorder="1"/>
    <xf numFmtId="43" fontId="10" fillId="0" borderId="10" xfId="1" applyFont="1" applyFill="1" applyBorder="1"/>
    <xf numFmtId="43" fontId="5" fillId="6" borderId="0" xfId="1" applyFont="1" applyFill="1"/>
    <xf numFmtId="43" fontId="10" fillId="7" borderId="3" xfId="1" applyFont="1" applyFill="1" applyBorder="1" applyAlignment="1">
      <alignment horizontal="center"/>
    </xf>
    <xf numFmtId="43" fontId="14" fillId="7" borderId="4" xfId="1" applyFont="1" applyFill="1" applyBorder="1" applyAlignment="1">
      <alignment horizontal="center"/>
    </xf>
    <xf numFmtId="43" fontId="10" fillId="7" borderId="5" xfId="1" applyFont="1" applyFill="1" applyBorder="1" applyAlignment="1">
      <alignment horizontal="center"/>
    </xf>
    <xf numFmtId="43" fontId="10" fillId="7" borderId="3" xfId="1" applyFont="1" applyFill="1" applyBorder="1"/>
    <xf numFmtId="10" fontId="16" fillId="7" borderId="4" xfId="2" applyNumberFormat="1" applyFont="1" applyFill="1" applyBorder="1" applyAlignment="1"/>
    <xf numFmtId="43" fontId="10" fillId="7" borderId="4" xfId="1" applyFont="1" applyFill="1" applyBorder="1"/>
    <xf numFmtId="43" fontId="11" fillId="3" borderId="11" xfId="1" applyFont="1" applyFill="1" applyBorder="1" applyAlignment="1">
      <alignment vertical="top"/>
    </xf>
    <xf numFmtId="43" fontId="10" fillId="0" borderId="0" xfId="1" applyFont="1" applyAlignment="1">
      <alignment horizontal="center"/>
    </xf>
    <xf numFmtId="43" fontId="14" fillId="7" borderId="0" xfId="1" applyFont="1" applyFill="1" applyAlignment="1">
      <alignment horizontal="center"/>
    </xf>
    <xf numFmtId="0" fontId="12" fillId="0" borderId="0" xfId="0" applyFont="1"/>
    <xf numFmtId="0" fontId="10" fillId="8" borderId="3" xfId="0" applyFont="1" applyFill="1" applyBorder="1" applyAlignment="1">
      <alignment horizontal="right" wrapText="1"/>
    </xf>
    <xf numFmtId="43" fontId="10" fillId="8" borderId="3" xfId="1" applyFont="1" applyFill="1" applyBorder="1" applyAlignment="1">
      <alignment horizontal="center"/>
    </xf>
    <xf numFmtId="0" fontId="13" fillId="0" borderId="0" xfId="0" applyFont="1"/>
    <xf numFmtId="0" fontId="13" fillId="0" borderId="5" xfId="0" applyFont="1" applyBorder="1" applyAlignment="1">
      <alignment horizontal="right"/>
    </xf>
    <xf numFmtId="43" fontId="14" fillId="0" borderId="5" xfId="1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43" fontId="5" fillId="0" borderId="4" xfId="1" applyFont="1" applyBorder="1"/>
    <xf numFmtId="43" fontId="5" fillId="0" borderId="4" xfId="1" applyFont="1" applyFill="1" applyBorder="1"/>
    <xf numFmtId="43" fontId="14" fillId="7" borderId="10" xfId="1" applyFont="1" applyFill="1" applyBorder="1"/>
    <xf numFmtId="43" fontId="14" fillId="7" borderId="5" xfId="1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43" fontId="5" fillId="0" borderId="5" xfId="1" applyFont="1" applyBorder="1"/>
    <xf numFmtId="43" fontId="5" fillId="0" borderId="5" xfId="1" applyFont="1" applyFill="1" applyBorder="1"/>
    <xf numFmtId="0" fontId="18" fillId="5" borderId="12" xfId="0" applyFont="1" applyFill="1" applyBorder="1"/>
    <xf numFmtId="0" fontId="18" fillId="5" borderId="13" xfId="0" applyFont="1" applyFill="1" applyBorder="1" applyAlignment="1">
      <alignment wrapText="1"/>
    </xf>
    <xf numFmtId="43" fontId="18" fillId="5" borderId="13" xfId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6" borderId="0" xfId="0" applyFont="1" applyFill="1" applyAlignment="1">
      <alignment wrapText="1"/>
    </xf>
    <xf numFmtId="0" fontId="10" fillId="8" borderId="10" xfId="0" applyFont="1" applyFill="1" applyBorder="1"/>
    <xf numFmtId="0" fontId="10" fillId="8" borderId="10" xfId="0" applyFont="1" applyFill="1" applyBorder="1" applyAlignment="1">
      <alignment wrapText="1"/>
    </xf>
    <xf numFmtId="43" fontId="10" fillId="8" borderId="10" xfId="1" applyFont="1" applyFill="1" applyBorder="1"/>
    <xf numFmtId="0" fontId="18" fillId="5" borderId="12" xfId="0" applyFont="1" applyFill="1" applyBorder="1" applyAlignment="1">
      <alignment horizontal="center"/>
    </xf>
    <xf numFmtId="43" fontId="10" fillId="7" borderId="14" xfId="1" applyFont="1" applyFill="1" applyBorder="1" applyAlignment="1">
      <alignment horizontal="center"/>
    </xf>
    <xf numFmtId="43" fontId="5" fillId="7" borderId="0" xfId="1" applyFont="1" applyFill="1"/>
    <xf numFmtId="0" fontId="10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19" fillId="0" borderId="0" xfId="0" applyFont="1"/>
    <xf numFmtId="0" fontId="10" fillId="0" borderId="0" xfId="0" applyFont="1" applyAlignment="1">
      <alignment horizontal="center" vertical="top"/>
    </xf>
    <xf numFmtId="43" fontId="10" fillId="0" borderId="0" xfId="1" applyFont="1" applyAlignment="1">
      <alignment vertical="top"/>
    </xf>
    <xf numFmtId="43" fontId="10" fillId="4" borderId="0" xfId="1" applyFont="1" applyFill="1" applyAlignment="1">
      <alignment vertical="top"/>
    </xf>
    <xf numFmtId="0" fontId="10" fillId="4" borderId="0" xfId="0" applyFont="1" applyFill="1" applyAlignment="1">
      <alignment horizontal="center" vertical="top"/>
    </xf>
    <xf numFmtId="43" fontId="5" fillId="0" borderId="0" xfId="1" applyFont="1" applyAlignment="1">
      <alignment horizontal="center"/>
    </xf>
    <xf numFmtId="0" fontId="20" fillId="4" borderId="0" xfId="0" applyFont="1" applyFill="1"/>
    <xf numFmtId="10" fontId="5" fillId="0" borderId="0" xfId="2" applyNumberFormat="1" applyFont="1"/>
    <xf numFmtId="0" fontId="21" fillId="0" borderId="0" xfId="0" applyFont="1"/>
    <xf numFmtId="0" fontId="18" fillId="4" borderId="0" xfId="0" applyFont="1" applyFill="1" applyAlignment="1">
      <alignment horizontal="center" vertical="top"/>
    </xf>
    <xf numFmtId="0" fontId="18" fillId="5" borderId="0" xfId="0" applyFont="1" applyFill="1" applyAlignment="1">
      <alignment horizontal="center" vertical="top"/>
    </xf>
    <xf numFmtId="10" fontId="18" fillId="5" borderId="0" xfId="2" applyNumberFormat="1" applyFont="1" applyFill="1" applyAlignment="1">
      <alignment horizontal="center" vertical="top"/>
    </xf>
    <xf numFmtId="43" fontId="18" fillId="5" borderId="0" xfId="1" applyFont="1" applyFill="1" applyAlignment="1">
      <alignment horizontal="center" vertical="top"/>
    </xf>
    <xf numFmtId="43" fontId="18" fillId="4" borderId="0" xfId="1" applyFont="1" applyFill="1" applyAlignment="1">
      <alignment horizontal="center" vertical="top"/>
    </xf>
    <xf numFmtId="0" fontId="22" fillId="0" borderId="0" xfId="0" applyFont="1"/>
    <xf numFmtId="0" fontId="22" fillId="0" borderId="0" xfId="0" applyFont="1" applyAlignment="1">
      <alignment vertical="top"/>
    </xf>
    <xf numFmtId="0" fontId="23" fillId="0" borderId="0" xfId="0" applyFont="1"/>
    <xf numFmtId="0" fontId="23" fillId="11" borderId="0" xfId="0" applyFont="1" applyFill="1"/>
    <xf numFmtId="0" fontId="24" fillId="0" borderId="0" xfId="0" applyFont="1"/>
    <xf numFmtId="0" fontId="26" fillId="0" borderId="0" xfId="0" applyFont="1"/>
    <xf numFmtId="43" fontId="1" fillId="0" borderId="0" xfId="1" applyFont="1" applyFill="1" applyAlignment="1"/>
    <xf numFmtId="43" fontId="1" fillId="0" borderId="0" xfId="1" applyFont="1" applyAlignment="1"/>
    <xf numFmtId="0" fontId="27" fillId="12" borderId="15" xfId="0" applyFont="1" applyFill="1" applyBorder="1"/>
    <xf numFmtId="0" fontId="28" fillId="12" borderId="16" xfId="0" applyFont="1" applyFill="1" applyBorder="1"/>
    <xf numFmtId="164" fontId="28" fillId="12" borderId="15" xfId="1" applyNumberFormat="1" applyFont="1" applyFill="1" applyBorder="1" applyAlignment="1"/>
    <xf numFmtId="164" fontId="28" fillId="12" borderId="17" xfId="1" applyNumberFormat="1" applyFont="1" applyFill="1" applyBorder="1" applyAlignment="1"/>
    <xf numFmtId="164" fontId="28" fillId="12" borderId="16" xfId="1" applyNumberFormat="1" applyFont="1" applyFill="1" applyBorder="1" applyAlignment="1"/>
    <xf numFmtId="164" fontId="28" fillId="13" borderId="16" xfId="1" applyNumberFormat="1" applyFont="1" applyFill="1" applyBorder="1" applyAlignment="1"/>
    <xf numFmtId="164" fontId="28" fillId="14" borderId="17" xfId="1" applyNumberFormat="1" applyFont="1" applyFill="1" applyBorder="1" applyAlignment="1"/>
    <xf numFmtId="0" fontId="27" fillId="12" borderId="18" xfId="0" applyFont="1" applyFill="1" applyBorder="1"/>
    <xf numFmtId="0" fontId="28" fillId="12" borderId="19" xfId="0" applyFont="1" applyFill="1" applyBorder="1"/>
    <xf numFmtId="164" fontId="28" fillId="12" borderId="20" xfId="1" applyNumberFormat="1" applyFont="1" applyFill="1" applyBorder="1" applyAlignment="1"/>
    <xf numFmtId="164" fontId="28" fillId="12" borderId="21" xfId="1" applyNumberFormat="1" applyFont="1" applyFill="1" applyBorder="1" applyAlignment="1"/>
    <xf numFmtId="164" fontId="28" fillId="12" borderId="22" xfId="1" applyNumberFormat="1" applyFont="1" applyFill="1" applyBorder="1" applyAlignment="1"/>
    <xf numFmtId="164" fontId="28" fillId="13" borderId="20" xfId="1" applyNumberFormat="1" applyFont="1" applyFill="1" applyBorder="1" applyAlignment="1"/>
    <xf numFmtId="164" fontId="28" fillId="13" borderId="22" xfId="1" applyNumberFormat="1" applyFont="1" applyFill="1" applyBorder="1" applyAlignment="1"/>
    <xf numFmtId="164" fontId="28" fillId="14" borderId="21" xfId="1" applyNumberFormat="1" applyFont="1" applyFill="1" applyBorder="1" applyAlignment="1"/>
    <xf numFmtId="0" fontId="27" fillId="12" borderId="20" xfId="0" applyFont="1" applyFill="1" applyBorder="1" applyAlignment="1">
      <alignment horizontal="center" vertical="top"/>
    </xf>
    <xf numFmtId="0" fontId="28" fillId="12" borderId="22" xfId="0" applyFont="1" applyFill="1" applyBorder="1" applyAlignment="1">
      <alignment horizontal="center" vertical="top"/>
    </xf>
    <xf numFmtId="43" fontId="28" fillId="0" borderId="23" xfId="1" applyFont="1" applyFill="1" applyBorder="1" applyAlignment="1">
      <alignment horizontal="center" vertical="top"/>
    </xf>
    <xf numFmtId="43" fontId="28" fillId="0" borderId="5" xfId="1" applyFont="1" applyBorder="1" applyAlignment="1">
      <alignment horizontal="center" vertical="top"/>
    </xf>
    <xf numFmtId="43" fontId="28" fillId="0" borderId="24" xfId="1" applyFont="1" applyBorder="1" applyAlignment="1">
      <alignment horizontal="center" vertical="top"/>
    </xf>
    <xf numFmtId="43" fontId="28" fillId="0" borderId="21" xfId="1" applyFont="1" applyBorder="1" applyAlignment="1">
      <alignment horizontal="center" vertical="top"/>
    </xf>
    <xf numFmtId="0" fontId="22" fillId="0" borderId="18" xfId="0" applyFont="1" applyBorder="1"/>
    <xf numFmtId="43" fontId="23" fillId="0" borderId="18" xfId="1" applyFont="1" applyFill="1" applyBorder="1" applyAlignment="1"/>
    <xf numFmtId="43" fontId="23" fillId="0" borderId="0" xfId="1" applyFont="1" applyFill="1" applyBorder="1" applyAlignment="1"/>
    <xf numFmtId="43" fontId="23" fillId="0" borderId="19" xfId="1" applyFont="1" applyFill="1" applyBorder="1" applyAlignment="1"/>
    <xf numFmtId="0" fontId="22" fillId="11" borderId="18" xfId="0" applyFont="1" applyFill="1" applyBorder="1"/>
    <xf numFmtId="0" fontId="3" fillId="0" borderId="0" xfId="0" applyFont="1" applyAlignment="1">
      <alignment horizontal="left" readingOrder="1"/>
    </xf>
    <xf numFmtId="0" fontId="29" fillId="11" borderId="0" xfId="0" applyFont="1" applyFill="1" applyAlignment="1" applyProtection="1">
      <alignment readingOrder="1"/>
      <protection locked="0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 readingOrder="1"/>
    </xf>
    <xf numFmtId="164" fontId="28" fillId="14" borderId="16" xfId="1" applyNumberFormat="1" applyFont="1" applyFill="1" applyBorder="1" applyAlignment="1"/>
    <xf numFmtId="0" fontId="27" fillId="15" borderId="25" xfId="0" applyFont="1" applyFill="1" applyBorder="1"/>
    <xf numFmtId="0" fontId="27" fillId="15" borderId="26" xfId="0" applyFont="1" applyFill="1" applyBorder="1"/>
    <xf numFmtId="164" fontId="28" fillId="14" borderId="22" xfId="1" applyNumberFormat="1" applyFont="1" applyFill="1" applyBorder="1" applyAlignment="1"/>
    <xf numFmtId="164" fontId="28" fillId="0" borderId="27" xfId="1" applyNumberFormat="1" applyFont="1" applyBorder="1" applyAlignment="1"/>
    <xf numFmtId="164" fontId="28" fillId="0" borderId="13" xfId="1" applyNumberFormat="1" applyFont="1" applyBorder="1" applyAlignment="1"/>
    <xf numFmtId="164" fontId="28" fillId="0" borderId="12" xfId="1" applyNumberFormat="1" applyFont="1" applyBorder="1" applyAlignment="1"/>
    <xf numFmtId="164" fontId="28" fillId="0" borderId="28" xfId="1" applyNumberFormat="1" applyFont="1" applyBorder="1" applyAlignment="1"/>
    <xf numFmtId="43" fontId="28" fillId="0" borderId="14" xfId="1" applyFont="1" applyBorder="1" applyAlignment="1">
      <alignment horizontal="center" vertical="top"/>
    </xf>
    <xf numFmtId="43" fontId="28" fillId="0" borderId="22" xfId="1" applyFont="1" applyBorder="1" applyAlignment="1">
      <alignment horizontal="center" vertical="top"/>
    </xf>
    <xf numFmtId="43" fontId="28" fillId="0" borderId="20" xfId="1" applyFont="1" applyBorder="1" applyAlignment="1">
      <alignment horizontal="center" vertical="top"/>
    </xf>
    <xf numFmtId="43" fontId="28" fillId="0" borderId="13" xfId="1" applyFont="1" applyBorder="1" applyAlignment="1">
      <alignment horizontal="center" vertical="top"/>
    </xf>
    <xf numFmtId="43" fontId="28" fillId="0" borderId="29" xfId="1" applyFont="1" applyBorder="1" applyAlignment="1">
      <alignment horizontal="center" vertical="top"/>
    </xf>
    <xf numFmtId="43" fontId="28" fillId="0" borderId="30" xfId="1" applyFont="1" applyBorder="1" applyAlignment="1">
      <alignment horizontal="center" vertical="top"/>
    </xf>
    <xf numFmtId="43" fontId="23" fillId="0" borderId="18" xfId="1" applyFont="1" applyBorder="1" applyAlignment="1"/>
    <xf numFmtId="43" fontId="23" fillId="0" borderId="0" xfId="1" applyFont="1" applyBorder="1" applyAlignment="1"/>
    <xf numFmtId="43" fontId="23" fillId="0" borderId="6" xfId="1" applyFont="1" applyBorder="1" applyAlignment="1"/>
    <xf numFmtId="43" fontId="22" fillId="0" borderId="0" xfId="1" applyFont="1" applyBorder="1" applyAlignment="1"/>
    <xf numFmtId="43" fontId="23" fillId="0" borderId="7" xfId="1" applyFont="1" applyBorder="1" applyAlignment="1"/>
    <xf numFmtId="0" fontId="27" fillId="15" borderId="31" xfId="0" applyFont="1" applyFill="1" applyBorder="1"/>
    <xf numFmtId="0" fontId="27" fillId="17" borderId="25" xfId="0" applyFont="1" applyFill="1" applyBorder="1" applyAlignment="1">
      <alignment horizontal="centerContinuous"/>
    </xf>
    <xf numFmtId="0" fontId="27" fillId="17" borderId="26" xfId="0" applyFont="1" applyFill="1" applyBorder="1" applyAlignment="1">
      <alignment horizontal="centerContinuous"/>
    </xf>
    <xf numFmtId="164" fontId="28" fillId="0" borderId="32" xfId="1" applyNumberFormat="1" applyFont="1" applyBorder="1" applyAlignment="1"/>
    <xf numFmtId="43" fontId="28" fillId="0" borderId="12" xfId="1" applyFont="1" applyBorder="1" applyAlignment="1">
      <alignment horizontal="center" vertical="top"/>
    </xf>
    <xf numFmtId="43" fontId="28" fillId="0" borderId="23" xfId="1" applyFont="1" applyBorder="1" applyAlignment="1">
      <alignment horizontal="center" vertical="top"/>
    </xf>
    <xf numFmtId="43" fontId="22" fillId="0" borderId="18" xfId="1" applyFont="1" applyBorder="1" applyAlignment="1"/>
    <xf numFmtId="43" fontId="22" fillId="0" borderId="19" xfId="1" applyFont="1" applyBorder="1" applyAlignment="1"/>
    <xf numFmtId="43" fontId="22" fillId="0" borderId="4" xfId="1" applyFont="1" applyBorder="1" applyAlignment="1"/>
    <xf numFmtId="43" fontId="28" fillId="0" borderId="12" xfId="1" applyFont="1" applyBorder="1" applyAlignment="1"/>
    <xf numFmtId="43" fontId="28" fillId="0" borderId="13" xfId="1" applyFont="1" applyBorder="1" applyAlignment="1"/>
    <xf numFmtId="0" fontId="27" fillId="17" borderId="31" xfId="0" applyFont="1" applyFill="1" applyBorder="1" applyAlignment="1">
      <alignment horizontal="centerContinuous"/>
    </xf>
    <xf numFmtId="164" fontId="28" fillId="0" borderId="23" xfId="1" applyNumberFormat="1" applyFont="1" applyBorder="1" applyAlignment="1">
      <alignment horizontal="center" vertical="top"/>
    </xf>
    <xf numFmtId="164" fontId="28" fillId="0" borderId="24" xfId="1" applyNumberFormat="1" applyFont="1" applyBorder="1" applyAlignment="1">
      <alignment horizontal="center" vertical="top"/>
    </xf>
    <xf numFmtId="43" fontId="23" fillId="0" borderId="19" xfId="1" applyFont="1" applyBorder="1" applyAlignment="1"/>
    <xf numFmtId="43" fontId="22" fillId="0" borderId="33" xfId="28" applyFont="1" applyBorder="1" applyAlignment="1"/>
    <xf numFmtId="43" fontId="22" fillId="0" borderId="4" xfId="28" applyFont="1" applyBorder="1" applyAlignment="1"/>
    <xf numFmtId="43" fontId="23" fillId="0" borderId="0" xfId="0" applyNumberFormat="1" applyFont="1"/>
    <xf numFmtId="43" fontId="23" fillId="9" borderId="0" xfId="1" applyFont="1" applyFill="1" applyBorder="1" applyAlignment="1"/>
    <xf numFmtId="43" fontId="13" fillId="0" borderId="34" xfId="0" applyNumberFormat="1" applyFont="1" applyBorder="1"/>
    <xf numFmtId="0" fontId="23" fillId="0" borderId="19" xfId="0" applyFont="1" applyBorder="1"/>
    <xf numFmtId="0" fontId="23" fillId="0" borderId="18" xfId="0" applyFont="1" applyBorder="1"/>
    <xf numFmtId="0" fontId="23" fillId="0" borderId="0" xfId="0" applyFont="1" applyAlignment="1">
      <alignment horizontal="right"/>
    </xf>
    <xf numFmtId="43" fontId="23" fillId="0" borderId="19" xfId="0" applyNumberFormat="1" applyFont="1" applyBorder="1"/>
    <xf numFmtId="43" fontId="23" fillId="0" borderId="18" xfId="0" applyNumberFormat="1" applyFont="1" applyBorder="1"/>
    <xf numFmtId="43" fontId="13" fillId="0" borderId="18" xfId="1" applyFont="1" applyBorder="1" applyAlignment="1"/>
    <xf numFmtId="43" fontId="13" fillId="0" borderId="0" xfId="1" applyFont="1" applyBorder="1" applyAlignment="1"/>
    <xf numFmtId="43" fontId="13" fillId="0" borderId="19" xfId="1" applyFont="1" applyBorder="1" applyAlignment="1"/>
    <xf numFmtId="43" fontId="13" fillId="0" borderId="0" xfId="1" applyFont="1" applyFill="1" applyBorder="1" applyAlignment="1"/>
    <xf numFmtId="0" fontId="24" fillId="0" borderId="19" xfId="0" applyFont="1" applyBorder="1" applyAlignment="1">
      <alignment horizontal="right"/>
    </xf>
    <xf numFmtId="43" fontId="24" fillId="0" borderId="18" xfId="1" applyFont="1" applyBorder="1" applyAlignment="1"/>
    <xf numFmtId="43" fontId="24" fillId="0" borderId="0" xfId="1" applyFont="1" applyBorder="1" applyAlignment="1"/>
    <xf numFmtId="43" fontId="24" fillId="0" borderId="19" xfId="1" applyFont="1" applyBorder="1" applyAlignment="1"/>
    <xf numFmtId="0" fontId="22" fillId="0" borderId="35" xfId="0" applyFont="1" applyBorder="1"/>
    <xf numFmtId="0" fontId="23" fillId="0" borderId="36" xfId="0" applyFont="1" applyBorder="1"/>
    <xf numFmtId="0" fontId="23" fillId="0" borderId="35" xfId="0" applyFont="1" applyBorder="1"/>
    <xf numFmtId="0" fontId="23" fillId="0" borderId="37" xfId="0" applyFont="1" applyBorder="1"/>
    <xf numFmtId="43" fontId="23" fillId="0" borderId="7" xfId="0" applyNumberFormat="1" applyFont="1" applyBorder="1"/>
    <xf numFmtId="43" fontId="13" fillId="0" borderId="7" xfId="1" applyFont="1" applyBorder="1" applyAlignment="1"/>
    <xf numFmtId="43" fontId="24" fillId="0" borderId="7" xfId="1" applyFont="1" applyBorder="1" applyAlignment="1"/>
    <xf numFmtId="0" fontId="23" fillId="0" borderId="38" xfId="0" applyFont="1" applyBorder="1"/>
    <xf numFmtId="0" fontId="32" fillId="0" borderId="0" xfId="0" applyFont="1"/>
    <xf numFmtId="43" fontId="32" fillId="0" borderId="0" xfId="0" applyNumberFormat="1" applyFont="1"/>
    <xf numFmtId="0" fontId="23" fillId="0" borderId="6" xfId="0" applyFont="1" applyBorder="1"/>
    <xf numFmtId="0" fontId="23" fillId="0" borderId="4" xfId="0" applyFont="1" applyBorder="1"/>
    <xf numFmtId="43" fontId="13" fillId="0" borderId="6" xfId="1" applyFont="1" applyBorder="1" applyAlignment="1"/>
    <xf numFmtId="43" fontId="27" fillId="0" borderId="18" xfId="1" applyFont="1" applyBorder="1" applyAlignment="1"/>
    <xf numFmtId="43" fontId="27" fillId="0" borderId="19" xfId="1" applyFont="1" applyBorder="1" applyAlignment="1"/>
    <xf numFmtId="43" fontId="27" fillId="0" borderId="4" xfId="1" applyFont="1" applyBorder="1" applyAlignment="1"/>
    <xf numFmtId="43" fontId="24" fillId="0" borderId="6" xfId="1" applyFont="1" applyBorder="1" applyAlignment="1"/>
    <xf numFmtId="43" fontId="24" fillId="0" borderId="4" xfId="1" applyFont="1" applyBorder="1" applyAlignment="1"/>
    <xf numFmtId="0" fontId="23" fillId="0" borderId="40" xfId="0" applyFont="1" applyBorder="1"/>
    <xf numFmtId="43" fontId="23" fillId="0" borderId="4" xfId="0" applyNumberFormat="1" applyFont="1" applyBorder="1"/>
    <xf numFmtId="0" fontId="33" fillId="0" borderId="4" xfId="0" applyFont="1" applyBorder="1" applyAlignment="1">
      <alignment horizontal="right"/>
    </xf>
    <xf numFmtId="43" fontId="13" fillId="0" borderId="4" xfId="1" applyFont="1" applyBorder="1" applyAlignment="1"/>
    <xf numFmtId="43" fontId="5" fillId="20" borderId="0" xfId="0" applyNumberFormat="1" applyFont="1" applyFill="1"/>
    <xf numFmtId="0" fontId="34" fillId="0" borderId="0" xfId="0" applyFont="1"/>
    <xf numFmtId="43" fontId="5" fillId="0" borderId="0" xfId="1" applyFont="1" applyBorder="1"/>
    <xf numFmtId="0" fontId="23" fillId="0" borderId="7" xfId="0" applyFont="1" applyBorder="1"/>
    <xf numFmtId="0" fontId="3" fillId="21" borderId="0" xfId="0" applyFont="1" applyFill="1" applyAlignment="1">
      <alignment horizontal="center"/>
    </xf>
    <xf numFmtId="0" fontId="3" fillId="21" borderId="0" xfId="0" applyFont="1" applyFill="1"/>
    <xf numFmtId="0" fontId="3" fillId="22" borderId="0" xfId="0" applyFont="1" applyFill="1"/>
    <xf numFmtId="0" fontId="3" fillId="0" borderId="0" xfId="0" applyFont="1"/>
    <xf numFmtId="0" fontId="3" fillId="23" borderId="0" xfId="0" applyFont="1" applyFill="1"/>
    <xf numFmtId="0" fontId="2" fillId="0" borderId="0" xfId="0" applyFont="1"/>
    <xf numFmtId="0" fontId="2" fillId="23" borderId="0" xfId="0" applyFont="1" applyFill="1"/>
    <xf numFmtId="0" fontId="2" fillId="21" borderId="0" xfId="0" applyFont="1" applyFill="1" applyAlignment="1">
      <alignment horizontal="center" readingOrder="1"/>
    </xf>
    <xf numFmtId="0" fontId="2" fillId="23" borderId="0" xfId="0" applyFont="1" applyFill="1" applyAlignment="1">
      <alignment horizontal="center" readingOrder="1"/>
    </xf>
    <xf numFmtId="0" fontId="2" fillId="21" borderId="0" xfId="0" applyFont="1" applyFill="1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/>
    </xf>
    <xf numFmtId="43" fontId="3" fillId="23" borderId="0" xfId="1" applyFont="1" applyFill="1" applyBorder="1" applyAlignment="1">
      <alignment horizontal="center"/>
    </xf>
    <xf numFmtId="43" fontId="3" fillId="0" borderId="0" xfId="1" applyFont="1" applyFill="1" applyBorder="1" applyAlignment="1"/>
    <xf numFmtId="43" fontId="3" fillId="23" borderId="0" xfId="1" applyFont="1" applyFill="1" applyBorder="1" applyAlignment="1"/>
    <xf numFmtId="43" fontId="3" fillId="23" borderId="0" xfId="1" applyFont="1" applyFill="1" applyBorder="1" applyAlignment="1">
      <alignment horizontal="right"/>
    </xf>
    <xf numFmtId="0" fontId="3" fillId="21" borderId="0" xfId="0" applyFont="1" applyFill="1" applyAlignment="1">
      <alignment readingOrder="1"/>
    </xf>
    <xf numFmtId="43" fontId="2" fillId="24" borderId="0" xfId="1" applyFont="1" applyFill="1" applyBorder="1" applyAlignment="1"/>
    <xf numFmtId="43" fontId="2" fillId="21" borderId="0" xfId="1" applyFont="1" applyFill="1" applyBorder="1" applyAlignment="1"/>
    <xf numFmtId="43" fontId="3" fillId="23" borderId="0" xfId="0" applyNumberFormat="1" applyFont="1" applyFill="1"/>
    <xf numFmtId="0" fontId="2" fillId="21" borderId="0" xfId="0" applyFont="1" applyFill="1" applyAlignment="1">
      <alignment horizontal="left" readingOrder="1"/>
    </xf>
    <xf numFmtId="43" fontId="3" fillId="0" borderId="0" xfId="1" applyFont="1" applyFill="1" applyBorder="1" applyAlignment="1">
      <alignment horizontal="right"/>
    </xf>
    <xf numFmtId="43" fontId="3" fillId="0" borderId="0" xfId="0" applyNumberFormat="1" applyFont="1"/>
    <xf numFmtId="43" fontId="3" fillId="21" borderId="0" xfId="1" applyFont="1" applyFill="1" applyBorder="1" applyAlignment="1"/>
    <xf numFmtId="43" fontId="3" fillId="22" borderId="0" xfId="0" applyNumberFormat="1" applyFont="1" applyFill="1"/>
    <xf numFmtId="43" fontId="3" fillId="0" borderId="0" xfId="1" applyFont="1"/>
    <xf numFmtId="43" fontId="3" fillId="0" borderId="0" xfId="1" applyFont="1" applyBorder="1"/>
    <xf numFmtId="43" fontId="2" fillId="0" borderId="0" xfId="0" applyNumberFormat="1" applyFont="1"/>
    <xf numFmtId="0" fontId="3" fillId="21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vertical="center" wrapText="1"/>
    </xf>
    <xf numFmtId="0" fontId="3" fillId="25" borderId="0" xfId="0" applyFont="1" applyFill="1"/>
    <xf numFmtId="0" fontId="35" fillId="0" borderId="0" xfId="0" applyFont="1"/>
    <xf numFmtId="0" fontId="2" fillId="25" borderId="0" xfId="0" applyFont="1" applyFill="1"/>
    <xf numFmtId="0" fontId="2" fillId="21" borderId="0" xfId="0" applyFont="1" applyFill="1" applyAlignment="1">
      <alignment horizontal="center" vertical="center" wrapText="1" readingOrder="1"/>
    </xf>
    <xf numFmtId="0" fontId="2" fillId="26" borderId="0" xfId="0" applyFont="1" applyFill="1" applyAlignment="1">
      <alignment horizontal="center" vertical="center" wrapText="1" readingOrder="1"/>
    </xf>
    <xf numFmtId="0" fontId="2" fillId="21" borderId="0" xfId="0" applyFont="1" applyFill="1" applyAlignment="1">
      <alignment vertical="center"/>
    </xf>
    <xf numFmtId="0" fontId="2" fillId="21" borderId="0" xfId="0" applyFont="1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 readingOrder="1"/>
    </xf>
    <xf numFmtId="43" fontId="3" fillId="25" borderId="0" xfId="1" applyFont="1" applyFill="1" applyBorder="1" applyAlignment="1">
      <alignment horizontal="left" readingOrder="1"/>
    </xf>
    <xf numFmtId="43" fontId="3" fillId="10" borderId="0" xfId="1" applyFont="1" applyFill="1" applyBorder="1" applyAlignment="1">
      <alignment horizontal="left" readingOrder="1"/>
    </xf>
    <xf numFmtId="0" fontId="3" fillId="21" borderId="0" xfId="0" applyFont="1" applyFill="1" applyAlignment="1">
      <alignment horizontal="left" readingOrder="1"/>
    </xf>
    <xf numFmtId="43" fontId="2" fillId="26" borderId="0" xfId="0" applyNumberFormat="1" applyFont="1" applyFill="1" applyAlignment="1">
      <alignment readingOrder="1"/>
    </xf>
    <xf numFmtId="43" fontId="2" fillId="27" borderId="0" xfId="0" applyNumberFormat="1" applyFont="1" applyFill="1" applyAlignment="1">
      <alignment readingOrder="1"/>
    </xf>
    <xf numFmtId="43" fontId="3" fillId="25" borderId="0" xfId="0" applyNumberFormat="1" applyFont="1" applyFill="1"/>
    <xf numFmtId="0" fontId="36" fillId="0" borderId="0" xfId="0" applyFont="1"/>
    <xf numFmtId="0" fontId="36" fillId="28" borderId="0" xfId="0" applyFont="1" applyFill="1" applyAlignment="1">
      <alignment horizontal="center" vertical="center" wrapText="1" readingOrder="1"/>
    </xf>
    <xf numFmtId="0" fontId="36" fillId="28" borderId="0" xfId="0" applyFont="1" applyFill="1" applyAlignment="1">
      <alignment vertical="center" wrapText="1" readingOrder="1"/>
    </xf>
    <xf numFmtId="0" fontId="35" fillId="0" borderId="0" xfId="0" applyFont="1" applyAlignment="1">
      <alignment horizontal="left"/>
    </xf>
    <xf numFmtId="0" fontId="35" fillId="21" borderId="0" xfId="0" applyFont="1" applyFill="1" applyAlignment="1">
      <alignment horizontal="left" readingOrder="1"/>
    </xf>
    <xf numFmtId="0" fontId="35" fillId="22" borderId="0" xfId="0" applyFont="1" applyFill="1"/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2" fillId="27" borderId="0" xfId="0" applyFont="1" applyFill="1" applyAlignment="1">
      <alignment horizontal="center" vertical="center" wrapText="1" readingOrder="1"/>
    </xf>
    <xf numFmtId="0" fontId="2" fillId="27" borderId="0" xfId="0" applyFont="1" applyFill="1" applyAlignment="1">
      <alignment horizontal="left"/>
    </xf>
    <xf numFmtId="0" fontId="2" fillId="27" borderId="0" xfId="0" applyFont="1" applyFill="1" applyAlignment="1">
      <alignment horizontal="center"/>
    </xf>
    <xf numFmtId="0" fontId="2" fillId="27" borderId="0" xfId="0" applyFont="1" applyFill="1" applyAlignment="1">
      <alignment horizontal="center" readingOrder="1"/>
    </xf>
    <xf numFmtId="43" fontId="3" fillId="23" borderId="0" xfId="1" applyFont="1" applyFill="1" applyBorder="1" applyAlignment="1">
      <alignment horizontal="left" readingOrder="1"/>
    </xf>
    <xf numFmtId="43" fontId="2" fillId="24" borderId="0" xfId="0" applyNumberFormat="1" applyFont="1" applyFill="1" applyAlignment="1">
      <alignment readingOrder="1"/>
    </xf>
    <xf numFmtId="43" fontId="2" fillId="21" borderId="0" xfId="1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0" fontId="36" fillId="28" borderId="0" xfId="0" applyFont="1" applyFill="1" applyAlignment="1">
      <alignment horizontal="center" readingOrder="1"/>
    </xf>
    <xf numFmtId="0" fontId="35" fillId="21" borderId="0" xfId="0" applyFont="1" applyFill="1" applyAlignment="1">
      <alignment horizontal="center" readingOrder="1"/>
    </xf>
    <xf numFmtId="43" fontId="3" fillId="9" borderId="0" xfId="0" applyNumberFormat="1" applyFont="1" applyFill="1"/>
    <xf numFmtId="0" fontId="35" fillId="22" borderId="0" xfId="0" applyFont="1" applyFill="1" applyAlignment="1">
      <alignment horizontal="center"/>
    </xf>
    <xf numFmtId="0" fontId="3" fillId="27" borderId="0" xfId="0" applyFont="1" applyFill="1"/>
    <xf numFmtId="0" fontId="37" fillId="0" borderId="0" xfId="0" applyFont="1"/>
    <xf numFmtId="0" fontId="2" fillId="24" borderId="0" xfId="0" applyFont="1" applyFill="1" applyAlignment="1">
      <alignment horizontal="center" vertical="center" wrapText="1" readingOrder="1"/>
    </xf>
    <xf numFmtId="0" fontId="2" fillId="27" borderId="0" xfId="0" applyFont="1" applyFill="1"/>
    <xf numFmtId="0" fontId="3" fillId="24" borderId="0" xfId="0" applyFont="1" applyFill="1"/>
    <xf numFmtId="0" fontId="2" fillId="27" borderId="0" xfId="0" applyFont="1" applyFill="1" applyAlignment="1">
      <alignment readingOrder="1"/>
    </xf>
    <xf numFmtId="0" fontId="2" fillId="29" borderId="0" xfId="0" applyFont="1" applyFill="1" applyAlignment="1">
      <alignment horizontal="center" vertical="center" wrapText="1" readingOrder="1"/>
    </xf>
    <xf numFmtId="0" fontId="3" fillId="29" borderId="0" xfId="0" applyFont="1" applyFill="1"/>
    <xf numFmtId="0" fontId="2" fillId="29" borderId="0" xfId="0" applyFont="1" applyFill="1" applyAlignment="1">
      <alignment readingOrder="1"/>
    </xf>
    <xf numFmtId="0" fontId="3" fillId="29" borderId="0" xfId="0" applyFont="1" applyFill="1" applyAlignment="1">
      <alignment horizontal="center" vertical="center" wrapText="1"/>
    </xf>
    <xf numFmtId="0" fontId="38" fillId="0" borderId="0" xfId="0" applyFont="1"/>
    <xf numFmtId="0" fontId="38" fillId="28" borderId="0" xfId="0" applyFont="1" applyFill="1" applyAlignment="1">
      <alignment horizontal="center" vertical="center" wrapText="1" readingOrder="1"/>
    </xf>
    <xf numFmtId="0" fontId="38" fillId="28" borderId="0" xfId="0" applyFont="1" applyFill="1" applyAlignment="1">
      <alignment readingOrder="1"/>
    </xf>
    <xf numFmtId="0" fontId="37" fillId="0" borderId="0" xfId="0" applyFont="1" applyAlignment="1">
      <alignment horizontal="left"/>
    </xf>
    <xf numFmtId="0" fontId="37" fillId="21" borderId="0" xfId="0" applyFont="1" applyFill="1" applyAlignment="1">
      <alignment horizontal="left" readingOrder="1"/>
    </xf>
    <xf numFmtId="0" fontId="37" fillId="22" borderId="0" xfId="0" applyFont="1" applyFill="1"/>
    <xf numFmtId="0" fontId="39" fillId="0" borderId="0" xfId="0" applyFont="1"/>
    <xf numFmtId="43" fontId="5" fillId="0" borderId="0" xfId="1" applyFont="1" applyBorder="1" applyAlignment="1"/>
    <xf numFmtId="0" fontId="40" fillId="0" borderId="0" xfId="0" applyFont="1"/>
    <xf numFmtId="0" fontId="4" fillId="12" borderId="3" xfId="0" applyFont="1" applyFill="1" applyBorder="1"/>
    <xf numFmtId="164" fontId="4" fillId="9" borderId="13" xfId="1" applyNumberFormat="1" applyFont="1" applyFill="1" applyBorder="1" applyAlignment="1"/>
    <xf numFmtId="164" fontId="4" fillId="9" borderId="28" xfId="1" applyNumberFormat="1" applyFont="1" applyFill="1" applyBorder="1" applyAlignment="1"/>
    <xf numFmtId="164" fontId="4" fillId="0" borderId="0" xfId="1" applyNumberFormat="1" applyFont="1" applyBorder="1" applyAlignment="1">
      <alignment horizontal="center"/>
    </xf>
    <xf numFmtId="0" fontId="4" fillId="12" borderId="5" xfId="0" applyFont="1" applyFill="1" applyBorder="1"/>
    <xf numFmtId="43" fontId="4" fillId="0" borderId="30" xfId="1" applyFont="1" applyBorder="1" applyAlignment="1">
      <alignment horizontal="center"/>
    </xf>
    <xf numFmtId="43" fontId="4" fillId="0" borderId="1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5" fillId="0" borderId="4" xfId="1" applyFont="1" applyFill="1" applyBorder="1" applyAlignment="1"/>
    <xf numFmtId="43" fontId="1" fillId="0" borderId="4" xfId="1" applyFont="1" applyBorder="1" applyAlignment="1"/>
    <xf numFmtId="43" fontId="5" fillId="0" borderId="4" xfId="1" applyFont="1" applyBorder="1" applyAlignment="1"/>
    <xf numFmtId="0" fontId="25" fillId="0" borderId="0" xfId="0" applyFont="1"/>
    <xf numFmtId="43" fontId="39" fillId="0" borderId="0" xfId="1" applyFont="1" applyBorder="1" applyAlignment="1"/>
    <xf numFmtId="0" fontId="4" fillId="12" borderId="0" xfId="0" applyFont="1" applyFill="1"/>
    <xf numFmtId="43" fontId="6" fillId="0" borderId="0" xfId="1" applyFont="1" applyFill="1" applyBorder="1" applyAlignment="1"/>
    <xf numFmtId="43" fontId="6" fillId="0" borderId="0" xfId="1" applyFont="1" applyFill="1" applyBorder="1" applyAlignment="1">
      <alignment horizontal="center"/>
    </xf>
    <xf numFmtId="43" fontId="5" fillId="0" borderId="0" xfId="1" applyFont="1" applyFill="1" applyBorder="1" applyAlignment="1"/>
    <xf numFmtId="0" fontId="6" fillId="0" borderId="0" xfId="0" applyFont="1" applyAlignment="1" applyProtection="1">
      <alignment readingOrder="1"/>
      <protection locked="0"/>
    </xf>
    <xf numFmtId="0" fontId="5" fillId="0" borderId="34" xfId="0" applyFont="1" applyBorder="1"/>
    <xf numFmtId="43" fontId="5" fillId="0" borderId="39" xfId="1" applyFont="1" applyBorder="1" applyAlignment="1"/>
    <xf numFmtId="43" fontId="1" fillId="0" borderId="4" xfId="1" applyFont="1" applyFill="1" applyBorder="1" applyAlignment="1"/>
    <xf numFmtId="43" fontId="5" fillId="0" borderId="34" xfId="1" applyFont="1" applyBorder="1" applyAlignment="1"/>
    <xf numFmtId="43" fontId="5" fillId="0" borderId="0" xfId="1" applyFont="1" applyFill="1" applyBorder="1"/>
    <xf numFmtId="0" fontId="31" fillId="0" borderId="0" xfId="0" applyFont="1"/>
    <xf numFmtId="0" fontId="30" fillId="0" borderId="0" xfId="0" applyFont="1"/>
    <xf numFmtId="43" fontId="31" fillId="0" borderId="0" xfId="1" applyFont="1" applyAlignment="1"/>
    <xf numFmtId="43" fontId="31" fillId="0" borderId="0" xfId="1" applyFont="1" applyFill="1" applyAlignment="1"/>
    <xf numFmtId="43" fontId="31" fillId="30" borderId="0" xfId="1" applyFont="1" applyFill="1" applyAlignment="1"/>
    <xf numFmtId="0" fontId="41" fillId="0" borderId="0" xfId="0" applyFont="1" applyAlignment="1">
      <alignment vertical="top"/>
    </xf>
    <xf numFmtId="0" fontId="31" fillId="0" borderId="0" xfId="0" applyFont="1" applyAlignment="1">
      <alignment vertical="top"/>
    </xf>
    <xf numFmtId="43" fontId="31" fillId="0" borderId="0" xfId="0" applyNumberFormat="1" applyFont="1" applyAlignment="1">
      <alignment vertical="top"/>
    </xf>
    <xf numFmtId="164" fontId="4" fillId="9" borderId="13" xfId="1" quotePrefix="1" applyNumberFormat="1" applyFont="1" applyFill="1" applyBorder="1" applyAlignment="1">
      <alignment horizontal="center"/>
    </xf>
    <xf numFmtId="164" fontId="28" fillId="13" borderId="15" xfId="1" quotePrefix="1" applyNumberFormat="1" applyFont="1" applyFill="1" applyBorder="1" applyAlignment="1"/>
    <xf numFmtId="0" fontId="5" fillId="48" borderId="4" xfId="0" applyFont="1" applyFill="1" applyBorder="1" applyAlignment="1">
      <alignment wrapText="1"/>
    </xf>
    <xf numFmtId="43" fontId="14" fillId="48" borderId="5" xfId="1" applyFont="1" applyFill="1" applyBorder="1" applyAlignment="1">
      <alignment horizontal="center"/>
    </xf>
    <xf numFmtId="0" fontId="41" fillId="0" borderId="0" xfId="0" applyFont="1"/>
    <xf numFmtId="43" fontId="31" fillId="0" borderId="0" xfId="0" applyNumberFormat="1" applyFont="1"/>
    <xf numFmtId="0" fontId="69" fillId="0" borderId="4" xfId="0" applyFont="1" applyBorder="1"/>
    <xf numFmtId="43" fontId="70" fillId="0" borderId="0" xfId="1" applyFont="1" applyAlignment="1"/>
    <xf numFmtId="0" fontId="22" fillId="49" borderId="0" xfId="0" applyFont="1" applyFill="1"/>
    <xf numFmtId="0" fontId="23" fillId="49" borderId="19" xfId="0" applyFont="1" applyFill="1" applyBorder="1"/>
    <xf numFmtId="43" fontId="23" fillId="49" borderId="18" xfId="1" applyFont="1" applyFill="1" applyBorder="1" applyAlignment="1"/>
    <xf numFmtId="43" fontId="23" fillId="49" borderId="0" xfId="1" applyFont="1" applyFill="1" applyBorder="1" applyAlignment="1"/>
    <xf numFmtId="43" fontId="23" fillId="49" borderId="19" xfId="1" applyFont="1" applyFill="1" applyBorder="1" applyAlignment="1"/>
    <xf numFmtId="43" fontId="13" fillId="49" borderId="18" xfId="1" applyFont="1" applyFill="1" applyBorder="1" applyAlignment="1"/>
    <xf numFmtId="43" fontId="13" fillId="49" borderId="0" xfId="1" applyFont="1" applyFill="1" applyBorder="1" applyAlignment="1"/>
    <xf numFmtId="43" fontId="13" fillId="49" borderId="7" xfId="1" applyFont="1" applyFill="1" applyBorder="1" applyAlignment="1"/>
    <xf numFmtId="43" fontId="13" fillId="49" borderId="6" xfId="1" applyFont="1" applyFill="1" applyBorder="1" applyAlignment="1"/>
    <xf numFmtId="43" fontId="13" fillId="49" borderId="19" xfId="1" applyFont="1" applyFill="1" applyBorder="1" applyAlignment="1"/>
    <xf numFmtId="43" fontId="22" fillId="49" borderId="18" xfId="1" applyFont="1" applyFill="1" applyBorder="1" applyAlignment="1"/>
    <xf numFmtId="43" fontId="22" fillId="49" borderId="4" xfId="1" applyFont="1" applyFill="1" applyBorder="1" applyAlignment="1"/>
    <xf numFmtId="43" fontId="22" fillId="49" borderId="19" xfId="1" applyFont="1" applyFill="1" applyBorder="1" applyAlignment="1"/>
    <xf numFmtId="43" fontId="23" fillId="49" borderId="4" xfId="1" applyFont="1" applyFill="1" applyBorder="1" applyAlignment="1"/>
    <xf numFmtId="43" fontId="23" fillId="49" borderId="6" xfId="1" applyFont="1" applyFill="1" applyBorder="1" applyAlignment="1"/>
    <xf numFmtId="43" fontId="23" fillId="49" borderId="7" xfId="1" applyFont="1" applyFill="1" applyBorder="1" applyAlignment="1"/>
    <xf numFmtId="43" fontId="22" fillId="49" borderId="33" xfId="28" applyFont="1" applyFill="1" applyBorder="1" applyAlignment="1"/>
    <xf numFmtId="43" fontId="22" fillId="49" borderId="4" xfId="28" applyFont="1" applyFill="1" applyBorder="1" applyAlignment="1"/>
    <xf numFmtId="0" fontId="13" fillId="49" borderId="0" xfId="0" applyFont="1" applyFill="1"/>
    <xf numFmtId="0" fontId="24" fillId="49" borderId="0" xfId="0" applyFont="1" applyFill="1"/>
    <xf numFmtId="0" fontId="24" fillId="49" borderId="19" xfId="0" applyFont="1" applyFill="1" applyBorder="1"/>
    <xf numFmtId="0" fontId="24" fillId="49" borderId="18" xfId="0" applyFont="1" applyFill="1" applyBorder="1"/>
    <xf numFmtId="43" fontId="24" fillId="49" borderId="0" xfId="1" applyFont="1" applyFill="1" applyBorder="1" applyAlignment="1"/>
    <xf numFmtId="0" fontId="24" fillId="49" borderId="7" xfId="0" applyFont="1" applyFill="1" applyBorder="1"/>
    <xf numFmtId="0" fontId="24" fillId="49" borderId="6" xfId="0" applyFont="1" applyFill="1" applyBorder="1"/>
    <xf numFmtId="43" fontId="13" fillId="0" borderId="0" xfId="0" applyNumberFormat="1" applyFont="1"/>
    <xf numFmtId="0" fontId="72" fillId="0" borderId="0" xfId="0" applyFont="1"/>
    <xf numFmtId="0" fontId="41" fillId="0" borderId="0" xfId="0" applyFont="1" applyAlignment="1">
      <alignment readingOrder="1"/>
    </xf>
    <xf numFmtId="0" fontId="41" fillId="30" borderId="0" xfId="0" applyFont="1" applyFill="1" applyAlignment="1">
      <alignment horizontal="center" vertical="center" wrapText="1" readingOrder="1"/>
    </xf>
    <xf numFmtId="0" fontId="31" fillId="30" borderId="0" xfId="0" applyFont="1" applyFill="1" applyAlignment="1">
      <alignment horizontal="center" vertical="center" wrapText="1"/>
    </xf>
    <xf numFmtId="0" fontId="73" fillId="50" borderId="0" xfId="0" applyFont="1" applyFill="1"/>
    <xf numFmtId="0" fontId="41" fillId="30" borderId="0" xfId="0" applyFont="1" applyFill="1" applyAlignment="1">
      <alignment horizontal="center" vertical="center" readingOrder="1"/>
    </xf>
    <xf numFmtId="0" fontId="31" fillId="0" borderId="0" xfId="0" applyFont="1" applyAlignment="1">
      <alignment horizontal="left"/>
    </xf>
    <xf numFmtId="43" fontId="31" fillId="0" borderId="0" xfId="1" applyFont="1" applyAlignment="1">
      <alignment horizontal="right"/>
    </xf>
    <xf numFmtId="0" fontId="31" fillId="9" borderId="0" xfId="0" applyFont="1" applyFill="1"/>
    <xf numFmtId="43" fontId="31" fillId="9" borderId="0" xfId="0" applyNumberFormat="1" applyFont="1" applyFill="1"/>
    <xf numFmtId="0" fontId="31" fillId="9" borderId="0" xfId="0" applyFont="1" applyFill="1" applyAlignment="1">
      <alignment horizontal="left" readingOrder="1"/>
    </xf>
    <xf numFmtId="43" fontId="14" fillId="48" borderId="4" xfId="1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31" fillId="30" borderId="0" xfId="0" applyFont="1" applyFill="1" applyAlignment="1">
      <alignment horizontal="left" readingOrder="1"/>
    </xf>
    <xf numFmtId="0" fontId="41" fillId="30" borderId="0" xfId="0" applyFont="1" applyFill="1" applyAlignment="1">
      <alignment readingOrder="1"/>
    </xf>
    <xf numFmtId="43" fontId="41" fillId="30" borderId="0" xfId="1" applyFont="1" applyFill="1" applyAlignment="1">
      <alignment horizontal="right"/>
    </xf>
    <xf numFmtId="0" fontId="31" fillId="30" borderId="0" xfId="0" applyFont="1" applyFill="1"/>
    <xf numFmtId="0" fontId="41" fillId="30" borderId="0" xfId="0" applyFont="1" applyFill="1" applyAlignment="1">
      <alignment horizontal="left" vertical="top" wrapText="1" readingOrder="1"/>
    </xf>
    <xf numFmtId="0" fontId="31" fillId="30" borderId="0" xfId="0" applyFont="1" applyFill="1" applyAlignment="1">
      <alignment horizontal="left" vertical="top" wrapText="1"/>
    </xf>
    <xf numFmtId="0" fontId="5" fillId="51" borderId="0" xfId="0" applyFont="1" applyFill="1"/>
    <xf numFmtId="43" fontId="5" fillId="51" borderId="4" xfId="1" applyFont="1" applyFill="1" applyBorder="1"/>
    <xf numFmtId="43" fontId="5" fillId="51" borderId="0" xfId="1" applyFont="1" applyFill="1" applyBorder="1" applyAlignment="1"/>
    <xf numFmtId="43" fontId="5" fillId="51" borderId="0" xfId="1" applyFont="1" applyFill="1" applyBorder="1"/>
    <xf numFmtId="43" fontId="5" fillId="51" borderId="0" xfId="0" applyNumberFormat="1" applyFont="1" applyFill="1"/>
    <xf numFmtId="43" fontId="5" fillId="51" borderId="4" xfId="1" applyFont="1" applyFill="1" applyBorder="1" applyAlignment="1"/>
    <xf numFmtId="43" fontId="1" fillId="51" borderId="4" xfId="1" applyFont="1" applyFill="1" applyBorder="1" applyAlignment="1"/>
    <xf numFmtId="43" fontId="5" fillId="51" borderId="0" xfId="1" applyFont="1" applyFill="1"/>
    <xf numFmtId="43" fontId="23" fillId="0" borderId="50" xfId="0" applyNumberFormat="1" applyFont="1" applyBorder="1"/>
    <xf numFmtId="43" fontId="13" fillId="0" borderId="51" xfId="1" applyFont="1" applyBorder="1" applyAlignment="1"/>
    <xf numFmtId="43" fontId="24" fillId="0" borderId="51" xfId="1" applyFont="1" applyBorder="1" applyAlignme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2" fillId="52" borderId="0" xfId="0" applyFont="1" applyFill="1"/>
    <xf numFmtId="0" fontId="3" fillId="52" borderId="0" xfId="0" applyFont="1" applyFill="1"/>
    <xf numFmtId="0" fontId="2" fillId="53" borderId="0" xfId="0" applyFont="1" applyFill="1" applyAlignment="1">
      <alignment horizontal="center" vertical="center" wrapText="1" readingOrder="1"/>
    </xf>
    <xf numFmtId="0" fontId="3" fillId="53" borderId="0" xfId="0" applyFont="1" applyFill="1"/>
    <xf numFmtId="43" fontId="3" fillId="52" borderId="0" xfId="1" applyFont="1" applyFill="1" applyBorder="1" applyAlignment="1">
      <alignment horizontal="right"/>
    </xf>
    <xf numFmtId="0" fontId="3" fillId="54" borderId="0" xfId="0" applyFont="1" applyFill="1"/>
    <xf numFmtId="43" fontId="3" fillId="52" borderId="0" xfId="0" applyNumberFormat="1" applyFont="1" applyFill="1"/>
    <xf numFmtId="0" fontId="3" fillId="53" borderId="0" xfId="0" applyFont="1" applyFill="1" applyAlignment="1">
      <alignment horizontal="center"/>
    </xf>
    <xf numFmtId="0" fontId="3" fillId="53" borderId="0" xfId="0" applyFont="1" applyFill="1" applyAlignment="1">
      <alignment horizontal="center" vertical="center" wrapText="1" readingOrder="1"/>
    </xf>
    <xf numFmtId="0" fontId="3" fillId="53" borderId="0" xfId="0" applyFont="1" applyFill="1" applyAlignment="1">
      <alignment vertical="center" wrapText="1"/>
    </xf>
    <xf numFmtId="43" fontId="13" fillId="0" borderId="33" xfId="1" applyFont="1" applyBorder="1" applyAlignment="1"/>
    <xf numFmtId="43" fontId="31" fillId="0" borderId="0" xfId="1" applyFont="1" applyFill="1" applyBorder="1" applyAlignment="1"/>
    <xf numFmtId="43" fontId="31" fillId="30" borderId="0" xfId="1" applyFont="1" applyFill="1" applyBorder="1" applyAlignment="1"/>
    <xf numFmtId="43" fontId="28" fillId="55" borderId="12" xfId="1" applyFont="1" applyFill="1" applyBorder="1" applyAlignment="1"/>
    <xf numFmtId="43" fontId="28" fillId="55" borderId="13" xfId="1" applyFont="1" applyFill="1" applyBorder="1" applyAlignment="1"/>
    <xf numFmtId="43" fontId="28" fillId="55" borderId="28" xfId="1" applyFont="1" applyFill="1" applyBorder="1" applyAlignment="1"/>
    <xf numFmtId="43" fontId="28" fillId="55" borderId="32" xfId="1" applyFont="1" applyFill="1" applyBorder="1" applyAlignment="1"/>
    <xf numFmtId="43" fontId="28" fillId="55" borderId="5" xfId="1" applyFont="1" applyFill="1" applyBorder="1" applyAlignment="1">
      <alignment horizontal="center" vertical="top"/>
    </xf>
    <xf numFmtId="43" fontId="28" fillId="55" borderId="29" xfId="1" applyFont="1" applyFill="1" applyBorder="1" applyAlignment="1">
      <alignment horizontal="center" vertical="top"/>
    </xf>
    <xf numFmtId="43" fontId="28" fillId="55" borderId="30" xfId="1" applyFont="1" applyFill="1" applyBorder="1" applyAlignment="1">
      <alignment horizontal="center" vertical="top"/>
    </xf>
    <xf numFmtId="43" fontId="28" fillId="55" borderId="24" xfId="1" applyFont="1" applyFill="1" applyBorder="1" applyAlignment="1">
      <alignment horizontal="center" vertical="top"/>
    </xf>
    <xf numFmtId="43" fontId="10" fillId="13" borderId="10" xfId="1" applyFont="1" applyFill="1" applyBorder="1"/>
    <xf numFmtId="164" fontId="28" fillId="48" borderId="15" xfId="1" applyNumberFormat="1" applyFont="1" applyFill="1" applyBorder="1" applyAlignment="1">
      <alignment vertical="center"/>
    </xf>
    <xf numFmtId="164" fontId="28" fillId="48" borderId="16" xfId="1" applyNumberFormat="1" applyFont="1" applyFill="1" applyBorder="1" applyAlignment="1">
      <alignment vertical="center"/>
    </xf>
    <xf numFmtId="164" fontId="28" fillId="48" borderId="20" xfId="1" applyNumberFormat="1" applyFont="1" applyFill="1" applyBorder="1" applyAlignment="1">
      <alignment vertical="center"/>
    </xf>
    <xf numFmtId="164" fontId="28" fillId="48" borderId="22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164" fontId="28" fillId="9" borderId="15" xfId="1" applyNumberFormat="1" applyFont="1" applyFill="1" applyBorder="1" applyAlignment="1"/>
    <xf numFmtId="164" fontId="28" fillId="9" borderId="17" xfId="1" applyNumberFormat="1" applyFont="1" applyFill="1" applyBorder="1" applyAlignment="1"/>
    <xf numFmtId="164" fontId="28" fillId="9" borderId="20" xfId="1" applyNumberFormat="1" applyFont="1" applyFill="1" applyBorder="1" applyAlignment="1">
      <alignment horizontal="center"/>
    </xf>
    <xf numFmtId="164" fontId="28" fillId="9" borderId="21" xfId="1" applyNumberFormat="1" applyFont="1" applyFill="1" applyBorder="1" applyAlignment="1">
      <alignment horizontal="center"/>
    </xf>
    <xf numFmtId="0" fontId="29" fillId="0" borderId="0" xfId="0" applyFont="1" applyAlignment="1" applyProtection="1">
      <alignment readingOrder="1"/>
      <protection locked="0"/>
    </xf>
    <xf numFmtId="164" fontId="28" fillId="9" borderId="16" xfId="1" applyNumberFormat="1" applyFont="1" applyFill="1" applyBorder="1" applyAlignment="1"/>
    <xf numFmtId="164" fontId="28" fillId="9" borderId="22" xfId="1" applyNumberFormat="1" applyFont="1" applyFill="1" applyBorder="1" applyAlignment="1">
      <alignment horizontal="center"/>
    </xf>
    <xf numFmtId="43" fontId="22" fillId="0" borderId="51" xfId="28" applyFont="1" applyBorder="1" applyAlignment="1"/>
    <xf numFmtId="43" fontId="22" fillId="49" borderId="51" xfId="28" applyFont="1" applyFill="1" applyBorder="1" applyAlignment="1"/>
    <xf numFmtId="0" fontId="23" fillId="0" borderId="52" xfId="0" applyFont="1" applyBorder="1"/>
    <xf numFmtId="0" fontId="7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0" fontId="74" fillId="0" borderId="0" xfId="0" applyFont="1"/>
    <xf numFmtId="43" fontId="74" fillId="0" borderId="0" xfId="1" applyFont="1"/>
    <xf numFmtId="0" fontId="75" fillId="0" borderId="0" xfId="0" applyFont="1" applyAlignment="1">
      <alignment horizontal="center"/>
    </xf>
    <xf numFmtId="0" fontId="76" fillId="4" borderId="0" xfId="0" applyFont="1" applyFill="1" applyAlignment="1">
      <alignment vertical="top"/>
    </xf>
    <xf numFmtId="0" fontId="75" fillId="56" borderId="0" xfId="0" applyFont="1" applyFill="1"/>
    <xf numFmtId="0" fontId="74" fillId="56" borderId="0" xfId="0" applyFont="1" applyFill="1"/>
    <xf numFmtId="0" fontId="75" fillId="56" borderId="0" xfId="0" applyFont="1" applyFill="1" applyAlignment="1">
      <alignment horizontal="center"/>
    </xf>
    <xf numFmtId="43" fontId="74" fillId="56" borderId="0" xfId="1" applyFont="1" applyFill="1"/>
    <xf numFmtId="43" fontId="74" fillId="56" borderId="0" xfId="0" applyNumberFormat="1" applyFont="1" applyFill="1"/>
    <xf numFmtId="0" fontId="75" fillId="57" borderId="0" xfId="0" applyFont="1" applyFill="1"/>
    <xf numFmtId="0" fontId="74" fillId="57" borderId="0" xfId="0" applyFont="1" applyFill="1"/>
    <xf numFmtId="0" fontId="75" fillId="57" borderId="0" xfId="0" applyFont="1" applyFill="1" applyAlignment="1">
      <alignment horizontal="center"/>
    </xf>
    <xf numFmtId="43" fontId="74" fillId="57" borderId="0" xfId="0" applyNumberFormat="1" applyFont="1" applyFill="1"/>
    <xf numFmtId="0" fontId="75" fillId="30" borderId="0" xfId="0" applyFont="1" applyFill="1"/>
    <xf numFmtId="0" fontId="74" fillId="30" borderId="0" xfId="0" applyFont="1" applyFill="1"/>
    <xf numFmtId="0" fontId="75" fillId="30" borderId="0" xfId="0" applyFont="1" applyFill="1" applyAlignment="1">
      <alignment horizontal="center"/>
    </xf>
    <xf numFmtId="43" fontId="74" fillId="30" borderId="0" xfId="1" applyFont="1" applyFill="1"/>
    <xf numFmtId="43" fontId="74" fillId="30" borderId="0" xfId="0" applyNumberFormat="1" applyFont="1" applyFill="1"/>
    <xf numFmtId="16" fontId="3" fillId="9" borderId="0" xfId="0" applyNumberFormat="1" applyFont="1" applyFill="1"/>
    <xf numFmtId="0" fontId="76" fillId="4" borderId="0" xfId="0" applyFont="1" applyFill="1"/>
    <xf numFmtId="0" fontId="77" fillId="4" borderId="0" xfId="0" applyFont="1" applyFill="1"/>
    <xf numFmtId="0" fontId="77" fillId="4" borderId="0" xfId="0" applyFont="1" applyFill="1" applyAlignment="1">
      <alignment horizontal="center"/>
    </xf>
    <xf numFmtId="0" fontId="76" fillId="4" borderId="0" xfId="0" applyFont="1" applyFill="1" applyAlignment="1">
      <alignment horizontal="center"/>
    </xf>
    <xf numFmtId="0" fontId="78" fillId="30" borderId="0" xfId="0" applyFont="1" applyFill="1"/>
    <xf numFmtId="0" fontId="30" fillId="30" borderId="0" xfId="0" applyFont="1" applyFill="1" applyAlignment="1">
      <alignment horizontal="center"/>
    </xf>
    <xf numFmtId="43" fontId="75" fillId="56" borderId="0" xfId="1" applyFont="1" applyFill="1" applyAlignment="1">
      <alignment horizontal="center"/>
    </xf>
    <xf numFmtId="43" fontId="74" fillId="57" borderId="0" xfId="1" applyFont="1" applyFill="1"/>
    <xf numFmtId="43" fontId="75" fillId="57" borderId="0" xfId="1" applyFont="1" applyFill="1" applyAlignment="1">
      <alignment horizontal="center"/>
    </xf>
    <xf numFmtId="43" fontId="30" fillId="30" borderId="0" xfId="1" applyFont="1" applyFill="1" applyAlignment="1">
      <alignment horizontal="center"/>
    </xf>
    <xf numFmtId="43" fontId="75" fillId="30" borderId="0" xfId="1" applyFont="1" applyFill="1" applyAlignment="1">
      <alignment horizontal="center"/>
    </xf>
    <xf numFmtId="0" fontId="76" fillId="4" borderId="0" xfId="0" applyFont="1" applyFill="1" applyAlignment="1">
      <alignment horizontal="left"/>
    </xf>
    <xf numFmtId="0" fontId="77" fillId="4" borderId="0" xfId="0" applyFont="1" applyFill="1" applyAlignment="1">
      <alignment horizontal="left"/>
    </xf>
    <xf numFmtId="0" fontId="76" fillId="4" borderId="0" xfId="0" applyFont="1" applyFill="1" applyAlignment="1">
      <alignment horizontal="left" vertical="top"/>
    </xf>
    <xf numFmtId="0" fontId="75" fillId="52" borderId="0" xfId="0" applyFont="1" applyFill="1"/>
    <xf numFmtId="0" fontId="74" fillId="52" borderId="0" xfId="0" applyFont="1" applyFill="1"/>
    <xf numFmtId="43" fontId="74" fillId="52" borderId="0" xfId="1" applyFont="1" applyFill="1"/>
    <xf numFmtId="0" fontId="75" fillId="52" borderId="0" xfId="0" applyFont="1" applyFill="1" applyAlignment="1">
      <alignment horizontal="center"/>
    </xf>
    <xf numFmtId="43" fontId="75" fillId="52" borderId="0" xfId="1" applyFont="1" applyFill="1" applyAlignment="1">
      <alignment horizontal="center"/>
    </xf>
    <xf numFmtId="43" fontId="74" fillId="52" borderId="0" xfId="0" applyNumberFormat="1" applyFont="1" applyFill="1"/>
    <xf numFmtId="0" fontId="74" fillId="55" borderId="0" xfId="0" applyFont="1" applyFill="1"/>
    <xf numFmtId="43" fontId="74" fillId="55" borderId="0" xfId="1" applyFont="1" applyFill="1"/>
    <xf numFmtId="43" fontId="74" fillId="55" borderId="0" xfId="0" applyNumberFormat="1" applyFont="1" applyFill="1"/>
    <xf numFmtId="0" fontId="1" fillId="52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3" fillId="52" borderId="0" xfId="0" applyFont="1" applyFill="1" applyAlignment="1">
      <alignment horizontal="left"/>
    </xf>
    <xf numFmtId="0" fontId="30" fillId="52" borderId="0" xfId="0" applyFont="1" applyFill="1"/>
    <xf numFmtId="43" fontId="13" fillId="0" borderId="53" xfId="0" applyNumberFormat="1" applyFont="1" applyBorder="1"/>
    <xf numFmtId="43" fontId="27" fillId="0" borderId="53" xfId="1" applyFont="1" applyBorder="1" applyAlignment="1"/>
    <xf numFmtId="43" fontId="23" fillId="49" borderId="0" xfId="0" applyNumberFormat="1" applyFont="1" applyFill="1"/>
    <xf numFmtId="43" fontId="13" fillId="0" borderId="54" xfId="0" applyNumberFormat="1" applyFont="1" applyBorder="1"/>
    <xf numFmtId="43" fontId="13" fillId="0" borderId="55" xfId="0" applyNumberFormat="1" applyFont="1" applyBorder="1"/>
    <xf numFmtId="0" fontId="80" fillId="0" borderId="0" xfId="0" applyFont="1"/>
    <xf numFmtId="0" fontId="1" fillId="52" borderId="0" xfId="0" applyFont="1" applyFill="1" applyAlignment="1" applyProtection="1">
      <alignment horizontal="center" wrapText="1" readingOrder="1"/>
      <protection locked="0"/>
    </xf>
    <xf numFmtId="39" fontId="3" fillId="52" borderId="0" xfId="1" applyNumberFormat="1" applyFont="1" applyFill="1" applyBorder="1"/>
    <xf numFmtId="16" fontId="3" fillId="52" borderId="0" xfId="0" applyNumberFormat="1" applyFont="1" applyFill="1"/>
    <xf numFmtId="4" fontId="3" fillId="52" borderId="0" xfId="0" applyNumberFormat="1" applyFont="1" applyFill="1"/>
    <xf numFmtId="43" fontId="3" fillId="52" borderId="0" xfId="1" applyFont="1" applyFill="1" applyBorder="1"/>
    <xf numFmtId="10" fontId="5" fillId="0" borderId="0" xfId="0" applyNumberFormat="1" applyFont="1"/>
    <xf numFmtId="43" fontId="22" fillId="9" borderId="4" xfId="1" applyFont="1" applyFill="1" applyBorder="1" applyAlignment="1"/>
    <xf numFmtId="43" fontId="74" fillId="0" borderId="0" xfId="0" applyNumberFormat="1" applyFont="1"/>
    <xf numFmtId="0" fontId="2" fillId="49" borderId="0" xfId="0" applyFont="1" applyFill="1"/>
    <xf numFmtId="43" fontId="5" fillId="58" borderId="0" xfId="0" applyNumberFormat="1" applyFont="1" applyFill="1"/>
    <xf numFmtId="0" fontId="29" fillId="0" borderId="56" xfId="0" applyFont="1" applyBorder="1" applyAlignment="1" applyProtection="1">
      <alignment readingOrder="1"/>
      <protection locked="0"/>
    </xf>
    <xf numFmtId="0" fontId="3" fillId="53" borderId="0" xfId="0" applyFont="1" applyFill="1" applyAlignment="1">
      <alignment horizontal="center" vertical="center" readingOrder="1"/>
    </xf>
    <xf numFmtId="0" fontId="79" fillId="30" borderId="18" xfId="0" applyFont="1" applyFill="1" applyBorder="1"/>
    <xf numFmtId="0" fontId="79" fillId="30" borderId="0" xfId="0" applyFont="1" applyFill="1"/>
    <xf numFmtId="43" fontId="79" fillId="30" borderId="0" xfId="0" applyNumberFormat="1" applyFont="1" applyFill="1"/>
    <xf numFmtId="43" fontId="1" fillId="51" borderId="0" xfId="1" applyFont="1" applyFill="1" applyAlignment="1"/>
    <xf numFmtId="0" fontId="27" fillId="51" borderId="26" xfId="0" applyFont="1" applyFill="1" applyBorder="1" applyAlignment="1">
      <alignment horizontal="centerContinuous"/>
    </xf>
    <xf numFmtId="164" fontId="28" fillId="51" borderId="13" xfId="1" applyNumberFormat="1" applyFont="1" applyFill="1" applyBorder="1" applyAlignment="1"/>
    <xf numFmtId="43" fontId="28" fillId="51" borderId="5" xfId="1" applyFont="1" applyFill="1" applyBorder="1" applyAlignment="1">
      <alignment horizontal="center" vertical="top"/>
    </xf>
    <xf numFmtId="43" fontId="22" fillId="51" borderId="4" xfId="1" applyFont="1" applyFill="1" applyBorder="1" applyAlignment="1"/>
    <xf numFmtId="43" fontId="27" fillId="51" borderId="53" xfId="1" applyFont="1" applyFill="1" applyBorder="1" applyAlignment="1"/>
    <xf numFmtId="0" fontId="23" fillId="51" borderId="4" xfId="0" applyFont="1" applyFill="1" applyBorder="1"/>
    <xf numFmtId="43" fontId="27" fillId="51" borderId="4" xfId="1" applyFont="1" applyFill="1" applyBorder="1" applyAlignment="1"/>
    <xf numFmtId="43" fontId="24" fillId="51" borderId="4" xfId="1" applyFont="1" applyFill="1" applyBorder="1" applyAlignment="1"/>
    <xf numFmtId="0" fontId="5" fillId="51" borderId="17" xfId="0" applyFont="1" applyFill="1" applyBorder="1"/>
    <xf numFmtId="0" fontId="32" fillId="51" borderId="0" xfId="0" applyFont="1" applyFill="1" applyAlignment="1">
      <alignment horizontal="right"/>
    </xf>
    <xf numFmtId="43" fontId="28" fillId="51" borderId="13" xfId="1" applyFont="1" applyFill="1" applyBorder="1" applyAlignment="1"/>
    <xf numFmtId="0" fontId="33" fillId="51" borderId="4" xfId="0" applyFont="1" applyFill="1" applyBorder="1" applyAlignment="1">
      <alignment horizontal="right"/>
    </xf>
    <xf numFmtId="43" fontId="1" fillId="9" borderId="0" xfId="1" applyFont="1" applyFill="1" applyAlignment="1"/>
    <xf numFmtId="164" fontId="28" fillId="9" borderId="17" xfId="1" applyNumberFormat="1" applyFont="1" applyFill="1" applyBorder="1" applyAlignment="1">
      <alignment vertical="center"/>
    </xf>
    <xf numFmtId="164" fontId="28" fillId="9" borderId="21" xfId="1" applyNumberFormat="1" applyFont="1" applyFill="1" applyBorder="1" applyAlignment="1">
      <alignment vertical="center"/>
    </xf>
    <xf numFmtId="43" fontId="28" fillId="9" borderId="14" xfId="1" applyFont="1" applyFill="1" applyBorder="1" applyAlignment="1">
      <alignment horizontal="center" vertical="top"/>
    </xf>
    <xf numFmtId="43" fontId="27" fillId="9" borderId="53" xfId="1" applyFont="1" applyFill="1" applyBorder="1" applyAlignment="1"/>
    <xf numFmtId="0" fontId="23" fillId="9" borderId="4" xfId="0" applyFont="1" applyFill="1" applyBorder="1" applyAlignment="1">
      <alignment horizontal="right"/>
    </xf>
    <xf numFmtId="43" fontId="27" fillId="9" borderId="4" xfId="1" applyFont="1" applyFill="1" applyBorder="1" applyAlignment="1"/>
    <xf numFmtId="43" fontId="24" fillId="9" borderId="4" xfId="1" applyFont="1" applyFill="1" applyBorder="1" applyAlignment="1"/>
    <xf numFmtId="43" fontId="24" fillId="9" borderId="4" xfId="1" applyFont="1" applyFill="1" applyBorder="1"/>
    <xf numFmtId="0" fontId="5" fillId="9" borderId="0" xfId="0" applyFont="1" applyFill="1"/>
    <xf numFmtId="43" fontId="31" fillId="0" borderId="0" xfId="1" applyFont="1"/>
    <xf numFmtId="43" fontId="14" fillId="6" borderId="5" xfId="1" applyFont="1" applyFill="1" applyBorder="1" applyAlignment="1">
      <alignment horizontal="center" wrapText="1"/>
    </xf>
    <xf numFmtId="43" fontId="2" fillId="59" borderId="0" xfId="1" applyFont="1" applyFill="1" applyBorder="1" applyAlignment="1">
      <alignment horizontal="right"/>
    </xf>
    <xf numFmtId="43" fontId="2" fillId="59" borderId="0" xfId="0" applyNumberFormat="1" applyFont="1" applyFill="1" applyAlignment="1">
      <alignment readingOrder="1"/>
    </xf>
    <xf numFmtId="43" fontId="74" fillId="0" borderId="0" xfId="1" applyFont="1" applyAlignment="1"/>
    <xf numFmtId="0" fontId="74" fillId="9" borderId="0" xfId="0" applyFont="1" applyFill="1"/>
    <xf numFmtId="43" fontId="74" fillId="9" borderId="0" xfId="1" applyFont="1" applyFill="1" applyAlignment="1"/>
    <xf numFmtId="0" fontId="5" fillId="9" borderId="0" xfId="0" applyFont="1" applyFill="1" applyAlignment="1">
      <alignment horizontal="center"/>
    </xf>
    <xf numFmtId="43" fontId="3" fillId="9" borderId="0" xfId="1" applyFont="1" applyFill="1" applyBorder="1" applyAlignment="1">
      <alignment horizontal="right"/>
    </xf>
    <xf numFmtId="39" fontId="3" fillId="0" borderId="0" xfId="0" applyNumberFormat="1" applyFont="1"/>
    <xf numFmtId="166" fontId="3" fillId="0" borderId="0" xfId="0" applyNumberFormat="1" applyFont="1"/>
    <xf numFmtId="0" fontId="41" fillId="30" borderId="0" xfId="0" applyFont="1" applyFill="1" applyAlignment="1">
      <alignment horizontal="left" vertical="top" readingOrder="1"/>
    </xf>
    <xf numFmtId="43" fontId="41" fillId="0" borderId="0" xfId="1" applyFont="1" applyFill="1" applyBorder="1" applyAlignment="1"/>
    <xf numFmtId="43" fontId="5" fillId="9" borderId="0" xfId="1" applyFont="1" applyFill="1" applyBorder="1" applyAlignment="1">
      <alignment horizontal="right"/>
    </xf>
    <xf numFmtId="43" fontId="2" fillId="60" borderId="0" xfId="0" applyNumberFormat="1" applyFont="1" applyFill="1" applyAlignment="1">
      <alignment readingOrder="1"/>
    </xf>
    <xf numFmtId="0" fontId="22" fillId="9" borderId="18" xfId="0" applyFont="1" applyFill="1" applyBorder="1"/>
    <xf numFmtId="43" fontId="23" fillId="9" borderId="18" xfId="1" applyFont="1" applyFill="1" applyBorder="1" applyAlignment="1"/>
    <xf numFmtId="43" fontId="23" fillId="9" borderId="19" xfId="1" applyFont="1" applyFill="1" applyBorder="1" applyAlignment="1"/>
    <xf numFmtId="43" fontId="23" fillId="9" borderId="6" xfId="1" applyFont="1" applyFill="1" applyBorder="1" applyAlignment="1"/>
    <xf numFmtId="43" fontId="22" fillId="9" borderId="0" xfId="1" applyFont="1" applyFill="1" applyBorder="1" applyAlignment="1"/>
    <xf numFmtId="43" fontId="23" fillId="9" borderId="7" xfId="1" applyFont="1" applyFill="1" applyBorder="1" applyAlignment="1"/>
    <xf numFmtId="43" fontId="22" fillId="9" borderId="18" xfId="1" applyFont="1" applyFill="1" applyBorder="1" applyAlignment="1"/>
    <xf numFmtId="43" fontId="22" fillId="9" borderId="19" xfId="1" applyFont="1" applyFill="1" applyBorder="1" applyAlignment="1"/>
    <xf numFmtId="43" fontId="22" fillId="9" borderId="33" xfId="28" applyFont="1" applyFill="1" applyBorder="1" applyAlignment="1"/>
    <xf numFmtId="43" fontId="22" fillId="9" borderId="4" xfId="28" applyFont="1" applyFill="1" applyBorder="1" applyAlignment="1"/>
    <xf numFmtId="43" fontId="22" fillId="9" borderId="51" xfId="28" applyFont="1" applyFill="1" applyBorder="1" applyAlignment="1"/>
    <xf numFmtId="43" fontId="23" fillId="9" borderId="0" xfId="0" applyNumberFormat="1" applyFont="1" applyFill="1"/>
    <xf numFmtId="0" fontId="23" fillId="9" borderId="0" xfId="0" applyFont="1" applyFill="1"/>
    <xf numFmtId="43" fontId="5" fillId="9" borderId="0" xfId="1" applyFont="1" applyFill="1"/>
    <xf numFmtId="43" fontId="1" fillId="0" borderId="0" xfId="0" applyNumberFormat="1" applyFont="1"/>
    <xf numFmtId="43" fontId="1" fillId="0" borderId="0" xfId="1" applyFont="1"/>
    <xf numFmtId="43" fontId="70" fillId="0" borderId="0" xfId="0" applyNumberFormat="1" applyFont="1"/>
    <xf numFmtId="43" fontId="70" fillId="0" borderId="0" xfId="1" applyFont="1"/>
    <xf numFmtId="43" fontId="31" fillId="30" borderId="57" xfId="1" applyFont="1" applyFill="1" applyBorder="1" applyAlignment="1"/>
    <xf numFmtId="0" fontId="29" fillId="11" borderId="56" xfId="0" applyFont="1" applyFill="1" applyBorder="1" applyAlignment="1" applyProtection="1">
      <alignment readingOrder="1"/>
      <protection locked="0"/>
    </xf>
    <xf numFmtId="0" fontId="29" fillId="9" borderId="56" xfId="0" applyFont="1" applyFill="1" applyBorder="1" applyAlignment="1" applyProtection="1">
      <alignment readingOrder="1"/>
      <protection locked="0"/>
    </xf>
    <xf numFmtId="0" fontId="22" fillId="0" borderId="58" xfId="0" applyFont="1" applyBorder="1"/>
    <xf numFmtId="0" fontId="23" fillId="0" borderId="59" xfId="0" applyFont="1" applyBorder="1"/>
    <xf numFmtId="43" fontId="27" fillId="0" borderId="34" xfId="1" applyFont="1" applyBorder="1" applyAlignment="1"/>
    <xf numFmtId="43" fontId="13" fillId="0" borderId="58" xfId="0" applyNumberFormat="1" applyFont="1" applyBorder="1"/>
    <xf numFmtId="43" fontId="13" fillId="0" borderId="59" xfId="0" applyNumberFormat="1" applyFont="1" applyBorder="1"/>
    <xf numFmtId="0" fontId="23" fillId="9" borderId="52" xfId="0" applyFont="1" applyFill="1" applyBorder="1"/>
    <xf numFmtId="0" fontId="23" fillId="51" borderId="52" xfId="0" applyFont="1" applyFill="1" applyBorder="1"/>
    <xf numFmtId="0" fontId="74" fillId="56" borderId="10" xfId="0" applyFont="1" applyFill="1" applyBorder="1"/>
    <xf numFmtId="43" fontId="75" fillId="56" borderId="10" xfId="0" applyNumberFormat="1" applyFont="1" applyFill="1" applyBorder="1"/>
    <xf numFmtId="43" fontId="74" fillId="56" borderId="10" xfId="0" applyNumberFormat="1" applyFont="1" applyFill="1" applyBorder="1"/>
    <xf numFmtId="43" fontId="75" fillId="56" borderId="10" xfId="1" applyFont="1" applyFill="1" applyBorder="1"/>
    <xf numFmtId="0" fontId="74" fillId="30" borderId="10" xfId="0" applyFont="1" applyFill="1" applyBorder="1"/>
    <xf numFmtId="43" fontId="75" fillId="30" borderId="10" xfId="0" applyNumberFormat="1" applyFont="1" applyFill="1" applyBorder="1"/>
    <xf numFmtId="43" fontId="74" fillId="30" borderId="10" xfId="0" applyNumberFormat="1" applyFont="1" applyFill="1" applyBorder="1"/>
    <xf numFmtId="43" fontId="75" fillId="30" borderId="10" xfId="1" applyFont="1" applyFill="1" applyBorder="1"/>
    <xf numFmtId="0" fontId="4" fillId="12" borderId="3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81" fillId="0" borderId="0" xfId="0" applyFont="1" applyAlignment="1">
      <alignment horizontal="left"/>
    </xf>
    <xf numFmtId="15" fontId="3" fillId="9" borderId="0" xfId="0" applyNumberFormat="1" applyFont="1" applyFill="1"/>
  </cellXfs>
  <cellStyles count="106">
    <cellStyle name="20% - Accent5 2" xfId="3" xr:uid="{00000000-0005-0000-0000-000031000000}"/>
    <cellStyle name="20% - ส่วนที่ถูกเน้น1" xfId="4" xr:uid="{00000000-0005-0000-0000-000032000000}"/>
    <cellStyle name="20% - ส่วนที่ถูกเน้น2" xfId="5" xr:uid="{00000000-0005-0000-0000-000033000000}"/>
    <cellStyle name="20% - ส่วนที่ถูกเน้น3" xfId="6" xr:uid="{00000000-0005-0000-0000-000034000000}"/>
    <cellStyle name="20% - ส่วนที่ถูกเน้น4" xfId="7" xr:uid="{00000000-0005-0000-0000-000035000000}"/>
    <cellStyle name="20% - ส่วนที่ถูกเน้น5" xfId="8" xr:uid="{00000000-0005-0000-0000-000036000000}"/>
    <cellStyle name="20% - ส่วนที่ถูกเน้น6" xfId="9" xr:uid="{00000000-0005-0000-0000-000037000000}"/>
    <cellStyle name="40% - Accent5 2" xfId="10" xr:uid="{00000000-0005-0000-0000-000038000000}"/>
    <cellStyle name="40% - ส่วนที่ถูกเน้น1" xfId="11" xr:uid="{00000000-0005-0000-0000-000039000000}"/>
    <cellStyle name="40% - ส่วนที่ถูกเน้น2" xfId="12" xr:uid="{00000000-0005-0000-0000-00003A000000}"/>
    <cellStyle name="40% - ส่วนที่ถูกเน้น3" xfId="13" xr:uid="{00000000-0005-0000-0000-00003B000000}"/>
    <cellStyle name="40% - ส่วนที่ถูกเน้น4" xfId="14" xr:uid="{00000000-0005-0000-0000-00003C000000}"/>
    <cellStyle name="40% - ส่วนที่ถูกเน้น5" xfId="15" xr:uid="{00000000-0005-0000-0000-00003D000000}"/>
    <cellStyle name="40% - ส่วนที่ถูกเน้น6" xfId="16" xr:uid="{00000000-0005-0000-0000-00003E000000}"/>
    <cellStyle name="60% - ส่วนที่ถูกเน้น1" xfId="17" xr:uid="{00000000-0005-0000-0000-00003F000000}"/>
    <cellStyle name="60% - ส่วนที่ถูกเน้น2" xfId="18" xr:uid="{00000000-0005-0000-0000-000040000000}"/>
    <cellStyle name="60% - ส่วนที่ถูกเน้น3" xfId="19" xr:uid="{00000000-0005-0000-0000-000041000000}"/>
    <cellStyle name="60% - ส่วนที่ถูกเน้น4" xfId="20" xr:uid="{00000000-0005-0000-0000-000042000000}"/>
    <cellStyle name="60% - ส่วนที่ถูกเน้น5" xfId="21" xr:uid="{00000000-0005-0000-0000-000043000000}"/>
    <cellStyle name="60% - ส่วนที่ถูกเน้น6" xfId="22" xr:uid="{00000000-0005-0000-0000-000044000000}"/>
    <cellStyle name="Comma" xfId="1" builtinId="3"/>
    <cellStyle name="Comma 10" xfId="23" xr:uid="{00000000-0005-0000-0000-000045000000}"/>
    <cellStyle name="Comma 11" xfId="24" xr:uid="{00000000-0005-0000-0000-000046000000}"/>
    <cellStyle name="Comma 12" xfId="25" xr:uid="{00000000-0005-0000-0000-000047000000}"/>
    <cellStyle name="Comma 13" xfId="26" xr:uid="{00000000-0005-0000-0000-000048000000}"/>
    <cellStyle name="Comma 13 2" xfId="27" xr:uid="{00000000-0005-0000-0000-000049000000}"/>
    <cellStyle name="Comma 14" xfId="28" xr:uid="{00000000-0005-0000-0000-00004A000000}"/>
    <cellStyle name="Comma 2" xfId="29" xr:uid="{00000000-0005-0000-0000-00004B000000}"/>
    <cellStyle name="Comma 2 2" xfId="30" xr:uid="{00000000-0005-0000-0000-00004C000000}"/>
    <cellStyle name="Comma 2 2 2" xfId="31" xr:uid="{00000000-0005-0000-0000-00004D000000}"/>
    <cellStyle name="Comma 2 2 2 2" xfId="32" xr:uid="{00000000-0005-0000-0000-00004E000000}"/>
    <cellStyle name="Comma 2 2 2 3" xfId="33" xr:uid="{00000000-0005-0000-0000-00004F000000}"/>
    <cellStyle name="Comma 2 2 3" xfId="34" xr:uid="{00000000-0005-0000-0000-000050000000}"/>
    <cellStyle name="Comma 2 2 4" xfId="35" xr:uid="{00000000-0005-0000-0000-000051000000}"/>
    <cellStyle name="Comma 2 3" xfId="36" xr:uid="{00000000-0005-0000-0000-000052000000}"/>
    <cellStyle name="Comma 2 3 2" xfId="37" xr:uid="{00000000-0005-0000-0000-000053000000}"/>
    <cellStyle name="Comma 2 3 3" xfId="38" xr:uid="{00000000-0005-0000-0000-000054000000}"/>
    <cellStyle name="Comma 2 4" xfId="39" xr:uid="{00000000-0005-0000-0000-000055000000}"/>
    <cellStyle name="Comma 2 5" xfId="40" xr:uid="{00000000-0005-0000-0000-000056000000}"/>
    <cellStyle name="Comma 3" xfId="41" xr:uid="{00000000-0005-0000-0000-000057000000}"/>
    <cellStyle name="Comma 3 2" xfId="42" xr:uid="{00000000-0005-0000-0000-000058000000}"/>
    <cellStyle name="Comma 3 3" xfId="43" xr:uid="{00000000-0005-0000-0000-000059000000}"/>
    <cellStyle name="Comma 4" xfId="44" xr:uid="{00000000-0005-0000-0000-00005A000000}"/>
    <cellStyle name="Comma 4 2" xfId="45" xr:uid="{00000000-0005-0000-0000-00005B000000}"/>
    <cellStyle name="Comma 4 3" xfId="46" xr:uid="{00000000-0005-0000-0000-00005C000000}"/>
    <cellStyle name="Comma 5" xfId="47" xr:uid="{00000000-0005-0000-0000-00005D000000}"/>
    <cellStyle name="Comma 5 2" xfId="48" xr:uid="{00000000-0005-0000-0000-00005E000000}"/>
    <cellStyle name="Comma 5 3" xfId="49" xr:uid="{00000000-0005-0000-0000-00005F000000}"/>
    <cellStyle name="Comma 6" xfId="50" xr:uid="{00000000-0005-0000-0000-000060000000}"/>
    <cellStyle name="Comma 7" xfId="51" xr:uid="{00000000-0005-0000-0000-000061000000}"/>
    <cellStyle name="Comma 8" xfId="52" xr:uid="{00000000-0005-0000-0000-000062000000}"/>
    <cellStyle name="Comma 9" xfId="53" xr:uid="{00000000-0005-0000-0000-000063000000}"/>
    <cellStyle name="Currency 2" xfId="54" xr:uid="{00000000-0005-0000-0000-000064000000}"/>
    <cellStyle name="Currency 2 2" xfId="55" xr:uid="{00000000-0005-0000-0000-000065000000}"/>
    <cellStyle name="Currency 2 2 2" xfId="56" xr:uid="{00000000-0005-0000-0000-000066000000}"/>
    <cellStyle name="Currency 2 2 2 2" xfId="57" xr:uid="{00000000-0005-0000-0000-000067000000}"/>
    <cellStyle name="Currency 2 2 2 3" xfId="58" xr:uid="{00000000-0005-0000-0000-000068000000}"/>
    <cellStyle name="Currency 2 2 3" xfId="59" xr:uid="{00000000-0005-0000-0000-000069000000}"/>
    <cellStyle name="Currency 2 2 4" xfId="60" xr:uid="{00000000-0005-0000-0000-00006A000000}"/>
    <cellStyle name="Currency 2 3" xfId="61" xr:uid="{00000000-0005-0000-0000-00006B000000}"/>
    <cellStyle name="Currency 2 3 2" xfId="62" xr:uid="{00000000-0005-0000-0000-00006C000000}"/>
    <cellStyle name="Currency 2 3 3" xfId="63" xr:uid="{00000000-0005-0000-0000-00006D000000}"/>
    <cellStyle name="Currency 2 4" xfId="64" xr:uid="{00000000-0005-0000-0000-00006E000000}"/>
    <cellStyle name="Currency 2 5" xfId="65" xr:uid="{00000000-0005-0000-0000-00006F000000}"/>
    <cellStyle name="Normal" xfId="0" builtinId="0"/>
    <cellStyle name="Normal 2" xfId="66" xr:uid="{00000000-0005-0000-0000-000070000000}"/>
    <cellStyle name="Normal 2 2" xfId="67" xr:uid="{00000000-0005-0000-0000-000071000000}"/>
    <cellStyle name="Normal 3" xfId="68" xr:uid="{00000000-0005-0000-0000-000072000000}"/>
    <cellStyle name="Normal 3 2" xfId="69" xr:uid="{00000000-0005-0000-0000-000073000000}"/>
    <cellStyle name="Normal 4" xfId="70" xr:uid="{00000000-0005-0000-0000-000074000000}"/>
    <cellStyle name="Normal 4 2" xfId="71" xr:uid="{00000000-0005-0000-0000-000075000000}"/>
    <cellStyle name="Normal 5" xfId="72" xr:uid="{00000000-0005-0000-0000-000076000000}"/>
    <cellStyle name="Normal 6" xfId="73" xr:uid="{00000000-0005-0000-0000-000077000000}"/>
    <cellStyle name="Normal 7" xfId="74" xr:uid="{00000000-0005-0000-0000-000078000000}"/>
    <cellStyle name="Normal 8" xfId="75" xr:uid="{00000000-0005-0000-0000-000079000000}"/>
    <cellStyle name="Normal 8 2" xfId="76" xr:uid="{00000000-0005-0000-0000-00007A000000}"/>
    <cellStyle name="Percent" xfId="2" builtinId="5"/>
    <cellStyle name="Percent 2" xfId="77" xr:uid="{00000000-0005-0000-0000-00007B000000}"/>
    <cellStyle name="Percent 3" xfId="78" xr:uid="{00000000-0005-0000-0000-00007C000000}"/>
    <cellStyle name="เครื่องหมายจุลภาค 2" xfId="79" xr:uid="{00000000-0005-0000-0000-00007D000000}"/>
    <cellStyle name="เครื่องหมายจุลภาค 4" xfId="80" xr:uid="{00000000-0005-0000-0000-00007E000000}"/>
    <cellStyle name="เซลล์ตรวจสอบ" xfId="81" xr:uid="{00000000-0005-0000-0000-00007F000000}"/>
    <cellStyle name="เซลล์ที่มีการเชื่อมโยง" xfId="82" xr:uid="{00000000-0005-0000-0000-000080000000}"/>
    <cellStyle name="แย่" xfId="83" xr:uid="{00000000-0005-0000-0000-000081000000}"/>
    <cellStyle name="แสดงผล" xfId="84" xr:uid="{00000000-0005-0000-0000-000082000000}"/>
    <cellStyle name="การคำนวณ" xfId="85" xr:uid="{00000000-0005-0000-0000-000083000000}"/>
    <cellStyle name="ข้อความเตือน" xfId="86" xr:uid="{00000000-0005-0000-0000-000084000000}"/>
    <cellStyle name="ข้อความอธิบาย" xfId="87" xr:uid="{00000000-0005-0000-0000-000085000000}"/>
    <cellStyle name="ชื่อเรื่อง" xfId="88" xr:uid="{00000000-0005-0000-0000-000086000000}"/>
    <cellStyle name="ดี" xfId="89" xr:uid="{00000000-0005-0000-0000-000087000000}"/>
    <cellStyle name="ปกติ 2" xfId="90" xr:uid="{00000000-0005-0000-0000-000088000000}"/>
    <cellStyle name="ปกติ 4" xfId="91" xr:uid="{00000000-0005-0000-0000-000089000000}"/>
    <cellStyle name="ป้อนค่า" xfId="92" xr:uid="{00000000-0005-0000-0000-00008A000000}"/>
    <cellStyle name="ปานกลาง" xfId="93" xr:uid="{00000000-0005-0000-0000-00008B000000}"/>
    <cellStyle name="ผลรวม" xfId="94" xr:uid="{00000000-0005-0000-0000-00008C000000}"/>
    <cellStyle name="ส่วนที่ถูกเน้น1" xfId="95" xr:uid="{00000000-0005-0000-0000-00008D000000}"/>
    <cellStyle name="ส่วนที่ถูกเน้น2" xfId="96" xr:uid="{00000000-0005-0000-0000-00008E000000}"/>
    <cellStyle name="ส่วนที่ถูกเน้น3" xfId="97" xr:uid="{00000000-0005-0000-0000-00008F000000}"/>
    <cellStyle name="ส่วนที่ถูกเน้น4" xfId="98" xr:uid="{00000000-0005-0000-0000-000090000000}"/>
    <cellStyle name="ส่วนที่ถูกเน้น5" xfId="99" xr:uid="{00000000-0005-0000-0000-000091000000}"/>
    <cellStyle name="ส่วนที่ถูกเน้น6" xfId="100" xr:uid="{00000000-0005-0000-0000-000092000000}"/>
    <cellStyle name="หมายเหตุ" xfId="101" xr:uid="{00000000-0005-0000-0000-000093000000}"/>
    <cellStyle name="หัวเรื่อง 1" xfId="102" xr:uid="{00000000-0005-0000-0000-000094000000}"/>
    <cellStyle name="หัวเรื่อง 2" xfId="103" xr:uid="{00000000-0005-0000-0000-000095000000}"/>
    <cellStyle name="หัวเรื่อง 3" xfId="104" xr:uid="{00000000-0005-0000-0000-000096000000}"/>
    <cellStyle name="หัวเรื่อง 4" xfId="105" xr:uid="{00000000-0005-0000-0000-000097000000}"/>
  </cellStyles>
  <dxfs count="1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00B0F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lCom" displayName="BalCom" ref="C3:Q150" totalsRowCount="1">
  <autoFilter ref="C3:Q149" xr:uid="{00000000-0009-0000-0100-000001000000}"/>
  <tableColumns count="15">
    <tableColumn id="1" xr3:uid="{00000000-0010-0000-0000-000001000000}" name="Name" totalsRowLabel="Total" dataDxfId="108" totalsRowDxfId="107"/>
    <tableColumn id="2" xr3:uid="{00000000-0010-0000-0000-000002000000}" name="Master name" dataDxfId="106" totalsRowDxfId="105"/>
    <tableColumn id="3" xr3:uid="{00000000-0010-0000-0000-000003000000}" name="Item Name" dataDxfId="104" totalsRowDxfId="103"/>
    <tableColumn id="4" xr3:uid="{00000000-0010-0000-0000-000004000000}" name="Code" dataDxfId="102" totalsRowDxfId="101"/>
    <tableColumn id="5" xr3:uid="{00000000-0010-0000-0000-000005000000}" name="TSC" dataDxfId="100" totalsRowDxfId="99"/>
    <tableColumn id="6" xr3:uid="{00000000-0010-0000-0000-000006000000}" name="Dry Kg" dataDxfId="98" totalsRowDxfId="97"/>
    <tableColumn id="7" xr3:uid="{00000000-0010-0000-0000-000007000000}" name="Balance (Kg)" dataDxfId="96" totalsRowDxfId="95"/>
    <tableColumn id="9" xr3:uid="{00000000-0010-0000-0000-000009000000}" name="Column1" dataDxfId="94" totalsRowDxfId="93"/>
    <tableColumn id="8" xr3:uid="{00000000-0010-0000-0000-000008000000}" name="Total Dry Kg" totalsRowFunction="sum" dataDxfId="92" totalsRowDxfId="91" dataCellStyle="Comma">
      <calculatedColumnFormula>SUMIFS(H:H,C:C,BalCom[[#This Row],[Name]],D:D,BalCom[[#This Row],[Master name]])</calculatedColumnFormula>
    </tableColumn>
    <tableColumn id="14" xr3:uid="{00000000-0010-0000-0000-00000E000000}" name="Bal. Kg Dry" dataDxfId="90" totalsRowDxfId="89" dataCellStyle="Comma">
      <calculatedColumnFormula>IFERROR(BalCom[[#This Row],[Balance (Kg)]]*BalCom[[#This Row],[Dry Kg]]/BalCom[[#This Row],[Total Dry Kg]],0)</calculatedColumnFormula>
    </tableColumn>
    <tableColumn id="10" xr3:uid="{00000000-0010-0000-0000-00000A000000}" name="Bal. Kg Wet" totalsRowFunction="sum" dataDxfId="88" totalsRowDxfId="87" dataCellStyle="Comma">
      <calculatedColumnFormula>IF(D4="","",BalCom[[#This Row],[Bal. Kg Dry]]/BalCom[[#This Row],[TSC]])</calculatedColumnFormula>
    </tableColumn>
    <tableColumn id="12" xr3:uid="{00000000-0010-0000-0000-00000C000000}" name="New Code" dataDxfId="86" totalsRowDxfId="85" dataCellStyle="Comma">
      <calculatedColumnFormula>IF(_xlfn.XLOOKUP(BalCom[[#This Row],[Code]],Info!B:B,Info!D:D,0)=0,BalCom[[#This Row],[Code]],(_xlfn.XLOOKUP(BalCom[[#This Row],[Code]],Info!B:B,Info!D:D,0)))</calculatedColumnFormula>
    </tableColumn>
    <tableColumn id="11" xr3:uid="{00000000-0010-0000-0000-00000B000000}" name="Price" dataDxfId="84" totalsRowDxfId="83" dataCellStyle="Comma">
      <calculatedColumnFormula>IF(BalCom[[#This Row],[New Code]]="SFG-Water",0,_xlfn.XLOOKUP(BalCom[[#This Row],[New Code]],Used_before_Trf!A:A,Used_before_Trf!U:U,""))</calculatedColumnFormula>
    </tableColumn>
    <tableColumn id="13" xr3:uid="{00000000-0010-0000-0000-00000D000000}" name="Cost (Baht)" totalsRowFunction="sum" dataDxfId="82" totalsRowDxfId="81" dataCellStyle="Comma">
      <calculatedColumnFormula>IF(D4="","",ROUND((BalCom[[#This Row],[Price]]*BalCom[[#This Row],[Bal. Kg Wet]]),2))</calculatedColumnFormula>
    </tableColumn>
    <tableColumn id="15" xr3:uid="{BBC76D84-C9E2-4D47-8F6A-0F3F5A46BEBB}" name="**Check**" dataDxfId="80" totalsRowDxfId="79" dataCellStyle="Comma">
      <calculatedColumnFormula>IF(BalCom[[#This Row],[Master name]]="","",IF(N4="SFG-Water","",IF(AND(N4&lt;&gt;0,P4&lt;&gt;0),"Ok","Error")))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Dis" displayName="BalDis" ref="A3:M30" totalsRowCount="1">
  <autoFilter ref="A3:M29" xr:uid="{00000000-0009-0000-0100-000002000000}"/>
  <tableColumns count="13">
    <tableColumn id="1" xr3:uid="{00000000-0010-0000-0100-000001000000}" name="Name" totalsRowLabel="Total" dataDxfId="75" totalsRowDxfId="74"/>
    <tableColumn id="2" xr3:uid="{00000000-0010-0000-0100-000002000000}" name="Master Name" dataDxfId="73" totalsRowDxfId="72"/>
    <tableColumn id="3" xr3:uid="{00000000-0010-0000-0100-000003000000}" name="Item Name" dataDxfId="71" totalsRowDxfId="70"/>
    <tableColumn id="4" xr3:uid="{00000000-0010-0000-0100-000004000000}" name="Code" dataDxfId="69" totalsRowDxfId="68"/>
    <tableColumn id="5" xr3:uid="{00000000-0010-0000-0100-000005000000}" name="Kg" dataDxfId="67" totalsRowDxfId="66"/>
    <tableColumn id="6" xr3:uid="{00000000-0010-0000-0100-000006000000}" name="Balance (Kg)" dataDxfId="65" totalsRowDxfId="64"/>
    <tableColumn id="8" xr3:uid="{00000000-0010-0000-0100-000008000000}" name="Column1" dataDxfId="63" totalsRowDxfId="62"/>
    <tableColumn id="7" xr3:uid="{00000000-0010-0000-0100-000007000000}" name="Total Kg Dry" dataDxfId="61" totalsRowDxfId="60">
      <calculatedColumnFormula>SUMIFS(E:E,A:A,A4,B:B,B4)</calculatedColumnFormula>
    </tableColumn>
    <tableColumn id="9" xr3:uid="{00000000-0010-0000-0100-000009000000}" name="Bal. Kg" totalsRowFunction="sum" dataDxfId="59" totalsRowDxfId="58">
      <calculatedColumnFormula>IFERROR(BalDis[[#This Row],[Balance (Kg)]]*BalDis[[#This Row],[Kg]]/BalDis[[#This Row],[Total Kg Dry]],0)</calculatedColumnFormula>
    </tableColumn>
    <tableColumn id="14" xr3:uid="{00000000-0010-0000-0100-00000E000000}" name="New Code" dataDxfId="57" totalsRowDxfId="56">
      <calculatedColumnFormula>IF(_xlfn.XLOOKUP(D4,Info!B:B,Info!D:D,0)=0,BalDis[[#This Row],[Code]],_xlfn.XLOOKUP(D4,Info!B:B,Info!D:D,0))</calculatedColumnFormula>
    </tableColumn>
    <tableColumn id="12" xr3:uid="{00000000-0010-0000-0100-00000C000000}" name="Price" dataDxfId="55" totalsRowDxfId="54">
      <calculatedColumnFormula>_xlfn.XLOOKUP(BalDis[[#This Row],[New Code]],Used_before_Trf!A:A,Used_before_Trf!U:U,0)</calculatedColumnFormula>
    </tableColumn>
    <tableColumn id="13" xr3:uid="{00000000-0010-0000-0100-00000D000000}" name="Cost (Baht)" totalsRowFunction="sum" dataDxfId="53" totalsRowDxfId="52">
      <calculatedColumnFormula>ROUND(BalDis[[#This Row],[Price]]*BalDis[[#This Row],[Bal. Kg]],2)</calculatedColumnFormula>
    </tableColumn>
    <tableColumn id="10" xr3:uid="{D049D220-B9BF-47A6-A2EF-3562BA470B18}" name="**check**" dataDxfId="51" totalsRowDxfId="50">
      <calculatedColumnFormula>IF(B4="","",IF(J4="SFG-Water","",IF(AND(J4&lt;&gt;0,L4&lt;&gt;0),"Ok","Error")))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pane ySplit="3" topLeftCell="A6" activePane="bottomLeft" state="frozen"/>
      <selection pane="bottomLeft" activeCell="D21" sqref="D21"/>
    </sheetView>
  </sheetViews>
  <sheetFormatPr defaultColWidth="11" defaultRowHeight="15" customHeight="1"/>
  <cols>
    <col min="1" max="3" width="11" style="331"/>
    <col min="4" max="4" width="44.875" style="331" customWidth="1"/>
    <col min="5" max="5" width="11" style="331"/>
    <col min="6" max="8" width="11" style="333"/>
    <col min="9" max="16384" width="11" style="337"/>
  </cols>
  <sheetData>
    <row r="1" spans="1:11" s="336" customFormat="1" ht="15" customHeight="1">
      <c r="A1" s="343" t="s">
        <v>0</v>
      </c>
      <c r="B1" s="343" t="s">
        <v>1</v>
      </c>
      <c r="C1" s="343" t="s">
        <v>2</v>
      </c>
      <c r="D1" s="343" t="s">
        <v>3</v>
      </c>
      <c r="E1" s="343" t="s">
        <v>4</v>
      </c>
      <c r="F1" s="551" t="s">
        <v>5</v>
      </c>
      <c r="G1" s="551" t="s">
        <v>6</v>
      </c>
      <c r="H1" s="551" t="s">
        <v>7</v>
      </c>
    </row>
    <row r="2" spans="1:11" s="336" customFormat="1" ht="15" customHeight="1">
      <c r="A2" s="343" t="s">
        <v>8</v>
      </c>
      <c r="B2" s="343"/>
      <c r="C2" s="343"/>
      <c r="D2" s="343"/>
      <c r="E2" s="343"/>
      <c r="F2" s="551"/>
      <c r="G2" s="551"/>
      <c r="H2" s="551"/>
    </row>
    <row r="3" spans="1:11" s="336" customFormat="1" ht="15" customHeight="1">
      <c r="A3" s="343" t="s">
        <v>9</v>
      </c>
      <c r="B3" s="343" t="s">
        <v>9</v>
      </c>
      <c r="C3" s="343" t="s">
        <v>9</v>
      </c>
      <c r="D3" s="343" t="s">
        <v>10</v>
      </c>
      <c r="E3" s="343" t="s">
        <v>9</v>
      </c>
      <c r="F3" s="551">
        <v>0</v>
      </c>
      <c r="G3" s="551">
        <v>0</v>
      </c>
      <c r="H3" s="551">
        <v>10139363.59</v>
      </c>
    </row>
    <row r="4" spans="1:11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1" t="s">
        <v>9</v>
      </c>
      <c r="F4" s="417">
        <v>0</v>
      </c>
      <c r="G4" s="417">
        <v>1687850.18</v>
      </c>
      <c r="H4" s="417">
        <v>8451513.4100000001</v>
      </c>
    </row>
    <row r="5" spans="1:11" ht="15" customHeight="1">
      <c r="A5" s="331" t="s">
        <v>11</v>
      </c>
      <c r="B5" s="331" t="s">
        <v>12</v>
      </c>
      <c r="C5" s="331" t="s">
        <v>13</v>
      </c>
      <c r="D5" s="331" t="s">
        <v>15</v>
      </c>
      <c r="E5" s="331" t="s">
        <v>9</v>
      </c>
      <c r="F5" s="417">
        <v>0</v>
      </c>
      <c r="G5" s="417">
        <v>190811.58</v>
      </c>
      <c r="H5" s="417">
        <v>8260701.8300000001</v>
      </c>
    </row>
    <row r="6" spans="1:11" ht="15" customHeight="1">
      <c r="A6" s="331" t="s">
        <v>16</v>
      </c>
      <c r="B6" s="331" t="s">
        <v>17</v>
      </c>
      <c r="C6" s="331" t="s">
        <v>18</v>
      </c>
      <c r="D6" s="331" t="s">
        <v>19</v>
      </c>
      <c r="E6" s="331" t="s">
        <v>9</v>
      </c>
      <c r="F6" s="417">
        <v>6777780.1699999999</v>
      </c>
      <c r="G6" s="417">
        <v>0</v>
      </c>
      <c r="H6" s="417">
        <v>15038482</v>
      </c>
    </row>
    <row r="7" spans="1:11" ht="15" customHeight="1">
      <c r="A7" s="331" t="s">
        <v>16</v>
      </c>
      <c r="B7" s="331" t="s">
        <v>17</v>
      </c>
      <c r="C7" s="331" t="s">
        <v>18</v>
      </c>
      <c r="D7" s="331" t="s">
        <v>20</v>
      </c>
      <c r="E7" s="331" t="s">
        <v>9</v>
      </c>
      <c r="F7" s="417">
        <v>6804835.8499999996</v>
      </c>
      <c r="G7" s="417">
        <v>0</v>
      </c>
      <c r="H7" s="417">
        <v>21843317.850000001</v>
      </c>
      <c r="K7" s="338"/>
    </row>
    <row r="8" spans="1:11" ht="15" customHeight="1">
      <c r="A8" s="331" t="s">
        <v>16</v>
      </c>
      <c r="B8" s="331" t="s">
        <v>17</v>
      </c>
      <c r="C8" s="331" t="s">
        <v>18</v>
      </c>
      <c r="D8" s="331" t="s">
        <v>21</v>
      </c>
      <c r="E8" s="331" t="s">
        <v>9</v>
      </c>
      <c r="F8" s="417">
        <v>468421.56</v>
      </c>
      <c r="G8" s="417">
        <v>0</v>
      </c>
      <c r="H8" s="417">
        <v>22311739.41</v>
      </c>
      <c r="K8" s="338"/>
    </row>
    <row r="9" spans="1:11" ht="15" customHeight="1">
      <c r="A9" s="331" t="s">
        <v>16</v>
      </c>
      <c r="B9" s="331" t="s">
        <v>17</v>
      </c>
      <c r="C9" s="331" t="s">
        <v>18</v>
      </c>
      <c r="D9" s="331" t="s">
        <v>22</v>
      </c>
      <c r="E9" s="331" t="s">
        <v>9</v>
      </c>
      <c r="F9" s="417">
        <v>1431570.13</v>
      </c>
      <c r="G9" s="417">
        <v>0</v>
      </c>
      <c r="H9" s="417">
        <v>23743309.539999999</v>
      </c>
      <c r="K9" s="338"/>
    </row>
    <row r="10" spans="1:11" ht="15" customHeight="1">
      <c r="A10" s="331" t="s">
        <v>16</v>
      </c>
      <c r="B10" s="331" t="s">
        <v>17</v>
      </c>
      <c r="C10" s="331" t="s">
        <v>18</v>
      </c>
      <c r="D10" s="331" t="s">
        <v>23</v>
      </c>
      <c r="E10" s="331" t="s">
        <v>9</v>
      </c>
      <c r="F10" s="417">
        <v>0</v>
      </c>
      <c r="G10" s="417">
        <v>1205649.24</v>
      </c>
      <c r="H10" s="417">
        <v>22537660.300000001</v>
      </c>
    </row>
    <row r="11" spans="1:11" ht="15" customHeight="1">
      <c r="A11" s="331" t="s">
        <v>16</v>
      </c>
      <c r="B11" s="331" t="s">
        <v>17</v>
      </c>
      <c r="C11" s="331" t="s">
        <v>18</v>
      </c>
      <c r="D11" s="331" t="s">
        <v>24</v>
      </c>
      <c r="E11" s="331" t="s">
        <v>9</v>
      </c>
      <c r="F11" s="417">
        <v>0</v>
      </c>
      <c r="G11" s="417">
        <v>691743.98</v>
      </c>
      <c r="H11" s="417">
        <v>21845916.32</v>
      </c>
    </row>
    <row r="12" spans="1:11" ht="15" customHeight="1">
      <c r="A12" s="331" t="s">
        <v>16</v>
      </c>
      <c r="B12" s="331" t="s">
        <v>25</v>
      </c>
      <c r="C12" s="331" t="s">
        <v>26</v>
      </c>
      <c r="D12" s="331" t="s">
        <v>27</v>
      </c>
      <c r="E12" s="331" t="s">
        <v>9</v>
      </c>
      <c r="F12" s="417">
        <v>1920167.2</v>
      </c>
      <c r="G12" s="417">
        <v>0</v>
      </c>
      <c r="H12" s="417">
        <v>23766083.52</v>
      </c>
    </row>
    <row r="13" spans="1:11" ht="15" customHeight="1">
      <c r="A13" s="331" t="s">
        <v>16</v>
      </c>
      <c r="B13" s="331" t="s">
        <v>25</v>
      </c>
      <c r="C13" s="331" t="s">
        <v>26</v>
      </c>
      <c r="D13" s="331" t="s">
        <v>28</v>
      </c>
      <c r="E13" s="332" t="s">
        <v>9</v>
      </c>
      <c r="F13" s="417">
        <v>328050.82</v>
      </c>
      <c r="G13" s="417">
        <v>0</v>
      </c>
      <c r="H13" s="417">
        <v>24094134.34</v>
      </c>
    </row>
    <row r="14" spans="1:11" ht="15" customHeight="1">
      <c r="A14" s="331" t="s">
        <v>16</v>
      </c>
      <c r="B14" s="331" t="s">
        <v>25</v>
      </c>
      <c r="C14" s="331" t="s">
        <v>26</v>
      </c>
      <c r="D14" s="331" t="s">
        <v>29</v>
      </c>
      <c r="E14" s="331" t="s">
        <v>9</v>
      </c>
      <c r="F14" s="417">
        <v>0</v>
      </c>
      <c r="G14" s="417">
        <v>13082080.24</v>
      </c>
      <c r="H14" s="418">
        <v>11012054.1</v>
      </c>
    </row>
    <row r="15" spans="1:11" ht="15" customHeight="1">
      <c r="E15" s="331" t="s">
        <v>30</v>
      </c>
      <c r="F15" s="334">
        <v>17730825.73</v>
      </c>
      <c r="G15" s="334">
        <v>16858135.219999999</v>
      </c>
      <c r="H15" s="417"/>
    </row>
    <row r="16" spans="1:11" ht="15" customHeight="1">
      <c r="E16" s="331" t="s">
        <v>31</v>
      </c>
      <c r="F16" s="334">
        <v>17730825.73</v>
      </c>
      <c r="G16" s="334">
        <v>16858135.219999999</v>
      </c>
      <c r="H16" s="334"/>
    </row>
    <row r="17" spans="1:8" ht="15" customHeight="1">
      <c r="A17" s="331" t="s">
        <v>32</v>
      </c>
      <c r="B17" s="331" t="s">
        <v>33</v>
      </c>
      <c r="F17" s="334"/>
      <c r="G17" s="334"/>
      <c r="H17" s="334"/>
    </row>
    <row r="18" spans="1:8" ht="15" customHeight="1">
      <c r="F18" s="334"/>
      <c r="G18" s="334"/>
      <c r="H18" s="334"/>
    </row>
    <row r="19" spans="1:8" ht="15" customHeight="1">
      <c r="F19" s="334"/>
      <c r="G19" s="334"/>
      <c r="H19" s="334"/>
    </row>
    <row r="20" spans="1:8" ht="15" customHeight="1">
      <c r="F20" s="334"/>
      <c r="G20" s="334"/>
      <c r="H20" s="334"/>
    </row>
    <row r="21" spans="1:8" ht="15" customHeight="1">
      <c r="F21" s="334"/>
      <c r="G21" s="334"/>
      <c r="H21" s="334"/>
    </row>
    <row r="22" spans="1:8" ht="15" customHeight="1">
      <c r="F22" s="334"/>
      <c r="G22" s="334"/>
      <c r="H22" s="334"/>
    </row>
    <row r="23" spans="1:8" ht="15" customHeight="1">
      <c r="F23" s="335" t="s">
        <v>34</v>
      </c>
      <c r="G23" s="335"/>
      <c r="H23" s="335">
        <f>'NBR Latex-Comp'!BB13</f>
        <v>8763836.1600000001</v>
      </c>
    </row>
    <row r="24" spans="1:8" ht="15" customHeight="1">
      <c r="F24" s="335" t="s">
        <v>35</v>
      </c>
      <c r="G24" s="335"/>
      <c r="H24" s="335">
        <f>Used_before_Trf!AB174</f>
        <v>2248218.02</v>
      </c>
    </row>
    <row r="25" spans="1:8" ht="15" customHeight="1" thickBot="1">
      <c r="F25" s="335" t="s">
        <v>36</v>
      </c>
      <c r="G25" s="335"/>
      <c r="H25" s="572">
        <f>SUM(H23:H24)</f>
        <v>11012054.18</v>
      </c>
    </row>
    <row r="26" spans="1:8" ht="15" customHeight="1" thickTop="1">
      <c r="F26" s="335" t="s">
        <v>37</v>
      </c>
      <c r="G26" s="335"/>
      <c r="H26" s="335">
        <f>H14-H25</f>
        <v>-8.0000000074505806E-2</v>
      </c>
    </row>
    <row r="29" spans="1:8" ht="15" customHeight="1">
      <c r="H29" s="508"/>
    </row>
    <row r="43" spans="6:6" ht="15" customHeight="1">
      <c r="F43" s="333">
        <v>0</v>
      </c>
    </row>
    <row r="106" spans="9:9" ht="15" customHeight="1">
      <c r="I106" s="3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E57A-DEA2-45DE-A31E-7188C9F9D395}">
  <dimension ref="A1:H13"/>
  <sheetViews>
    <sheetView workbookViewId="0">
      <selection activeCell="F20" sqref="F20"/>
    </sheetView>
  </sheetViews>
  <sheetFormatPr defaultColWidth="8.75" defaultRowHeight="15" customHeight="1"/>
  <cols>
    <col min="1" max="4" width="8.75" style="449"/>
    <col min="5" max="5" width="29.75" style="449" customWidth="1"/>
    <col min="6" max="6" width="12.625" style="450" bestFit="1" customWidth="1"/>
    <col min="7" max="7" width="9" style="450" bestFit="1" customWidth="1"/>
    <col min="8" max="8" width="13.75" style="450" bestFit="1" customWidth="1"/>
    <col min="9" max="16384" width="8.7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38</v>
      </c>
      <c r="F2" s="543"/>
      <c r="G2" s="543"/>
      <c r="H2" s="543"/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5797752.6500000004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585463.38</v>
      </c>
      <c r="G4" s="543">
        <v>0</v>
      </c>
      <c r="H4" s="543">
        <v>6383216.0300000003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44</v>
      </c>
      <c r="E5" s="449" t="s">
        <v>43</v>
      </c>
      <c r="F5" s="543">
        <v>97513.91</v>
      </c>
      <c r="G5" s="543">
        <v>0</v>
      </c>
      <c r="H5" s="543">
        <v>6480729.9400000004</v>
      </c>
    </row>
    <row r="6" spans="1:8" ht="15" customHeight="1">
      <c r="A6" s="449" t="s">
        <v>45</v>
      </c>
      <c r="B6" s="449" t="s">
        <v>46</v>
      </c>
      <c r="C6" s="449" t="s">
        <v>47</v>
      </c>
      <c r="D6" s="449" t="s">
        <v>48</v>
      </c>
      <c r="E6" s="449" t="s">
        <v>43</v>
      </c>
      <c r="F6" s="543">
        <v>0</v>
      </c>
      <c r="G6" s="543">
        <v>709416.42</v>
      </c>
      <c r="H6" s="543">
        <v>5771313.5199999996</v>
      </c>
    </row>
    <row r="7" spans="1:8" ht="15" customHeight="1">
      <c r="A7" s="449" t="s">
        <v>45</v>
      </c>
      <c r="B7" s="449" t="s">
        <v>46</v>
      </c>
      <c r="C7" s="449" t="s">
        <v>47</v>
      </c>
      <c r="D7" s="449" t="s">
        <v>49</v>
      </c>
      <c r="E7" s="449" t="s">
        <v>43</v>
      </c>
      <c r="F7" s="543">
        <v>5435567.3899999997</v>
      </c>
      <c r="G7" s="543">
        <v>0</v>
      </c>
      <c r="H7" s="543">
        <v>11206880.91</v>
      </c>
    </row>
    <row r="8" spans="1:8" ht="15" customHeight="1">
      <c r="A8" s="449" t="s">
        <v>45</v>
      </c>
      <c r="B8" s="449" t="s">
        <v>46</v>
      </c>
      <c r="C8" s="449" t="s">
        <v>47</v>
      </c>
      <c r="D8" s="449" t="s">
        <v>50</v>
      </c>
      <c r="E8" s="449" t="s">
        <v>43</v>
      </c>
      <c r="F8" s="543">
        <v>0</v>
      </c>
      <c r="G8" s="543">
        <v>144751.70000000001</v>
      </c>
      <c r="H8" s="543">
        <v>11062129.210000001</v>
      </c>
    </row>
    <row r="9" spans="1:8" ht="15" customHeight="1">
      <c r="A9" s="449" t="s">
        <v>45</v>
      </c>
      <c r="B9" s="449" t="s">
        <v>51</v>
      </c>
      <c r="C9" s="449" t="s">
        <v>52</v>
      </c>
      <c r="D9" s="449" t="s">
        <v>53</v>
      </c>
      <c r="E9" s="449" t="s">
        <v>43</v>
      </c>
      <c r="F9" s="543">
        <v>66456.800000000003</v>
      </c>
      <c r="G9" s="543">
        <v>0</v>
      </c>
      <c r="H9" s="543">
        <v>11128586.01</v>
      </c>
    </row>
    <row r="10" spans="1:8" ht="15" customHeight="1">
      <c r="E10" s="449" t="s">
        <v>30</v>
      </c>
      <c r="F10" s="543">
        <v>6185001.4800000004</v>
      </c>
      <c r="G10" s="543">
        <v>854168.12</v>
      </c>
      <c r="H10" s="543"/>
    </row>
    <row r="11" spans="1:8" ht="15" customHeight="1">
      <c r="E11" s="449" t="s">
        <v>31</v>
      </c>
      <c r="F11" s="543">
        <v>6185001.4800000004</v>
      </c>
      <c r="G11" s="543">
        <v>854168.12</v>
      </c>
      <c r="H11" s="543"/>
    </row>
    <row r="12" spans="1:8" ht="15" customHeight="1">
      <c r="A12" s="449" t="s">
        <v>54</v>
      </c>
      <c r="B12" s="449" t="s">
        <v>33</v>
      </c>
      <c r="F12" s="543"/>
      <c r="G12" s="543"/>
      <c r="H12" s="543"/>
    </row>
    <row r="13" spans="1:8" ht="15" customHeight="1">
      <c r="F13" s="450">
        <f>F11-G11</f>
        <v>5330833.3600000003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opLeftCell="A27" workbookViewId="0">
      <selection activeCell="H46" sqref="H46"/>
    </sheetView>
  </sheetViews>
  <sheetFormatPr defaultColWidth="6.25" defaultRowHeight="15" customHeight="1"/>
  <cols>
    <col min="1" max="3" width="12.25" style="331" customWidth="1"/>
    <col min="4" max="4" width="43.625" style="331" customWidth="1"/>
    <col min="5" max="5" width="10.75" style="332" customWidth="1"/>
    <col min="6" max="8" width="12.25" style="333" customWidth="1"/>
    <col min="9" max="9" width="6.25" style="331"/>
    <col min="10" max="10" width="13.875" style="539" customWidth="1"/>
    <col min="11" max="256" width="6.25" style="331"/>
    <col min="257" max="259" width="12.25" style="331" customWidth="1"/>
    <col min="260" max="260" width="43.625" style="331" customWidth="1"/>
    <col min="261" max="261" width="8.25" style="331" customWidth="1"/>
    <col min="262" max="264" width="12.25" style="331" customWidth="1"/>
    <col min="265" max="512" width="6.25" style="331"/>
    <col min="513" max="515" width="12.25" style="331" customWidth="1"/>
    <col min="516" max="516" width="43.625" style="331" customWidth="1"/>
    <col min="517" max="517" width="8.25" style="331" customWidth="1"/>
    <col min="518" max="520" width="12.25" style="331" customWidth="1"/>
    <col min="521" max="768" width="6.25" style="331"/>
    <col min="769" max="771" width="12.25" style="331" customWidth="1"/>
    <col min="772" max="772" width="43.625" style="331" customWidth="1"/>
    <col min="773" max="773" width="8.25" style="331" customWidth="1"/>
    <col min="774" max="776" width="12.25" style="331" customWidth="1"/>
    <col min="777" max="1024" width="6.25" style="331"/>
    <col min="1025" max="1027" width="12.25" style="331" customWidth="1"/>
    <col min="1028" max="1028" width="43.625" style="331" customWidth="1"/>
    <col min="1029" max="1029" width="8.25" style="331" customWidth="1"/>
    <col min="1030" max="1032" width="12.25" style="331" customWidth="1"/>
    <col min="1033" max="1280" width="6.25" style="331"/>
    <col min="1281" max="1283" width="12.25" style="331" customWidth="1"/>
    <col min="1284" max="1284" width="43.625" style="331" customWidth="1"/>
    <col min="1285" max="1285" width="8.25" style="331" customWidth="1"/>
    <col min="1286" max="1288" width="12.25" style="331" customWidth="1"/>
    <col min="1289" max="1536" width="6.25" style="331"/>
    <col min="1537" max="1539" width="12.25" style="331" customWidth="1"/>
    <col min="1540" max="1540" width="43.625" style="331" customWidth="1"/>
    <col min="1541" max="1541" width="8.25" style="331" customWidth="1"/>
    <col min="1542" max="1544" width="12.25" style="331" customWidth="1"/>
    <col min="1545" max="1792" width="6.25" style="331"/>
    <col min="1793" max="1795" width="12.25" style="331" customWidth="1"/>
    <col min="1796" max="1796" width="43.625" style="331" customWidth="1"/>
    <col min="1797" max="1797" width="8.25" style="331" customWidth="1"/>
    <col min="1798" max="1800" width="12.25" style="331" customWidth="1"/>
    <col min="1801" max="2048" width="6.25" style="331"/>
    <col min="2049" max="2051" width="12.25" style="331" customWidth="1"/>
    <col min="2052" max="2052" width="43.625" style="331" customWidth="1"/>
    <col min="2053" max="2053" width="8.25" style="331" customWidth="1"/>
    <col min="2054" max="2056" width="12.25" style="331" customWidth="1"/>
    <col min="2057" max="2304" width="6.25" style="331"/>
    <col min="2305" max="2307" width="12.25" style="331" customWidth="1"/>
    <col min="2308" max="2308" width="43.625" style="331" customWidth="1"/>
    <col min="2309" max="2309" width="8.25" style="331" customWidth="1"/>
    <col min="2310" max="2312" width="12.25" style="331" customWidth="1"/>
    <col min="2313" max="2560" width="6.25" style="331"/>
    <col min="2561" max="2563" width="12.25" style="331" customWidth="1"/>
    <col min="2564" max="2564" width="43.625" style="331" customWidth="1"/>
    <col min="2565" max="2565" width="8.25" style="331" customWidth="1"/>
    <col min="2566" max="2568" width="12.25" style="331" customWidth="1"/>
    <col min="2569" max="2816" width="6.25" style="331"/>
    <col min="2817" max="2819" width="12.25" style="331" customWidth="1"/>
    <col min="2820" max="2820" width="43.625" style="331" customWidth="1"/>
    <col min="2821" max="2821" width="8.25" style="331" customWidth="1"/>
    <col min="2822" max="2824" width="12.25" style="331" customWidth="1"/>
    <col min="2825" max="3072" width="6.25" style="331"/>
    <col min="3073" max="3075" width="12.25" style="331" customWidth="1"/>
    <col min="3076" max="3076" width="43.625" style="331" customWidth="1"/>
    <col min="3077" max="3077" width="8.25" style="331" customWidth="1"/>
    <col min="3078" max="3080" width="12.25" style="331" customWidth="1"/>
    <col min="3081" max="3328" width="6.25" style="331"/>
    <col min="3329" max="3331" width="12.25" style="331" customWidth="1"/>
    <col min="3332" max="3332" width="43.625" style="331" customWidth="1"/>
    <col min="3333" max="3333" width="8.25" style="331" customWidth="1"/>
    <col min="3334" max="3336" width="12.25" style="331" customWidth="1"/>
    <col min="3337" max="3584" width="6.25" style="331"/>
    <col min="3585" max="3587" width="12.25" style="331" customWidth="1"/>
    <col min="3588" max="3588" width="43.625" style="331" customWidth="1"/>
    <col min="3589" max="3589" width="8.25" style="331" customWidth="1"/>
    <col min="3590" max="3592" width="12.25" style="331" customWidth="1"/>
    <col min="3593" max="3840" width="6.25" style="331"/>
    <col min="3841" max="3843" width="12.25" style="331" customWidth="1"/>
    <col min="3844" max="3844" width="43.625" style="331" customWidth="1"/>
    <col min="3845" max="3845" width="8.25" style="331" customWidth="1"/>
    <col min="3846" max="3848" width="12.25" style="331" customWidth="1"/>
    <col min="3849" max="4096" width="6.25" style="331"/>
    <col min="4097" max="4099" width="12.25" style="331" customWidth="1"/>
    <col min="4100" max="4100" width="43.625" style="331" customWidth="1"/>
    <col min="4101" max="4101" width="8.25" style="331" customWidth="1"/>
    <col min="4102" max="4104" width="12.25" style="331" customWidth="1"/>
    <col min="4105" max="4352" width="6.25" style="331"/>
    <col min="4353" max="4355" width="12.25" style="331" customWidth="1"/>
    <col min="4356" max="4356" width="43.625" style="331" customWidth="1"/>
    <col min="4357" max="4357" width="8.25" style="331" customWidth="1"/>
    <col min="4358" max="4360" width="12.25" style="331" customWidth="1"/>
    <col min="4361" max="4608" width="6.25" style="331"/>
    <col min="4609" max="4611" width="12.25" style="331" customWidth="1"/>
    <col min="4612" max="4612" width="43.625" style="331" customWidth="1"/>
    <col min="4613" max="4613" width="8.25" style="331" customWidth="1"/>
    <col min="4614" max="4616" width="12.25" style="331" customWidth="1"/>
    <col min="4617" max="4864" width="6.25" style="331"/>
    <col min="4865" max="4867" width="12.25" style="331" customWidth="1"/>
    <col min="4868" max="4868" width="43.625" style="331" customWidth="1"/>
    <col min="4869" max="4869" width="8.25" style="331" customWidth="1"/>
    <col min="4870" max="4872" width="12.25" style="331" customWidth="1"/>
    <col min="4873" max="5120" width="6.25" style="331"/>
    <col min="5121" max="5123" width="12.25" style="331" customWidth="1"/>
    <col min="5124" max="5124" width="43.625" style="331" customWidth="1"/>
    <col min="5125" max="5125" width="8.25" style="331" customWidth="1"/>
    <col min="5126" max="5128" width="12.25" style="331" customWidth="1"/>
    <col min="5129" max="5376" width="6.25" style="331"/>
    <col min="5377" max="5379" width="12.25" style="331" customWidth="1"/>
    <col min="5380" max="5380" width="43.625" style="331" customWidth="1"/>
    <col min="5381" max="5381" width="8.25" style="331" customWidth="1"/>
    <col min="5382" max="5384" width="12.25" style="331" customWidth="1"/>
    <col min="5385" max="5632" width="6.25" style="331"/>
    <col min="5633" max="5635" width="12.25" style="331" customWidth="1"/>
    <col min="5636" max="5636" width="43.625" style="331" customWidth="1"/>
    <col min="5637" max="5637" width="8.25" style="331" customWidth="1"/>
    <col min="5638" max="5640" width="12.25" style="331" customWidth="1"/>
    <col min="5641" max="5888" width="6.25" style="331"/>
    <col min="5889" max="5891" width="12.25" style="331" customWidth="1"/>
    <col min="5892" max="5892" width="43.625" style="331" customWidth="1"/>
    <col min="5893" max="5893" width="8.25" style="331" customWidth="1"/>
    <col min="5894" max="5896" width="12.25" style="331" customWidth="1"/>
    <col min="5897" max="6144" width="6.25" style="331"/>
    <col min="6145" max="6147" width="12.25" style="331" customWidth="1"/>
    <col min="6148" max="6148" width="43.625" style="331" customWidth="1"/>
    <col min="6149" max="6149" width="8.25" style="331" customWidth="1"/>
    <col min="6150" max="6152" width="12.25" style="331" customWidth="1"/>
    <col min="6153" max="6400" width="6.25" style="331"/>
    <col min="6401" max="6403" width="12.25" style="331" customWidth="1"/>
    <col min="6404" max="6404" width="43.625" style="331" customWidth="1"/>
    <col min="6405" max="6405" width="8.25" style="331" customWidth="1"/>
    <col min="6406" max="6408" width="12.25" style="331" customWidth="1"/>
    <col min="6409" max="6656" width="6.25" style="331"/>
    <col min="6657" max="6659" width="12.25" style="331" customWidth="1"/>
    <col min="6660" max="6660" width="43.625" style="331" customWidth="1"/>
    <col min="6661" max="6661" width="8.25" style="331" customWidth="1"/>
    <col min="6662" max="6664" width="12.25" style="331" customWidth="1"/>
    <col min="6665" max="6912" width="6.25" style="331"/>
    <col min="6913" max="6915" width="12.25" style="331" customWidth="1"/>
    <col min="6916" max="6916" width="43.625" style="331" customWidth="1"/>
    <col min="6917" max="6917" width="8.25" style="331" customWidth="1"/>
    <col min="6918" max="6920" width="12.25" style="331" customWidth="1"/>
    <col min="6921" max="7168" width="6.25" style="331"/>
    <col min="7169" max="7171" width="12.25" style="331" customWidth="1"/>
    <col min="7172" max="7172" width="43.625" style="331" customWidth="1"/>
    <col min="7173" max="7173" width="8.25" style="331" customWidth="1"/>
    <col min="7174" max="7176" width="12.25" style="331" customWidth="1"/>
    <col min="7177" max="7424" width="6.25" style="331"/>
    <col min="7425" max="7427" width="12.25" style="331" customWidth="1"/>
    <col min="7428" max="7428" width="43.625" style="331" customWidth="1"/>
    <col min="7429" max="7429" width="8.25" style="331" customWidth="1"/>
    <col min="7430" max="7432" width="12.25" style="331" customWidth="1"/>
    <col min="7433" max="7680" width="6.25" style="331"/>
    <col min="7681" max="7683" width="12.25" style="331" customWidth="1"/>
    <col min="7684" max="7684" width="43.625" style="331" customWidth="1"/>
    <col min="7685" max="7685" width="8.25" style="331" customWidth="1"/>
    <col min="7686" max="7688" width="12.25" style="331" customWidth="1"/>
    <col min="7689" max="7936" width="6.25" style="331"/>
    <col min="7937" max="7939" width="12.25" style="331" customWidth="1"/>
    <col min="7940" max="7940" width="43.625" style="331" customWidth="1"/>
    <col min="7941" max="7941" width="8.25" style="331" customWidth="1"/>
    <col min="7942" max="7944" width="12.25" style="331" customWidth="1"/>
    <col min="7945" max="8192" width="6.25" style="331"/>
    <col min="8193" max="8195" width="12.25" style="331" customWidth="1"/>
    <col min="8196" max="8196" width="43.625" style="331" customWidth="1"/>
    <col min="8197" max="8197" width="8.25" style="331" customWidth="1"/>
    <col min="8198" max="8200" width="12.25" style="331" customWidth="1"/>
    <col min="8201" max="8448" width="6.25" style="331"/>
    <col min="8449" max="8451" width="12.25" style="331" customWidth="1"/>
    <col min="8452" max="8452" width="43.625" style="331" customWidth="1"/>
    <col min="8453" max="8453" width="8.25" style="331" customWidth="1"/>
    <col min="8454" max="8456" width="12.25" style="331" customWidth="1"/>
    <col min="8457" max="8704" width="6.25" style="331"/>
    <col min="8705" max="8707" width="12.25" style="331" customWidth="1"/>
    <col min="8708" max="8708" width="43.625" style="331" customWidth="1"/>
    <col min="8709" max="8709" width="8.25" style="331" customWidth="1"/>
    <col min="8710" max="8712" width="12.25" style="331" customWidth="1"/>
    <col min="8713" max="8960" width="6.25" style="331"/>
    <col min="8961" max="8963" width="12.25" style="331" customWidth="1"/>
    <col min="8964" max="8964" width="43.625" style="331" customWidth="1"/>
    <col min="8965" max="8965" width="8.25" style="331" customWidth="1"/>
    <col min="8966" max="8968" width="12.25" style="331" customWidth="1"/>
    <col min="8969" max="9216" width="6.25" style="331"/>
    <col min="9217" max="9219" width="12.25" style="331" customWidth="1"/>
    <col min="9220" max="9220" width="43.625" style="331" customWidth="1"/>
    <col min="9221" max="9221" width="8.25" style="331" customWidth="1"/>
    <col min="9222" max="9224" width="12.25" style="331" customWidth="1"/>
    <col min="9225" max="9472" width="6.25" style="331"/>
    <col min="9473" max="9475" width="12.25" style="331" customWidth="1"/>
    <col min="9476" max="9476" width="43.625" style="331" customWidth="1"/>
    <col min="9477" max="9477" width="8.25" style="331" customWidth="1"/>
    <col min="9478" max="9480" width="12.25" style="331" customWidth="1"/>
    <col min="9481" max="9728" width="6.25" style="331"/>
    <col min="9729" max="9731" width="12.25" style="331" customWidth="1"/>
    <col min="9732" max="9732" width="43.625" style="331" customWidth="1"/>
    <col min="9733" max="9733" width="8.25" style="331" customWidth="1"/>
    <col min="9734" max="9736" width="12.25" style="331" customWidth="1"/>
    <col min="9737" max="9984" width="6.25" style="331"/>
    <col min="9985" max="9987" width="12.25" style="331" customWidth="1"/>
    <col min="9988" max="9988" width="43.625" style="331" customWidth="1"/>
    <col min="9989" max="9989" width="8.25" style="331" customWidth="1"/>
    <col min="9990" max="9992" width="12.25" style="331" customWidth="1"/>
    <col min="9993" max="10240" width="6.25" style="331"/>
    <col min="10241" max="10243" width="12.25" style="331" customWidth="1"/>
    <col min="10244" max="10244" width="43.625" style="331" customWidth="1"/>
    <col min="10245" max="10245" width="8.25" style="331" customWidth="1"/>
    <col min="10246" max="10248" width="12.25" style="331" customWidth="1"/>
    <col min="10249" max="10496" width="6.25" style="331"/>
    <col min="10497" max="10499" width="12.25" style="331" customWidth="1"/>
    <col min="10500" max="10500" width="43.625" style="331" customWidth="1"/>
    <col min="10501" max="10501" width="8.25" style="331" customWidth="1"/>
    <col min="10502" max="10504" width="12.25" style="331" customWidth="1"/>
    <col min="10505" max="10752" width="6.25" style="331"/>
    <col min="10753" max="10755" width="12.25" style="331" customWidth="1"/>
    <col min="10756" max="10756" width="43.625" style="331" customWidth="1"/>
    <col min="10757" max="10757" width="8.25" style="331" customWidth="1"/>
    <col min="10758" max="10760" width="12.25" style="331" customWidth="1"/>
    <col min="10761" max="11008" width="6.25" style="331"/>
    <col min="11009" max="11011" width="12.25" style="331" customWidth="1"/>
    <col min="11012" max="11012" width="43.625" style="331" customWidth="1"/>
    <col min="11013" max="11013" width="8.25" style="331" customWidth="1"/>
    <col min="11014" max="11016" width="12.25" style="331" customWidth="1"/>
    <col min="11017" max="11264" width="6.25" style="331"/>
    <col min="11265" max="11267" width="12.25" style="331" customWidth="1"/>
    <col min="11268" max="11268" width="43.625" style="331" customWidth="1"/>
    <col min="11269" max="11269" width="8.25" style="331" customWidth="1"/>
    <col min="11270" max="11272" width="12.25" style="331" customWidth="1"/>
    <col min="11273" max="11520" width="6.25" style="331"/>
    <col min="11521" max="11523" width="12.25" style="331" customWidth="1"/>
    <col min="11524" max="11524" width="43.625" style="331" customWidth="1"/>
    <col min="11525" max="11525" width="8.25" style="331" customWidth="1"/>
    <col min="11526" max="11528" width="12.25" style="331" customWidth="1"/>
    <col min="11529" max="11776" width="6.25" style="331"/>
    <col min="11777" max="11779" width="12.25" style="331" customWidth="1"/>
    <col min="11780" max="11780" width="43.625" style="331" customWidth="1"/>
    <col min="11781" max="11781" width="8.25" style="331" customWidth="1"/>
    <col min="11782" max="11784" width="12.25" style="331" customWidth="1"/>
    <col min="11785" max="12032" width="6.25" style="331"/>
    <col min="12033" max="12035" width="12.25" style="331" customWidth="1"/>
    <col min="12036" max="12036" width="43.625" style="331" customWidth="1"/>
    <col min="12037" max="12037" width="8.25" style="331" customWidth="1"/>
    <col min="12038" max="12040" width="12.25" style="331" customWidth="1"/>
    <col min="12041" max="12288" width="6.25" style="331"/>
    <col min="12289" max="12291" width="12.25" style="331" customWidth="1"/>
    <col min="12292" max="12292" width="43.625" style="331" customWidth="1"/>
    <col min="12293" max="12293" width="8.25" style="331" customWidth="1"/>
    <col min="12294" max="12296" width="12.25" style="331" customWidth="1"/>
    <col min="12297" max="12544" width="6.25" style="331"/>
    <col min="12545" max="12547" width="12.25" style="331" customWidth="1"/>
    <col min="12548" max="12548" width="43.625" style="331" customWidth="1"/>
    <col min="12549" max="12549" width="8.25" style="331" customWidth="1"/>
    <col min="12550" max="12552" width="12.25" style="331" customWidth="1"/>
    <col min="12553" max="12800" width="6.25" style="331"/>
    <col min="12801" max="12803" width="12.25" style="331" customWidth="1"/>
    <col min="12804" max="12804" width="43.625" style="331" customWidth="1"/>
    <col min="12805" max="12805" width="8.25" style="331" customWidth="1"/>
    <col min="12806" max="12808" width="12.25" style="331" customWidth="1"/>
    <col min="12809" max="13056" width="6.25" style="331"/>
    <col min="13057" max="13059" width="12.25" style="331" customWidth="1"/>
    <col min="13060" max="13060" width="43.625" style="331" customWidth="1"/>
    <col min="13061" max="13061" width="8.25" style="331" customWidth="1"/>
    <col min="13062" max="13064" width="12.25" style="331" customWidth="1"/>
    <col min="13065" max="13312" width="6.25" style="331"/>
    <col min="13313" max="13315" width="12.25" style="331" customWidth="1"/>
    <col min="13316" max="13316" width="43.625" style="331" customWidth="1"/>
    <col min="13317" max="13317" width="8.25" style="331" customWidth="1"/>
    <col min="13318" max="13320" width="12.25" style="331" customWidth="1"/>
    <col min="13321" max="13568" width="6.25" style="331"/>
    <col min="13569" max="13571" width="12.25" style="331" customWidth="1"/>
    <col min="13572" max="13572" width="43.625" style="331" customWidth="1"/>
    <col min="13573" max="13573" width="8.25" style="331" customWidth="1"/>
    <col min="13574" max="13576" width="12.25" style="331" customWidth="1"/>
    <col min="13577" max="13824" width="6.25" style="331"/>
    <col min="13825" max="13827" width="12.25" style="331" customWidth="1"/>
    <col min="13828" max="13828" width="43.625" style="331" customWidth="1"/>
    <col min="13829" max="13829" width="8.25" style="331" customWidth="1"/>
    <col min="13830" max="13832" width="12.25" style="331" customWidth="1"/>
    <col min="13833" max="14080" width="6.25" style="331"/>
    <col min="14081" max="14083" width="12.25" style="331" customWidth="1"/>
    <col min="14084" max="14084" width="43.625" style="331" customWidth="1"/>
    <col min="14085" max="14085" width="8.25" style="331" customWidth="1"/>
    <col min="14086" max="14088" width="12.25" style="331" customWidth="1"/>
    <col min="14089" max="14336" width="6.25" style="331"/>
    <col min="14337" max="14339" width="12.25" style="331" customWidth="1"/>
    <col min="14340" max="14340" width="43.625" style="331" customWidth="1"/>
    <col min="14341" max="14341" width="8.25" style="331" customWidth="1"/>
    <col min="14342" max="14344" width="12.25" style="331" customWidth="1"/>
    <col min="14345" max="14592" width="6.25" style="331"/>
    <col min="14593" max="14595" width="12.25" style="331" customWidth="1"/>
    <col min="14596" max="14596" width="43.625" style="331" customWidth="1"/>
    <col min="14597" max="14597" width="8.25" style="331" customWidth="1"/>
    <col min="14598" max="14600" width="12.25" style="331" customWidth="1"/>
    <col min="14601" max="14848" width="6.25" style="331"/>
    <col min="14849" max="14851" width="12.25" style="331" customWidth="1"/>
    <col min="14852" max="14852" width="43.625" style="331" customWidth="1"/>
    <col min="14853" max="14853" width="8.25" style="331" customWidth="1"/>
    <col min="14854" max="14856" width="12.25" style="331" customWidth="1"/>
    <col min="14857" max="15104" width="6.25" style="331"/>
    <col min="15105" max="15107" width="12.25" style="331" customWidth="1"/>
    <col min="15108" max="15108" width="43.625" style="331" customWidth="1"/>
    <col min="15109" max="15109" width="8.25" style="331" customWidth="1"/>
    <col min="15110" max="15112" width="12.25" style="331" customWidth="1"/>
    <col min="15113" max="15360" width="6.25" style="331"/>
    <col min="15361" max="15363" width="12.25" style="331" customWidth="1"/>
    <col min="15364" max="15364" width="43.625" style="331" customWidth="1"/>
    <col min="15365" max="15365" width="8.25" style="331" customWidth="1"/>
    <col min="15366" max="15368" width="12.25" style="331" customWidth="1"/>
    <col min="15369" max="15616" width="6.25" style="331"/>
    <col min="15617" max="15619" width="12.25" style="331" customWidth="1"/>
    <col min="15620" max="15620" width="43.625" style="331" customWidth="1"/>
    <col min="15621" max="15621" width="8.25" style="331" customWidth="1"/>
    <col min="15622" max="15624" width="12.25" style="331" customWidth="1"/>
    <col min="15625" max="15872" width="6.25" style="331"/>
    <col min="15873" max="15875" width="12.25" style="331" customWidth="1"/>
    <col min="15876" max="15876" width="43.625" style="331" customWidth="1"/>
    <col min="15877" max="15877" width="8.25" style="331" customWidth="1"/>
    <col min="15878" max="15880" width="12.25" style="331" customWidth="1"/>
    <col min="15881" max="16128" width="6.25" style="331"/>
    <col min="16129" max="16131" width="12.25" style="331" customWidth="1"/>
    <col min="16132" max="16132" width="43.625" style="331" customWidth="1"/>
    <col min="16133" max="16133" width="8.25" style="331" customWidth="1"/>
    <col min="16134" max="16136" width="12.25" style="331" customWidth="1"/>
    <col min="16137" max="16384" width="6.25" style="331"/>
  </cols>
  <sheetData>
    <row r="1" spans="1:8" ht="15" customHeight="1">
      <c r="A1" s="331" t="s">
        <v>0</v>
      </c>
      <c r="B1" s="331" t="s">
        <v>1</v>
      </c>
      <c r="C1" s="331" t="s">
        <v>2</v>
      </c>
      <c r="D1" s="331" t="s">
        <v>3</v>
      </c>
      <c r="E1" s="332" t="s">
        <v>4</v>
      </c>
      <c r="F1" s="417" t="s">
        <v>5</v>
      </c>
      <c r="G1" s="417" t="s">
        <v>6</v>
      </c>
      <c r="H1" s="417" t="s">
        <v>7</v>
      </c>
    </row>
    <row r="2" spans="1:8" ht="15" customHeight="1">
      <c r="A2" s="331" t="s">
        <v>55</v>
      </c>
      <c r="F2" s="417"/>
      <c r="G2" s="417"/>
      <c r="H2" s="417"/>
    </row>
    <row r="3" spans="1:8" ht="15" customHeight="1">
      <c r="A3" s="331" t="s">
        <v>9</v>
      </c>
      <c r="B3" s="331" t="s">
        <v>9</v>
      </c>
      <c r="C3" s="331" t="s">
        <v>9</v>
      </c>
      <c r="D3" s="331" t="s">
        <v>10</v>
      </c>
      <c r="E3" s="332" t="s">
        <v>9</v>
      </c>
      <c r="F3" s="417">
        <v>0</v>
      </c>
      <c r="G3" s="417">
        <v>0</v>
      </c>
      <c r="H3" s="417">
        <v>2577038.86</v>
      </c>
    </row>
    <row r="4" spans="1:8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2" t="s">
        <v>9</v>
      </c>
      <c r="F4" s="417">
        <v>0</v>
      </c>
      <c r="G4" s="417">
        <v>155765.76999999999</v>
      </c>
      <c r="H4" s="417">
        <v>2421273.09</v>
      </c>
    </row>
    <row r="5" spans="1:8" ht="15" customHeight="1">
      <c r="A5" s="331" t="s">
        <v>11</v>
      </c>
      <c r="B5" s="331" t="s">
        <v>12</v>
      </c>
      <c r="C5" s="331" t="s">
        <v>13</v>
      </c>
      <c r="D5" s="331" t="s">
        <v>56</v>
      </c>
      <c r="E5" s="332" t="s">
        <v>9</v>
      </c>
      <c r="F5" s="417">
        <v>0</v>
      </c>
      <c r="G5" s="417">
        <v>312388.52</v>
      </c>
      <c r="H5" s="417">
        <v>2108884.5699999998</v>
      </c>
    </row>
    <row r="6" spans="1:8" ht="15" customHeight="1">
      <c r="A6" s="331" t="s">
        <v>11</v>
      </c>
      <c r="B6" s="331" t="s">
        <v>12</v>
      </c>
      <c r="C6" s="331" t="s">
        <v>13</v>
      </c>
      <c r="D6" s="331" t="s">
        <v>15</v>
      </c>
      <c r="E6" s="332" t="s">
        <v>9</v>
      </c>
      <c r="F6" s="417">
        <v>0</v>
      </c>
      <c r="G6" s="417">
        <v>17696.490000000002</v>
      </c>
      <c r="H6" s="417">
        <v>2091188.08</v>
      </c>
    </row>
    <row r="7" spans="1:8" ht="15" customHeight="1">
      <c r="A7" s="331" t="s">
        <v>11</v>
      </c>
      <c r="B7" s="331" t="s">
        <v>12</v>
      </c>
      <c r="C7" s="331" t="s">
        <v>13</v>
      </c>
      <c r="D7" s="331" t="s">
        <v>15</v>
      </c>
      <c r="E7" s="332" t="s">
        <v>9</v>
      </c>
      <c r="F7" s="417">
        <v>0</v>
      </c>
      <c r="G7" s="417">
        <v>55899.519999999997</v>
      </c>
      <c r="H7" s="417">
        <v>2035288.56</v>
      </c>
    </row>
    <row r="8" spans="1:8" ht="15" customHeight="1">
      <c r="A8" s="331" t="s">
        <v>11</v>
      </c>
      <c r="B8" s="331" t="s">
        <v>12</v>
      </c>
      <c r="C8" s="331" t="s">
        <v>13</v>
      </c>
      <c r="D8" s="331" t="s">
        <v>57</v>
      </c>
      <c r="E8" s="332" t="s">
        <v>9</v>
      </c>
      <c r="F8" s="417">
        <v>0</v>
      </c>
      <c r="G8" s="417">
        <v>67687.75</v>
      </c>
      <c r="H8" s="417">
        <v>1967600.81</v>
      </c>
    </row>
    <row r="9" spans="1:8" ht="15" customHeight="1">
      <c r="A9" s="331" t="s">
        <v>58</v>
      </c>
      <c r="B9" s="331" t="s">
        <v>59</v>
      </c>
      <c r="C9" s="331" t="s">
        <v>60</v>
      </c>
      <c r="D9" s="331" t="s">
        <v>61</v>
      </c>
      <c r="E9" s="332" t="s">
        <v>9</v>
      </c>
      <c r="F9" s="417">
        <v>0</v>
      </c>
      <c r="G9" s="417">
        <v>18000</v>
      </c>
      <c r="H9" s="417">
        <v>1949600.81</v>
      </c>
    </row>
    <row r="10" spans="1:8" ht="15" customHeight="1">
      <c r="A10" s="331" t="s">
        <v>62</v>
      </c>
      <c r="B10" s="331" t="s">
        <v>63</v>
      </c>
      <c r="C10" s="331" t="s">
        <v>64</v>
      </c>
      <c r="D10" s="331" t="s">
        <v>65</v>
      </c>
      <c r="E10" s="332" t="s">
        <v>9</v>
      </c>
      <c r="F10" s="417">
        <v>0</v>
      </c>
      <c r="G10" s="417">
        <v>9450</v>
      </c>
      <c r="H10" s="417">
        <v>1940150.81</v>
      </c>
    </row>
    <row r="11" spans="1:8" ht="15" customHeight="1">
      <c r="A11" s="331" t="s">
        <v>66</v>
      </c>
      <c r="B11" s="331" t="s">
        <v>67</v>
      </c>
      <c r="C11" s="331" t="s">
        <v>68</v>
      </c>
      <c r="D11" s="331" t="s">
        <v>65</v>
      </c>
      <c r="E11" s="332" t="s">
        <v>9</v>
      </c>
      <c r="F11" s="417">
        <v>0</v>
      </c>
      <c r="G11" s="417">
        <v>9450</v>
      </c>
      <c r="H11" s="417">
        <v>1930700.81</v>
      </c>
    </row>
    <row r="12" spans="1:8" ht="15" customHeight="1">
      <c r="A12" s="331" t="s">
        <v>69</v>
      </c>
      <c r="B12" s="331" t="s">
        <v>70</v>
      </c>
      <c r="C12" s="331" t="s">
        <v>71</v>
      </c>
      <c r="D12" s="331" t="s">
        <v>72</v>
      </c>
      <c r="E12" s="332" t="s">
        <v>9</v>
      </c>
      <c r="F12" s="417">
        <v>0</v>
      </c>
      <c r="G12" s="417">
        <v>17360</v>
      </c>
      <c r="H12" s="417">
        <v>1913340.81</v>
      </c>
    </row>
    <row r="13" spans="1:8" ht="15" customHeight="1">
      <c r="A13" s="331" t="s">
        <v>73</v>
      </c>
      <c r="B13" s="331" t="s">
        <v>74</v>
      </c>
      <c r="C13" s="331" t="s">
        <v>75</v>
      </c>
      <c r="D13" s="331" t="s">
        <v>76</v>
      </c>
      <c r="E13" s="332" t="s">
        <v>9</v>
      </c>
      <c r="F13" s="417">
        <v>0</v>
      </c>
      <c r="G13" s="417">
        <v>8834.39</v>
      </c>
      <c r="H13" s="417">
        <v>1904506.42</v>
      </c>
    </row>
    <row r="14" spans="1:8" ht="15" customHeight="1">
      <c r="A14" s="331" t="s">
        <v>77</v>
      </c>
      <c r="B14" s="331" t="s">
        <v>78</v>
      </c>
      <c r="C14" s="331" t="s">
        <v>79</v>
      </c>
      <c r="D14" s="331" t="s">
        <v>80</v>
      </c>
      <c r="E14" s="332" t="s">
        <v>9</v>
      </c>
      <c r="F14" s="417">
        <v>0</v>
      </c>
      <c r="G14" s="417">
        <v>18284.39</v>
      </c>
      <c r="H14" s="417">
        <v>1886222.03</v>
      </c>
    </row>
    <row r="15" spans="1:8" ht="15" customHeight="1">
      <c r="A15" s="331" t="s">
        <v>81</v>
      </c>
      <c r="B15" s="331" t="s">
        <v>82</v>
      </c>
      <c r="C15" s="331" t="s">
        <v>83</v>
      </c>
      <c r="D15" s="331" t="s">
        <v>84</v>
      </c>
      <c r="E15" s="332" t="s">
        <v>9</v>
      </c>
      <c r="F15" s="417">
        <v>13709.36</v>
      </c>
      <c r="G15" s="417">
        <v>0</v>
      </c>
      <c r="H15" s="417">
        <v>1899931.39</v>
      </c>
    </row>
    <row r="16" spans="1:8" ht="15" customHeight="1">
      <c r="A16" s="331" t="s">
        <v>85</v>
      </c>
      <c r="B16" s="331" t="s">
        <v>86</v>
      </c>
      <c r="C16" s="331" t="s">
        <v>87</v>
      </c>
      <c r="D16" s="331" t="s">
        <v>72</v>
      </c>
      <c r="E16" s="332" t="s">
        <v>9</v>
      </c>
      <c r="F16" s="417">
        <v>0</v>
      </c>
      <c r="G16" s="417">
        <v>17360</v>
      </c>
      <c r="H16" s="417">
        <v>1882571.39</v>
      </c>
    </row>
    <row r="17" spans="1:8" ht="15" customHeight="1">
      <c r="A17" s="331" t="s">
        <v>85</v>
      </c>
      <c r="B17" s="331" t="s">
        <v>88</v>
      </c>
      <c r="C17" s="331" t="s">
        <v>89</v>
      </c>
      <c r="D17" s="331" t="s">
        <v>65</v>
      </c>
      <c r="E17" s="332" t="s">
        <v>9</v>
      </c>
      <c r="F17" s="417">
        <v>0</v>
      </c>
      <c r="G17" s="417">
        <v>9450</v>
      </c>
      <c r="H17" s="417">
        <v>1873121.39</v>
      </c>
    </row>
    <row r="18" spans="1:8" ht="15" customHeight="1">
      <c r="A18" s="331" t="s">
        <v>90</v>
      </c>
      <c r="B18" s="331" t="s">
        <v>91</v>
      </c>
      <c r="C18" s="331" t="s">
        <v>92</v>
      </c>
      <c r="D18" s="331" t="s">
        <v>76</v>
      </c>
      <c r="E18" s="332" t="s">
        <v>9</v>
      </c>
      <c r="F18" s="417">
        <v>0</v>
      </c>
      <c r="G18" s="417">
        <v>17668.78</v>
      </c>
      <c r="H18" s="417">
        <v>1855452.61</v>
      </c>
    </row>
    <row r="19" spans="1:8" ht="15" customHeight="1">
      <c r="A19" s="331" t="s">
        <v>93</v>
      </c>
      <c r="B19" s="331" t="s">
        <v>94</v>
      </c>
      <c r="C19" s="331" t="s">
        <v>95</v>
      </c>
      <c r="D19" s="331" t="s">
        <v>76</v>
      </c>
      <c r="E19" s="332" t="s">
        <v>9</v>
      </c>
      <c r="F19" s="417">
        <v>0</v>
      </c>
      <c r="G19" s="417">
        <v>17581.2</v>
      </c>
      <c r="H19" s="417">
        <v>1837871.41</v>
      </c>
    </row>
    <row r="20" spans="1:8" ht="15" customHeight="1">
      <c r="A20" s="331" t="s">
        <v>96</v>
      </c>
      <c r="B20" s="331" t="s">
        <v>97</v>
      </c>
      <c r="C20" s="331" t="s">
        <v>98</v>
      </c>
      <c r="D20" s="331" t="s">
        <v>99</v>
      </c>
      <c r="E20" s="332" t="s">
        <v>9</v>
      </c>
      <c r="F20" s="417">
        <v>1290101.81</v>
      </c>
      <c r="G20" s="417">
        <v>0</v>
      </c>
      <c r="H20" s="417">
        <v>3127973.22</v>
      </c>
    </row>
    <row r="21" spans="1:8" ht="15" customHeight="1">
      <c r="A21" s="331" t="s">
        <v>100</v>
      </c>
      <c r="B21" s="331" t="s">
        <v>101</v>
      </c>
      <c r="C21" s="331" t="s">
        <v>102</v>
      </c>
      <c r="D21" s="331" t="s">
        <v>103</v>
      </c>
      <c r="E21" s="332" t="s">
        <v>9</v>
      </c>
      <c r="F21" s="417">
        <v>0</v>
      </c>
      <c r="G21" s="417">
        <v>26150.6</v>
      </c>
      <c r="H21" s="417">
        <v>3101822.62</v>
      </c>
    </row>
    <row r="22" spans="1:8" ht="15" customHeight="1">
      <c r="A22" s="331" t="s">
        <v>104</v>
      </c>
      <c r="B22" s="331" t="s">
        <v>105</v>
      </c>
      <c r="C22" s="331" t="s">
        <v>106</v>
      </c>
      <c r="D22" s="331" t="s">
        <v>76</v>
      </c>
      <c r="E22" s="332" t="s">
        <v>9</v>
      </c>
      <c r="F22" s="417">
        <v>0</v>
      </c>
      <c r="G22" s="417">
        <v>17581.2</v>
      </c>
      <c r="H22" s="417">
        <v>3084241.42</v>
      </c>
    </row>
    <row r="23" spans="1:8" ht="15" customHeight="1">
      <c r="A23" s="331" t="s">
        <v>16</v>
      </c>
      <c r="B23" s="331" t="s">
        <v>107</v>
      </c>
      <c r="C23" s="331" t="s">
        <v>108</v>
      </c>
      <c r="D23" s="331" t="s">
        <v>109</v>
      </c>
      <c r="E23" s="332" t="s">
        <v>9</v>
      </c>
      <c r="F23" s="417">
        <v>187170.56</v>
      </c>
      <c r="G23" s="417">
        <v>0</v>
      </c>
      <c r="H23" s="417">
        <v>3271411.98</v>
      </c>
    </row>
    <row r="24" spans="1:8" ht="15" customHeight="1">
      <c r="A24" s="331" t="s">
        <v>16</v>
      </c>
      <c r="B24" s="331" t="s">
        <v>107</v>
      </c>
      <c r="C24" s="331" t="s">
        <v>108</v>
      </c>
      <c r="D24" s="331" t="s">
        <v>110</v>
      </c>
      <c r="E24" s="332" t="s">
        <v>9</v>
      </c>
      <c r="F24" s="417">
        <v>2296974.41</v>
      </c>
      <c r="G24" s="417">
        <v>0</v>
      </c>
      <c r="H24" s="417">
        <v>5568386.3899999997</v>
      </c>
    </row>
    <row r="25" spans="1:8" ht="15" customHeight="1">
      <c r="A25" s="331" t="s">
        <v>16</v>
      </c>
      <c r="B25" s="331" t="s">
        <v>107</v>
      </c>
      <c r="C25" s="331" t="s">
        <v>108</v>
      </c>
      <c r="D25" s="331" t="s">
        <v>111</v>
      </c>
      <c r="E25" s="332" t="s">
        <v>9</v>
      </c>
      <c r="F25" s="417">
        <v>14000</v>
      </c>
      <c r="G25" s="417">
        <v>0</v>
      </c>
      <c r="H25" s="417">
        <v>5582386.3899999997</v>
      </c>
    </row>
    <row r="26" spans="1:8" ht="15" customHeight="1">
      <c r="A26" s="331" t="s">
        <v>16</v>
      </c>
      <c r="B26" s="331" t="s">
        <v>107</v>
      </c>
      <c r="C26" s="331" t="s">
        <v>108</v>
      </c>
      <c r="D26" s="331" t="s">
        <v>112</v>
      </c>
      <c r="E26" s="332" t="s">
        <v>9</v>
      </c>
      <c r="F26" s="417">
        <v>0</v>
      </c>
      <c r="G26" s="417">
        <v>250162.24</v>
      </c>
      <c r="H26" s="417">
        <v>5332224.1500000004</v>
      </c>
    </row>
    <row r="27" spans="1:8" ht="15" customHeight="1">
      <c r="A27" s="331" t="s">
        <v>16</v>
      </c>
      <c r="B27" s="331" t="s">
        <v>107</v>
      </c>
      <c r="C27" s="331" t="s">
        <v>108</v>
      </c>
      <c r="D27" s="331" t="s">
        <v>113</v>
      </c>
      <c r="E27" s="332" t="s">
        <v>9</v>
      </c>
      <c r="F27" s="417">
        <v>33988.050000000003</v>
      </c>
      <c r="G27" s="417">
        <v>0</v>
      </c>
      <c r="H27" s="417">
        <v>5366212.2</v>
      </c>
    </row>
    <row r="28" spans="1:8" ht="15" customHeight="1">
      <c r="A28" s="331" t="s">
        <v>16</v>
      </c>
      <c r="B28" s="331" t="s">
        <v>25</v>
      </c>
      <c r="C28" s="331" t="s">
        <v>26</v>
      </c>
      <c r="D28" s="331" t="s">
        <v>27</v>
      </c>
      <c r="E28" s="332" t="s">
        <v>9</v>
      </c>
      <c r="F28" s="417">
        <v>179860.14</v>
      </c>
      <c r="G28" s="417">
        <v>0</v>
      </c>
      <c r="H28" s="417">
        <v>5546072.3399999999</v>
      </c>
    </row>
    <row r="29" spans="1:8" ht="15" customHeight="1">
      <c r="A29" s="331" t="s">
        <v>16</v>
      </c>
      <c r="B29" s="331" t="s">
        <v>25</v>
      </c>
      <c r="C29" s="331" t="s">
        <v>26</v>
      </c>
      <c r="D29" s="331" t="s">
        <v>114</v>
      </c>
      <c r="E29" s="332" t="s">
        <v>9</v>
      </c>
      <c r="F29" s="417">
        <v>335676.26</v>
      </c>
      <c r="G29" s="417">
        <v>0</v>
      </c>
      <c r="H29" s="417">
        <v>5881748.5999999996</v>
      </c>
    </row>
    <row r="30" spans="1:8" ht="15" customHeight="1">
      <c r="A30" s="331" t="s">
        <v>16</v>
      </c>
      <c r="B30" s="331" t="s">
        <v>25</v>
      </c>
      <c r="C30" s="331" t="s">
        <v>26</v>
      </c>
      <c r="D30" s="331" t="s">
        <v>28</v>
      </c>
      <c r="E30" s="332" t="s">
        <v>9</v>
      </c>
      <c r="F30" s="417">
        <v>32866.019999999997</v>
      </c>
      <c r="G30" s="417">
        <v>0</v>
      </c>
      <c r="H30" s="417">
        <v>5914614.6200000001</v>
      </c>
    </row>
    <row r="31" spans="1:8" ht="15" customHeight="1">
      <c r="A31" s="331" t="s">
        <v>16</v>
      </c>
      <c r="B31" s="331" t="s">
        <v>25</v>
      </c>
      <c r="C31" s="331" t="s">
        <v>26</v>
      </c>
      <c r="D31" s="331" t="s">
        <v>115</v>
      </c>
      <c r="E31" s="332" t="s">
        <v>9</v>
      </c>
      <c r="F31" s="334">
        <v>41966</v>
      </c>
      <c r="G31" s="417">
        <v>0</v>
      </c>
      <c r="H31" s="417">
        <v>5956580.6200000001</v>
      </c>
    </row>
    <row r="32" spans="1:8" ht="15" customHeight="1">
      <c r="A32" s="331" t="s">
        <v>16</v>
      </c>
      <c r="B32" s="331" t="s">
        <v>25</v>
      </c>
      <c r="C32" s="331" t="s">
        <v>26</v>
      </c>
      <c r="D32" s="331" t="s">
        <v>116</v>
      </c>
      <c r="E32" s="332" t="s">
        <v>9</v>
      </c>
      <c r="F32" s="417">
        <v>60233.78</v>
      </c>
      <c r="G32" s="417">
        <v>0</v>
      </c>
      <c r="H32" s="417">
        <v>6016814.4000000004</v>
      </c>
    </row>
    <row r="33" spans="1:8" ht="15" customHeight="1">
      <c r="A33" s="331" t="s">
        <v>16</v>
      </c>
      <c r="B33" s="331" t="s">
        <v>25</v>
      </c>
      <c r="C33" s="331" t="s">
        <v>26</v>
      </c>
      <c r="D33" s="331" t="s">
        <v>117</v>
      </c>
      <c r="E33" s="332" t="s">
        <v>9</v>
      </c>
      <c r="F33" s="417">
        <v>0</v>
      </c>
      <c r="G33" s="417">
        <v>3200898.37</v>
      </c>
      <c r="H33" s="417">
        <v>2815916.03</v>
      </c>
    </row>
    <row r="34" spans="1:8" ht="15" customHeight="1">
      <c r="A34" s="331" t="s">
        <v>16</v>
      </c>
      <c r="B34" s="331" t="s">
        <v>25</v>
      </c>
      <c r="C34" s="331" t="s">
        <v>26</v>
      </c>
      <c r="D34" s="331" t="s">
        <v>117</v>
      </c>
      <c r="E34" s="332" t="s">
        <v>9</v>
      </c>
      <c r="F34" s="417">
        <v>781.78</v>
      </c>
      <c r="G34" s="417">
        <v>0</v>
      </c>
      <c r="H34" s="418">
        <v>2816697.81</v>
      </c>
    </row>
    <row r="35" spans="1:8" ht="15" customHeight="1">
      <c r="E35" s="332" t="s">
        <v>30</v>
      </c>
      <c r="F35" s="417">
        <v>4487328.17</v>
      </c>
      <c r="G35" s="417">
        <v>4247669.22</v>
      </c>
      <c r="H35" s="417"/>
    </row>
    <row r="36" spans="1:8" ht="15" customHeight="1">
      <c r="E36" s="332" t="s">
        <v>31</v>
      </c>
      <c r="F36" s="417">
        <v>4487328.17</v>
      </c>
      <c r="G36" s="417">
        <v>4247669.22</v>
      </c>
      <c r="H36" s="417"/>
    </row>
    <row r="37" spans="1:8" ht="15" customHeight="1">
      <c r="A37" s="331" t="s">
        <v>118</v>
      </c>
      <c r="B37" s="331" t="s">
        <v>33</v>
      </c>
      <c r="F37" s="417"/>
      <c r="G37" s="417"/>
      <c r="H37" s="417"/>
    </row>
    <row r="38" spans="1:8" ht="15" customHeight="1">
      <c r="E38" s="332" t="s">
        <v>119</v>
      </c>
      <c r="F38" s="417">
        <f>F36-F34-F32-F31-F30-F29-F28-F27-F25-F24-F23</f>
        <v>1303811.17</v>
      </c>
      <c r="G38" s="417"/>
      <c r="H38" s="417"/>
    </row>
    <row r="39" spans="1:8" ht="15" customHeight="1">
      <c r="F39" s="417"/>
      <c r="G39" s="417"/>
      <c r="H39" s="417"/>
    </row>
    <row r="40" spans="1:8" ht="15" customHeight="1">
      <c r="F40" s="418" t="s">
        <v>120</v>
      </c>
      <c r="G40" s="418"/>
      <c r="H40" s="418">
        <f>'Che-Store'!BC14</f>
        <v>1641528.1600000001</v>
      </c>
    </row>
    <row r="41" spans="1:8" ht="15" customHeight="1">
      <c r="F41" s="418" t="s">
        <v>121</v>
      </c>
      <c r="G41" s="418"/>
      <c r="H41" s="418">
        <f>'Che-Comp'!BC30</f>
        <v>524568.67000000004</v>
      </c>
    </row>
    <row r="42" spans="1:8" ht="15" customHeight="1">
      <c r="F42" s="335" t="s">
        <v>35</v>
      </c>
      <c r="G42" s="335"/>
      <c r="H42" s="335">
        <f>Used_before_Trf!AB172</f>
        <v>608636.19999999995</v>
      </c>
    </row>
    <row r="43" spans="1:8" ht="15" customHeight="1">
      <c r="F43" s="335" t="s">
        <v>122</v>
      </c>
      <c r="G43" s="335"/>
      <c r="H43" s="335">
        <f>'Che.-Prod'!R18</f>
        <v>41966</v>
      </c>
    </row>
    <row r="44" spans="1:8" ht="15" customHeight="1" thickBot="1">
      <c r="F44" s="335" t="s">
        <v>36</v>
      </c>
      <c r="G44" s="335"/>
      <c r="H44" s="572">
        <f>SUM(H40:H43)</f>
        <v>2816699.0300000003</v>
      </c>
    </row>
    <row r="45" spans="1:8" ht="15" customHeight="1" thickTop="1">
      <c r="F45" s="335" t="s">
        <v>37</v>
      </c>
      <c r="G45" s="335"/>
      <c r="H45" s="335">
        <f>H34-H44</f>
        <v>-1.220000000204891</v>
      </c>
    </row>
    <row r="47" spans="1:8" ht="15" customHeight="1">
      <c r="H47" s="5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3DC4-3BA7-4F64-934C-AEDAD4089E00}">
  <dimension ref="A1:H38"/>
  <sheetViews>
    <sheetView topLeftCell="A16" workbookViewId="0">
      <selection activeCell="J30" sqref="J30"/>
    </sheetView>
  </sheetViews>
  <sheetFormatPr defaultColWidth="6.25" defaultRowHeight="15" customHeight="1"/>
  <cols>
    <col min="1" max="4" width="10.75" style="449" customWidth="1"/>
    <col min="5" max="5" width="16.5" style="449" customWidth="1"/>
    <col min="6" max="6" width="10.25" style="543" bestFit="1" customWidth="1"/>
    <col min="7" max="7" width="9" style="543" bestFit="1" customWidth="1"/>
    <col min="8" max="8" width="12.75" style="543" bestFit="1" customWidth="1"/>
    <col min="9" max="16384" width="6.2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123</v>
      </c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31410908.73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96744.25</v>
      </c>
      <c r="G4" s="543">
        <v>0</v>
      </c>
      <c r="H4" s="543">
        <v>31507652.98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124</v>
      </c>
      <c r="E5" s="449" t="s">
        <v>43</v>
      </c>
      <c r="F5" s="543">
        <v>100662.71</v>
      </c>
      <c r="G5" s="543">
        <v>0</v>
      </c>
      <c r="H5" s="543">
        <v>31608315.690000001</v>
      </c>
    </row>
    <row r="6" spans="1:8" ht="15" customHeight="1">
      <c r="A6" s="449" t="s">
        <v>39</v>
      </c>
      <c r="B6" s="449" t="s">
        <v>40</v>
      </c>
      <c r="C6" s="449" t="s">
        <v>41</v>
      </c>
      <c r="D6" s="449" t="s">
        <v>44</v>
      </c>
      <c r="E6" s="449" t="s">
        <v>43</v>
      </c>
      <c r="F6" s="543">
        <v>13077.43</v>
      </c>
      <c r="G6" s="543">
        <v>0</v>
      </c>
      <c r="H6" s="543">
        <v>31621393.120000001</v>
      </c>
    </row>
    <row r="7" spans="1:8" ht="15" customHeight="1">
      <c r="A7" s="449" t="s">
        <v>39</v>
      </c>
      <c r="B7" s="449" t="s">
        <v>40</v>
      </c>
      <c r="C7" s="449" t="s">
        <v>41</v>
      </c>
      <c r="D7" s="449" t="s">
        <v>44</v>
      </c>
      <c r="E7" s="449" t="s">
        <v>43</v>
      </c>
      <c r="F7" s="543">
        <v>56227.98</v>
      </c>
      <c r="G7" s="543">
        <v>0</v>
      </c>
      <c r="H7" s="543">
        <v>31677621.100000001</v>
      </c>
    </row>
    <row r="8" spans="1:8" ht="15" customHeight="1">
      <c r="A8" s="449" t="s">
        <v>39</v>
      </c>
      <c r="B8" s="449" t="s">
        <v>40</v>
      </c>
      <c r="C8" s="449" t="s">
        <v>41</v>
      </c>
      <c r="D8" s="449" t="s">
        <v>44</v>
      </c>
      <c r="E8" s="449" t="s">
        <v>125</v>
      </c>
      <c r="F8" s="543">
        <v>2879.21</v>
      </c>
      <c r="G8" s="543">
        <v>0</v>
      </c>
      <c r="H8" s="543">
        <v>31680500.309999999</v>
      </c>
    </row>
    <row r="9" spans="1:8" ht="15" customHeight="1">
      <c r="A9" s="449" t="s">
        <v>39</v>
      </c>
      <c r="B9" s="449" t="s">
        <v>40</v>
      </c>
      <c r="C9" s="449" t="s">
        <v>41</v>
      </c>
      <c r="D9" s="449" t="s">
        <v>126</v>
      </c>
      <c r="E9" s="449" t="s">
        <v>125</v>
      </c>
      <c r="F9" s="543">
        <v>14312.4</v>
      </c>
      <c r="G9" s="543">
        <v>0</v>
      </c>
      <c r="H9" s="543">
        <v>31694812.710000001</v>
      </c>
    </row>
    <row r="10" spans="1:8" s="544" customFormat="1" ht="15" customHeight="1">
      <c r="A10" s="544" t="s">
        <v>127</v>
      </c>
      <c r="B10" s="544" t="s">
        <v>128</v>
      </c>
      <c r="C10" s="544" t="s">
        <v>129</v>
      </c>
      <c r="D10" s="544" t="s">
        <v>130</v>
      </c>
      <c r="E10" s="544" t="s">
        <v>125</v>
      </c>
      <c r="F10" s="545">
        <v>34020</v>
      </c>
      <c r="G10" s="545">
        <v>0</v>
      </c>
      <c r="H10" s="545">
        <v>31728832.710000001</v>
      </c>
    </row>
    <row r="11" spans="1:8" ht="15" customHeight="1">
      <c r="A11" s="449" t="s">
        <v>131</v>
      </c>
      <c r="B11" s="449" t="s">
        <v>132</v>
      </c>
      <c r="C11" s="449" t="s">
        <v>133</v>
      </c>
      <c r="D11" s="449" t="s">
        <v>130</v>
      </c>
      <c r="E11" s="449" t="s">
        <v>125</v>
      </c>
      <c r="F11" s="543">
        <v>24570</v>
      </c>
      <c r="G11" s="543">
        <v>0</v>
      </c>
      <c r="H11" s="543">
        <v>31753402.710000001</v>
      </c>
    </row>
    <row r="12" spans="1:8" ht="15" customHeight="1">
      <c r="A12" s="449" t="s">
        <v>134</v>
      </c>
      <c r="B12" s="449" t="s">
        <v>135</v>
      </c>
      <c r="C12" s="449" t="s">
        <v>136</v>
      </c>
      <c r="D12" s="449" t="s">
        <v>65</v>
      </c>
      <c r="E12" s="449" t="s">
        <v>125</v>
      </c>
      <c r="F12" s="543">
        <v>9450</v>
      </c>
      <c r="G12" s="543">
        <v>0</v>
      </c>
      <c r="H12" s="543">
        <v>31762852.710000001</v>
      </c>
    </row>
    <row r="13" spans="1:8" ht="15" customHeight="1">
      <c r="A13" s="449" t="s">
        <v>137</v>
      </c>
      <c r="B13" s="449" t="s">
        <v>138</v>
      </c>
      <c r="C13" s="449" t="s">
        <v>139</v>
      </c>
      <c r="D13" s="449" t="s">
        <v>65</v>
      </c>
      <c r="E13" s="449" t="s">
        <v>125</v>
      </c>
      <c r="F13" s="543">
        <v>9450</v>
      </c>
      <c r="G13" s="543">
        <v>0</v>
      </c>
      <c r="H13" s="543">
        <v>31772302.710000001</v>
      </c>
    </row>
    <row r="14" spans="1:8" ht="15" customHeight="1">
      <c r="A14" s="449" t="s">
        <v>140</v>
      </c>
      <c r="B14" s="449" t="s">
        <v>141</v>
      </c>
      <c r="C14" s="449" t="s">
        <v>142</v>
      </c>
      <c r="D14" s="449" t="s">
        <v>143</v>
      </c>
      <c r="E14" s="449" t="s">
        <v>125</v>
      </c>
      <c r="F14" s="543">
        <v>18900</v>
      </c>
      <c r="G14" s="543">
        <v>0</v>
      </c>
      <c r="H14" s="543">
        <v>31791202.710000001</v>
      </c>
    </row>
    <row r="15" spans="1:8" ht="15" customHeight="1">
      <c r="A15" s="449" t="s">
        <v>144</v>
      </c>
      <c r="B15" s="449" t="s">
        <v>145</v>
      </c>
      <c r="C15" s="449" t="s">
        <v>146</v>
      </c>
      <c r="D15" s="449" t="s">
        <v>130</v>
      </c>
      <c r="E15" s="449" t="s">
        <v>125</v>
      </c>
      <c r="F15" s="543">
        <v>24570</v>
      </c>
      <c r="G15" s="543">
        <v>0</v>
      </c>
      <c r="H15" s="543">
        <v>31815772.710000001</v>
      </c>
    </row>
    <row r="16" spans="1:8" ht="15" customHeight="1">
      <c r="A16" s="449" t="s">
        <v>147</v>
      </c>
      <c r="B16" s="449" t="s">
        <v>148</v>
      </c>
      <c r="C16" s="449" t="s">
        <v>149</v>
      </c>
      <c r="D16" s="449" t="s">
        <v>65</v>
      </c>
      <c r="E16" s="449" t="s">
        <v>125</v>
      </c>
      <c r="F16" s="543">
        <v>9450</v>
      </c>
      <c r="G16" s="543">
        <v>0</v>
      </c>
      <c r="H16" s="543">
        <v>31825222.710000001</v>
      </c>
    </row>
    <row r="17" spans="1:8" ht="15" customHeight="1">
      <c r="A17" s="449" t="s">
        <v>147</v>
      </c>
      <c r="B17" s="449" t="s">
        <v>150</v>
      </c>
      <c r="C17" s="449" t="s">
        <v>151</v>
      </c>
      <c r="D17" s="449" t="s">
        <v>65</v>
      </c>
      <c r="E17" s="449" t="s">
        <v>125</v>
      </c>
      <c r="F17" s="543">
        <v>9450</v>
      </c>
      <c r="G17" s="543">
        <v>0</v>
      </c>
      <c r="H17" s="543">
        <v>31834672.710000001</v>
      </c>
    </row>
    <row r="18" spans="1:8" ht="15" customHeight="1">
      <c r="A18" s="449" t="s">
        <v>152</v>
      </c>
      <c r="B18" s="449" t="s">
        <v>153</v>
      </c>
      <c r="C18" s="449" t="s">
        <v>154</v>
      </c>
      <c r="D18" s="449" t="s">
        <v>65</v>
      </c>
      <c r="E18" s="449" t="s">
        <v>125</v>
      </c>
      <c r="F18" s="543">
        <v>9450</v>
      </c>
      <c r="G18" s="543">
        <v>0</v>
      </c>
      <c r="H18" s="543">
        <v>31844122.710000001</v>
      </c>
    </row>
    <row r="19" spans="1:8" ht="15" customHeight="1">
      <c r="A19" s="449" t="s">
        <v>155</v>
      </c>
      <c r="B19" s="449" t="s">
        <v>156</v>
      </c>
      <c r="C19" s="449" t="s">
        <v>157</v>
      </c>
      <c r="D19" s="449" t="s">
        <v>65</v>
      </c>
      <c r="E19" s="449" t="s">
        <v>125</v>
      </c>
      <c r="F19" s="543">
        <v>18900</v>
      </c>
      <c r="G19" s="543">
        <v>0</v>
      </c>
      <c r="H19" s="543">
        <v>31863022.710000001</v>
      </c>
    </row>
    <row r="20" spans="1:8" ht="15" customHeight="1">
      <c r="A20" s="449" t="s">
        <v>158</v>
      </c>
      <c r="B20" s="449" t="s">
        <v>159</v>
      </c>
      <c r="C20" s="449" t="s">
        <v>160</v>
      </c>
      <c r="D20" s="449" t="s">
        <v>72</v>
      </c>
      <c r="E20" s="449" t="s">
        <v>125</v>
      </c>
      <c r="F20" s="543">
        <v>14784</v>
      </c>
      <c r="G20" s="543">
        <v>0</v>
      </c>
      <c r="H20" s="543">
        <v>31877806.710000001</v>
      </c>
    </row>
    <row r="21" spans="1:8" ht="15" customHeight="1">
      <c r="A21" s="449" t="s">
        <v>45</v>
      </c>
      <c r="B21" s="449" t="s">
        <v>46</v>
      </c>
      <c r="C21" s="449" t="s">
        <v>47</v>
      </c>
      <c r="D21" s="449" t="s">
        <v>48</v>
      </c>
      <c r="E21" s="449" t="s">
        <v>43</v>
      </c>
      <c r="F21" s="543">
        <v>0</v>
      </c>
      <c r="G21" s="543">
        <v>164350.22</v>
      </c>
      <c r="H21" s="543">
        <v>31713456.489999998</v>
      </c>
    </row>
    <row r="22" spans="1:8" ht="15" customHeight="1">
      <c r="A22" s="449" t="s">
        <v>45</v>
      </c>
      <c r="B22" s="449" t="s">
        <v>46</v>
      </c>
      <c r="C22" s="449" t="s">
        <v>47</v>
      </c>
      <c r="D22" s="449" t="s">
        <v>161</v>
      </c>
      <c r="E22" s="449" t="s">
        <v>43</v>
      </c>
      <c r="F22" s="543">
        <v>0</v>
      </c>
      <c r="G22" s="543">
        <v>231272.57</v>
      </c>
      <c r="H22" s="543">
        <v>31482183.920000002</v>
      </c>
    </row>
    <row r="23" spans="1:8" ht="15" customHeight="1">
      <c r="A23" s="449" t="s">
        <v>45</v>
      </c>
      <c r="B23" s="449" t="s">
        <v>46</v>
      </c>
      <c r="C23" s="449" t="s">
        <v>47</v>
      </c>
      <c r="D23" s="449" t="s">
        <v>162</v>
      </c>
      <c r="E23" s="449" t="s">
        <v>125</v>
      </c>
      <c r="F23" s="543">
        <v>0</v>
      </c>
      <c r="G23" s="543">
        <v>29354</v>
      </c>
      <c r="H23" s="543">
        <v>31452829.920000002</v>
      </c>
    </row>
    <row r="24" spans="1:8" ht="15" customHeight="1">
      <c r="A24" s="449" t="s">
        <v>45</v>
      </c>
      <c r="B24" s="449" t="s">
        <v>46</v>
      </c>
      <c r="C24" s="449" t="s">
        <v>47</v>
      </c>
      <c r="D24" s="449" t="s">
        <v>163</v>
      </c>
      <c r="E24" s="449" t="s">
        <v>43</v>
      </c>
      <c r="F24" s="543">
        <v>2885190.21</v>
      </c>
      <c r="G24" s="543">
        <v>0</v>
      </c>
      <c r="H24" s="543">
        <v>34338020.130000003</v>
      </c>
    </row>
    <row r="25" spans="1:8" ht="15" customHeight="1">
      <c r="A25" s="449" t="s">
        <v>45</v>
      </c>
      <c r="B25" s="449" t="s">
        <v>46</v>
      </c>
      <c r="C25" s="449" t="s">
        <v>47</v>
      </c>
      <c r="D25" s="449" t="s">
        <v>163</v>
      </c>
      <c r="E25" s="449" t="s">
        <v>43</v>
      </c>
      <c r="F25" s="543">
        <v>0</v>
      </c>
      <c r="G25" s="543">
        <v>50265.53</v>
      </c>
      <c r="H25" s="543">
        <v>34287754.600000001</v>
      </c>
    </row>
    <row r="26" spans="1:8" ht="15" customHeight="1">
      <c r="A26" s="449" t="s">
        <v>45</v>
      </c>
      <c r="B26" s="449" t="s">
        <v>46</v>
      </c>
      <c r="C26" s="449" t="s">
        <v>47</v>
      </c>
      <c r="D26" s="449" t="s">
        <v>163</v>
      </c>
      <c r="E26" s="449" t="s">
        <v>43</v>
      </c>
      <c r="F26" s="543">
        <v>2310</v>
      </c>
      <c r="G26" s="543">
        <v>0</v>
      </c>
      <c r="H26" s="543">
        <v>34290064.600000001</v>
      </c>
    </row>
    <row r="27" spans="1:8" ht="15" customHeight="1">
      <c r="A27" s="449" t="s">
        <v>45</v>
      </c>
      <c r="B27" s="449" t="s">
        <v>46</v>
      </c>
      <c r="C27" s="449" t="s">
        <v>47</v>
      </c>
      <c r="D27" s="449" t="s">
        <v>50</v>
      </c>
      <c r="E27" s="449" t="s">
        <v>43</v>
      </c>
      <c r="F27" s="543">
        <v>0</v>
      </c>
      <c r="G27" s="543">
        <v>30248.16</v>
      </c>
      <c r="H27" s="543">
        <v>34259816.439999998</v>
      </c>
    </row>
    <row r="28" spans="1:8" ht="15" customHeight="1">
      <c r="A28" s="449" t="s">
        <v>45</v>
      </c>
      <c r="B28" s="449" t="s">
        <v>46</v>
      </c>
      <c r="C28" s="449" t="s">
        <v>47</v>
      </c>
      <c r="D28" s="449" t="s">
        <v>50</v>
      </c>
      <c r="E28" s="449" t="s">
        <v>43</v>
      </c>
      <c r="F28" s="543">
        <v>0</v>
      </c>
      <c r="G28" s="543">
        <v>57532.32</v>
      </c>
      <c r="H28" s="543">
        <v>34202284.119999997</v>
      </c>
    </row>
    <row r="29" spans="1:8" ht="15" customHeight="1">
      <c r="A29" s="449" t="s">
        <v>45</v>
      </c>
      <c r="B29" s="449" t="s">
        <v>46</v>
      </c>
      <c r="C29" s="449" t="s">
        <v>47</v>
      </c>
      <c r="D29" s="449" t="s">
        <v>50</v>
      </c>
      <c r="E29" s="449" t="s">
        <v>125</v>
      </c>
      <c r="F29" s="543">
        <v>0</v>
      </c>
      <c r="G29" s="543">
        <v>2747.58</v>
      </c>
      <c r="H29" s="543">
        <v>34199536.539999999</v>
      </c>
    </row>
    <row r="30" spans="1:8" ht="15" customHeight="1">
      <c r="A30" s="449" t="s">
        <v>45</v>
      </c>
      <c r="B30" s="449" t="s">
        <v>51</v>
      </c>
      <c r="C30" s="449" t="s">
        <v>52</v>
      </c>
      <c r="D30" s="449" t="s">
        <v>53</v>
      </c>
      <c r="E30" s="449" t="s">
        <v>43</v>
      </c>
      <c r="F30" s="543">
        <v>12133.73</v>
      </c>
      <c r="G30" s="543">
        <v>0</v>
      </c>
      <c r="H30" s="543">
        <v>34211670.270000003</v>
      </c>
    </row>
    <row r="31" spans="1:8" ht="15" customHeight="1">
      <c r="A31" s="449" t="s">
        <v>45</v>
      </c>
      <c r="B31" s="449" t="s">
        <v>51</v>
      </c>
      <c r="C31" s="449" t="s">
        <v>52</v>
      </c>
      <c r="D31" s="449" t="s">
        <v>164</v>
      </c>
      <c r="E31" s="449" t="s">
        <v>43</v>
      </c>
      <c r="F31" s="543">
        <v>0</v>
      </c>
      <c r="G31" s="543">
        <v>176175.97</v>
      </c>
      <c r="H31" s="543">
        <v>34035494.299999997</v>
      </c>
    </row>
    <row r="32" spans="1:8" ht="15" customHeight="1">
      <c r="A32" s="449" t="s">
        <v>45</v>
      </c>
      <c r="B32" s="449" t="s">
        <v>51</v>
      </c>
      <c r="C32" s="449" t="s">
        <v>52</v>
      </c>
      <c r="D32" s="449" t="s">
        <v>164</v>
      </c>
      <c r="E32" s="449" t="s">
        <v>43</v>
      </c>
      <c r="F32" s="543">
        <v>13570.93</v>
      </c>
      <c r="G32" s="543">
        <v>0</v>
      </c>
      <c r="H32" s="543">
        <v>34049065.229999997</v>
      </c>
    </row>
    <row r="33" spans="1:7" ht="15" customHeight="1">
      <c r="E33" s="449" t="s">
        <v>30</v>
      </c>
      <c r="F33" s="543">
        <v>3380102.85</v>
      </c>
      <c r="G33" s="543">
        <v>741946.35</v>
      </c>
    </row>
    <row r="34" spans="1:7" ht="15" customHeight="1">
      <c r="E34" s="449" t="s">
        <v>31</v>
      </c>
      <c r="F34" s="543">
        <v>3380102.85</v>
      </c>
      <c r="G34" s="543">
        <v>741946.35</v>
      </c>
    </row>
    <row r="35" spans="1:7" ht="15" customHeight="1">
      <c r="A35" s="449" t="s">
        <v>165</v>
      </c>
      <c r="B35" s="449" t="s">
        <v>33</v>
      </c>
    </row>
    <row r="38" spans="1:7" ht="15" customHeight="1">
      <c r="E38" s="449" t="s">
        <v>36</v>
      </c>
      <c r="F38" s="543">
        <v>3380102.85</v>
      </c>
      <c r="G38" s="543">
        <v>741946.35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6"/>
  <sheetViews>
    <sheetView topLeftCell="A52" zoomScale="90" zoomScaleNormal="90" workbookViewId="0">
      <selection activeCell="M172" sqref="M172:O174"/>
    </sheetView>
  </sheetViews>
  <sheetFormatPr defaultColWidth="8.75" defaultRowHeight="18" customHeight="1"/>
  <cols>
    <col min="1" max="1" width="8.75" style="11"/>
    <col min="2" max="2" width="44.75" style="11" customWidth="1"/>
    <col min="3" max="5" width="13" style="11" customWidth="1"/>
    <col min="6" max="8" width="13" style="11" hidden="1" customWidth="1"/>
    <col min="9" max="9" width="8.75" style="11"/>
    <col min="10" max="10" width="7.375" style="11" customWidth="1"/>
    <col min="11" max="11" width="8.75" style="11"/>
    <col min="12" max="12" width="47.75" style="11" customWidth="1"/>
    <col min="13" max="13" width="13" style="305" customWidth="1"/>
    <col min="14" max="14" width="11.125" style="305" customWidth="1"/>
    <col min="15" max="15" width="13" style="305" customWidth="1"/>
    <col min="16" max="16384" width="8.75" style="11"/>
  </cols>
  <sheetData>
    <row r="1" spans="1:15" s="304" customFormat="1" ht="18" customHeight="1">
      <c r="A1" s="111" t="s">
        <v>166</v>
      </c>
      <c r="B1" s="306"/>
      <c r="K1" s="111" t="s">
        <v>166</v>
      </c>
      <c r="L1" s="306"/>
      <c r="M1" s="320"/>
      <c r="N1" s="320"/>
      <c r="O1" s="320"/>
    </row>
    <row r="2" spans="1:15" ht="18" customHeight="1">
      <c r="K2" s="321"/>
      <c r="L2" s="321"/>
    </row>
    <row r="3" spans="1:15" ht="18" customHeight="1">
      <c r="A3" s="307"/>
      <c r="B3" s="590" t="s">
        <v>3</v>
      </c>
      <c r="C3" s="308"/>
      <c r="D3" s="339" t="s">
        <v>167</v>
      </c>
      <c r="E3" s="309"/>
      <c r="F3" s="310"/>
      <c r="G3" s="310"/>
      <c r="H3" s="310"/>
      <c r="K3" s="321"/>
      <c r="L3" s="321"/>
      <c r="M3" s="322" t="s">
        <v>168</v>
      </c>
      <c r="N3" s="322"/>
      <c r="O3" s="322"/>
    </row>
    <row r="4" spans="1:15" ht="18" customHeight="1">
      <c r="A4" s="311" t="s">
        <v>169</v>
      </c>
      <c r="B4" s="591"/>
      <c r="C4" s="312" t="s">
        <v>170</v>
      </c>
      <c r="D4" s="313" t="s">
        <v>171</v>
      </c>
      <c r="E4" s="314" t="s">
        <v>172</v>
      </c>
      <c r="F4" s="315"/>
      <c r="G4" s="315"/>
      <c r="H4" s="315"/>
      <c r="K4" s="321" t="s">
        <v>169</v>
      </c>
      <c r="L4" s="321" t="s">
        <v>3</v>
      </c>
      <c r="M4" s="323" t="s">
        <v>170</v>
      </c>
      <c r="N4" s="323" t="s">
        <v>171</v>
      </c>
      <c r="O4" s="323" t="s">
        <v>172</v>
      </c>
    </row>
    <row r="5" spans="1:15" ht="18" customHeight="1">
      <c r="A5" s="11" t="str">
        <f>+K5</f>
        <v>CH101</v>
      </c>
      <c r="B5" s="11" t="str">
        <f>+L5</f>
        <v>CHLORINE 99.5% (1,000 KGS CYLINDER) MOITURE 100 MG/KG MAX.</v>
      </c>
      <c r="C5" s="316">
        <f t="shared" ref="C5" si="0">SUMIF(K:K,A5,M:M)</f>
        <v>0</v>
      </c>
      <c r="D5" s="317">
        <f t="shared" ref="D5" si="1">IF(C5=0,0,E5/C5)</f>
        <v>0</v>
      </c>
      <c r="E5" s="318">
        <f t="shared" ref="E5" si="2">SUMIF($K:$K,A5,O:O)</f>
        <v>0</v>
      </c>
      <c r="K5" s="319" t="s">
        <v>173</v>
      </c>
      <c r="L5" s="11" t="s">
        <v>174</v>
      </c>
      <c r="M5" s="324">
        <v>0</v>
      </c>
      <c r="N5" s="324">
        <v>0</v>
      </c>
      <c r="O5" s="324">
        <v>0</v>
      </c>
    </row>
    <row r="6" spans="1:15" ht="18" customHeight="1">
      <c r="A6" s="11" t="str">
        <f t="shared" ref="A6:A69" si="3">+K6</f>
        <v>CH102</v>
      </c>
      <c r="B6" s="11" t="str">
        <f t="shared" ref="B6:B69" si="4">+L6</f>
        <v>SODIUM HYDROXIDE 50% (1500 KGS/IBC)</v>
      </c>
      <c r="C6" s="316">
        <f t="shared" ref="C6:C69" si="5">SUMIF(K:K,A6,M:M)</f>
        <v>0</v>
      </c>
      <c r="D6" s="317">
        <f t="shared" ref="D6:D69" si="6">IF(C6=0,0,E6/C6)</f>
        <v>0</v>
      </c>
      <c r="E6" s="318">
        <f t="shared" ref="E6:E69" si="7">SUMIF($K:$K,A6,O:O)</f>
        <v>0</v>
      </c>
      <c r="K6" s="319" t="s">
        <v>175</v>
      </c>
      <c r="L6" s="325" t="s">
        <v>176</v>
      </c>
      <c r="M6" s="324">
        <v>0</v>
      </c>
      <c r="N6" s="324">
        <v>0</v>
      </c>
      <c r="O6" s="324">
        <v>0</v>
      </c>
    </row>
    <row r="7" spans="1:15" ht="18" customHeight="1">
      <c r="A7" s="11" t="str">
        <f t="shared" si="3"/>
        <v>CH104</v>
      </c>
      <c r="B7" s="11" t="str">
        <f t="shared" si="4"/>
        <v>SPECLEAN 11 (246 KGS /DRUM)</v>
      </c>
      <c r="C7" s="316">
        <f t="shared" si="5"/>
        <v>0</v>
      </c>
      <c r="D7" s="317">
        <f t="shared" si="6"/>
        <v>0</v>
      </c>
      <c r="E7" s="318">
        <f t="shared" si="7"/>
        <v>0</v>
      </c>
      <c r="K7" s="319" t="s">
        <v>177</v>
      </c>
      <c r="L7" s="325" t="s">
        <v>178</v>
      </c>
      <c r="M7" s="324">
        <v>0</v>
      </c>
      <c r="N7" s="324">
        <v>0</v>
      </c>
      <c r="O7" s="324">
        <v>0</v>
      </c>
    </row>
    <row r="8" spans="1:15" ht="18" customHeight="1">
      <c r="A8" s="11" t="str">
        <f t="shared" si="3"/>
        <v>CH105</v>
      </c>
      <c r="B8" s="11" t="str">
        <f t="shared" si="4"/>
        <v>HISOL D203 (QA75/137) 200 KGS/DRUM (MOQ 400KG/TRIP)</v>
      </c>
      <c r="C8" s="316">
        <f t="shared" si="5"/>
        <v>0</v>
      </c>
      <c r="D8" s="317">
        <f t="shared" si="6"/>
        <v>0</v>
      </c>
      <c r="E8" s="318">
        <f t="shared" si="7"/>
        <v>0</v>
      </c>
      <c r="K8" s="319" t="s">
        <v>179</v>
      </c>
      <c r="L8" s="325" t="s">
        <v>180</v>
      </c>
      <c r="M8" s="324">
        <v>0</v>
      </c>
      <c r="N8" s="324">
        <v>0</v>
      </c>
      <c r="O8" s="324">
        <v>0</v>
      </c>
    </row>
    <row r="9" spans="1:15" ht="18" customHeight="1">
      <c r="A9" s="11" t="str">
        <f t="shared" si="3"/>
        <v>CH106</v>
      </c>
      <c r="B9" s="11" t="str">
        <f t="shared" si="4"/>
        <v>OCTOSOL 643 (200KG/DRUM)</v>
      </c>
      <c r="C9" s="316">
        <f t="shared" si="5"/>
        <v>24.103641697408854</v>
      </c>
      <c r="D9" s="317">
        <f t="shared" si="6"/>
        <v>25.550081092775454</v>
      </c>
      <c r="E9" s="318">
        <f t="shared" si="7"/>
        <v>615.85</v>
      </c>
      <c r="K9" s="319" t="s">
        <v>181</v>
      </c>
      <c r="L9" s="325" t="s">
        <v>182</v>
      </c>
      <c r="M9" s="324">
        <v>24.103641697408854</v>
      </c>
      <c r="N9" s="324">
        <v>25.550081092775454</v>
      </c>
      <c r="O9" s="324">
        <v>615.85</v>
      </c>
    </row>
    <row r="10" spans="1:15" ht="18" customHeight="1">
      <c r="A10" s="11" t="str">
        <f t="shared" si="3"/>
        <v>CH109</v>
      </c>
      <c r="B10" s="11" t="str">
        <f t="shared" si="4"/>
        <v>VIVASHIELD 9177 WAX (950KG/IBC)</v>
      </c>
      <c r="C10" s="316">
        <f t="shared" si="5"/>
        <v>0</v>
      </c>
      <c r="D10" s="317">
        <f t="shared" si="6"/>
        <v>0</v>
      </c>
      <c r="E10" s="318">
        <f t="shared" si="7"/>
        <v>0</v>
      </c>
      <c r="K10" s="319" t="s">
        <v>183</v>
      </c>
      <c r="L10" s="325" t="s">
        <v>184</v>
      </c>
      <c r="M10" s="324">
        <v>0</v>
      </c>
      <c r="N10" s="324">
        <v>0</v>
      </c>
      <c r="O10" s="324">
        <v>0</v>
      </c>
    </row>
    <row r="11" spans="1:15" ht="18" customHeight="1">
      <c r="A11" s="11" t="str">
        <f t="shared" si="3"/>
        <v>CH110</v>
      </c>
      <c r="B11" s="11" t="str">
        <f t="shared" si="4"/>
        <v>CS COAT T403 (1000 KG/TANK)</v>
      </c>
      <c r="C11" s="316">
        <f t="shared" si="5"/>
        <v>0</v>
      </c>
      <c r="D11" s="317">
        <f t="shared" si="6"/>
        <v>0</v>
      </c>
      <c r="E11" s="318">
        <f t="shared" si="7"/>
        <v>0</v>
      </c>
      <c r="K11" s="319" t="s">
        <v>185</v>
      </c>
      <c r="L11" s="325" t="s">
        <v>186</v>
      </c>
      <c r="M11" s="324">
        <v>0</v>
      </c>
      <c r="N11" s="324">
        <v>0</v>
      </c>
      <c r="O11" s="324">
        <v>0</v>
      </c>
    </row>
    <row r="12" spans="1:15" ht="18" customHeight="1">
      <c r="A12" s="11" t="str">
        <f t="shared" si="3"/>
        <v>CH111</v>
      </c>
      <c r="B12" s="11" t="str">
        <f t="shared" si="4"/>
        <v>ALKALINE CLEAN S4 (1100 KG/TANK)</v>
      </c>
      <c r="C12" s="316">
        <f t="shared" si="5"/>
        <v>0</v>
      </c>
      <c r="D12" s="317">
        <f t="shared" si="6"/>
        <v>0</v>
      </c>
      <c r="E12" s="318">
        <f t="shared" si="7"/>
        <v>0</v>
      </c>
      <c r="K12" s="319" t="s">
        <v>187</v>
      </c>
      <c r="L12" s="325" t="s">
        <v>188</v>
      </c>
      <c r="M12" s="324">
        <v>0</v>
      </c>
      <c r="N12" s="324">
        <v>0</v>
      </c>
      <c r="O12" s="324">
        <v>0</v>
      </c>
    </row>
    <row r="13" spans="1:15" ht="18" customHeight="1">
      <c r="A13" s="11" t="str">
        <f t="shared" si="3"/>
        <v>CH112</v>
      </c>
      <c r="B13" s="11" t="str">
        <f t="shared" si="4"/>
        <v>TRUCOAT NR 12 (200KG/DRUM) MOQ=16,000KG/TRIP</v>
      </c>
      <c r="C13" s="316">
        <f t="shared" si="5"/>
        <v>0</v>
      </c>
      <c r="D13" s="317">
        <f t="shared" si="6"/>
        <v>0</v>
      </c>
      <c r="E13" s="318">
        <f t="shared" si="7"/>
        <v>0</v>
      </c>
      <c r="K13" s="319" t="s">
        <v>189</v>
      </c>
      <c r="L13" s="325" t="s">
        <v>190</v>
      </c>
      <c r="M13" s="324">
        <v>0</v>
      </c>
      <c r="N13" s="324">
        <v>0</v>
      </c>
      <c r="O13" s="324">
        <v>0</v>
      </c>
    </row>
    <row r="14" spans="1:15" ht="18" customHeight="1">
      <c r="A14" s="11" t="str">
        <f t="shared" si="3"/>
        <v>CH113</v>
      </c>
      <c r="B14" s="11" t="str">
        <f t="shared" si="4"/>
        <v>CALCIUM NITRATE LIQUOR 54- 56% (300KG/DRUM)-MEYCHERN</v>
      </c>
      <c r="C14" s="316">
        <f t="shared" si="5"/>
        <v>0</v>
      </c>
      <c r="D14" s="317">
        <f t="shared" si="6"/>
        <v>0</v>
      </c>
      <c r="E14" s="318">
        <f t="shared" si="7"/>
        <v>0</v>
      </c>
      <c r="K14" s="319" t="s">
        <v>191</v>
      </c>
      <c r="L14" s="325" t="s">
        <v>192</v>
      </c>
      <c r="M14" s="324">
        <v>0</v>
      </c>
      <c r="N14" s="324">
        <v>0</v>
      </c>
      <c r="O14" s="324">
        <v>0</v>
      </c>
    </row>
    <row r="15" spans="1:15" ht="18" customHeight="1">
      <c r="A15" s="11" t="str">
        <f t="shared" si="3"/>
        <v>CH114</v>
      </c>
      <c r="B15" s="11" t="str">
        <f t="shared" si="4"/>
        <v>TRANSCURE ZDB50 (225KG/DRUM)</v>
      </c>
      <c r="C15" s="316">
        <f t="shared" si="5"/>
        <v>0</v>
      </c>
      <c r="D15" s="317">
        <f t="shared" si="6"/>
        <v>0</v>
      </c>
      <c r="E15" s="318">
        <f t="shared" si="7"/>
        <v>0</v>
      </c>
      <c r="K15" s="319" t="s">
        <v>193</v>
      </c>
      <c r="L15" s="325" t="s">
        <v>194</v>
      </c>
      <c r="M15" s="324">
        <v>0</v>
      </c>
      <c r="N15" s="324">
        <v>0</v>
      </c>
      <c r="O15" s="324">
        <v>0</v>
      </c>
    </row>
    <row r="16" spans="1:15" ht="18" customHeight="1">
      <c r="A16" s="11" t="str">
        <f t="shared" si="3"/>
        <v>CH115</v>
      </c>
      <c r="B16" s="11" t="str">
        <f t="shared" si="4"/>
        <v>TRANSACT ZNO60 (250KG/DRUM)</v>
      </c>
      <c r="C16" s="316">
        <f t="shared" si="5"/>
        <v>0</v>
      </c>
      <c r="D16" s="317">
        <f t="shared" si="6"/>
        <v>0</v>
      </c>
      <c r="E16" s="318">
        <f t="shared" si="7"/>
        <v>0</v>
      </c>
      <c r="K16" s="319" t="s">
        <v>195</v>
      </c>
      <c r="L16" s="325" t="s">
        <v>196</v>
      </c>
      <c r="M16" s="324">
        <v>0</v>
      </c>
      <c r="N16" s="324">
        <v>0</v>
      </c>
      <c r="O16" s="324">
        <v>0</v>
      </c>
    </row>
    <row r="17" spans="1:15" ht="18" customHeight="1">
      <c r="A17" s="11" t="str">
        <f t="shared" si="3"/>
        <v>CH116</v>
      </c>
      <c r="B17" s="11" t="str">
        <f t="shared" si="4"/>
        <v>TRANSCURE S60 (250KG/DRUM)</v>
      </c>
      <c r="C17" s="316">
        <f t="shared" si="5"/>
        <v>0</v>
      </c>
      <c r="D17" s="317">
        <f t="shared" si="6"/>
        <v>0</v>
      </c>
      <c r="E17" s="318">
        <f t="shared" si="7"/>
        <v>0</v>
      </c>
      <c r="K17" s="319" t="s">
        <v>197</v>
      </c>
      <c r="L17" s="325" t="s">
        <v>198</v>
      </c>
      <c r="M17" s="324">
        <v>0</v>
      </c>
      <c r="N17" s="324">
        <v>0</v>
      </c>
      <c r="O17" s="324">
        <v>0</v>
      </c>
    </row>
    <row r="18" spans="1:15" ht="18" customHeight="1">
      <c r="A18" s="11" t="str">
        <f t="shared" si="3"/>
        <v>CH117</v>
      </c>
      <c r="B18" s="11" t="str">
        <f t="shared" si="4"/>
        <v>TRANSTINT TIO270(250KG/DRUM)</v>
      </c>
      <c r="C18" s="316">
        <f t="shared" si="5"/>
        <v>0</v>
      </c>
      <c r="D18" s="317">
        <f t="shared" si="6"/>
        <v>0</v>
      </c>
      <c r="E18" s="318">
        <f t="shared" si="7"/>
        <v>0</v>
      </c>
      <c r="K18" s="319" t="s">
        <v>199</v>
      </c>
      <c r="L18" s="325" t="s">
        <v>200</v>
      </c>
      <c r="M18" s="324">
        <v>0</v>
      </c>
      <c r="N18" s="324">
        <v>0</v>
      </c>
      <c r="O18" s="324">
        <v>0</v>
      </c>
    </row>
    <row r="19" spans="1:15" ht="18" customHeight="1">
      <c r="A19" s="11" t="str">
        <f t="shared" si="3"/>
        <v>CH127</v>
      </c>
      <c r="B19" s="11" t="str">
        <f t="shared" si="4"/>
        <v>CALCIUM NITRATE LIQUOR 54- 56% (L- 089B) (25,000KG/TANK)</v>
      </c>
      <c r="C19" s="316">
        <f t="shared" si="5"/>
        <v>0</v>
      </c>
      <c r="D19" s="317">
        <f t="shared" si="6"/>
        <v>0</v>
      </c>
      <c r="E19" s="318">
        <f t="shared" si="7"/>
        <v>0</v>
      </c>
      <c r="K19" s="319" t="s">
        <v>201</v>
      </c>
      <c r="L19" s="325" t="s">
        <v>202</v>
      </c>
      <c r="M19" s="324">
        <v>0</v>
      </c>
      <c r="N19" s="324">
        <v>0</v>
      </c>
      <c r="O19" s="324">
        <v>0</v>
      </c>
    </row>
    <row r="20" spans="1:15" ht="18" customHeight="1">
      <c r="A20" s="11" t="str">
        <f t="shared" si="3"/>
        <v>CH128</v>
      </c>
      <c r="B20" s="11" t="str">
        <f t="shared" si="4"/>
        <v>FARSPERSE BLUE MPL1523 (20 KGS/PAIL)</v>
      </c>
      <c r="C20" s="316">
        <f t="shared" si="5"/>
        <v>45.374651835901759</v>
      </c>
      <c r="D20" s="317">
        <f t="shared" si="6"/>
        <v>214.79062881290557</v>
      </c>
      <c r="E20" s="318">
        <f t="shared" si="7"/>
        <v>9746.0499999999993</v>
      </c>
      <c r="K20" s="319" t="s">
        <v>203</v>
      </c>
      <c r="L20" s="325" t="s">
        <v>204</v>
      </c>
      <c r="M20" s="324">
        <v>45.374651835901759</v>
      </c>
      <c r="N20" s="324">
        <v>214.79062881290557</v>
      </c>
      <c r="O20" s="324">
        <v>9746.0499999999993</v>
      </c>
    </row>
    <row r="21" spans="1:15" ht="18" customHeight="1">
      <c r="A21" s="11" t="str">
        <f t="shared" si="3"/>
        <v>CH129</v>
      </c>
      <c r="B21" s="11" t="str">
        <f t="shared" si="4"/>
        <v>FARSPERSE BLACK PB-ZBX (20 KGS/PAIL)</v>
      </c>
      <c r="C21" s="316">
        <f t="shared" si="5"/>
        <v>0</v>
      </c>
      <c r="D21" s="317">
        <f t="shared" si="6"/>
        <v>0</v>
      </c>
      <c r="E21" s="318">
        <f t="shared" si="7"/>
        <v>0</v>
      </c>
      <c r="K21" s="319" t="s">
        <v>205</v>
      </c>
      <c r="L21" s="325" t="s">
        <v>206</v>
      </c>
      <c r="M21" s="324">
        <v>0</v>
      </c>
      <c r="N21" s="324">
        <v>0</v>
      </c>
      <c r="O21" s="324">
        <v>0</v>
      </c>
    </row>
    <row r="22" spans="1:15" ht="18" customHeight="1">
      <c r="A22" s="11" t="str">
        <f t="shared" si="3"/>
        <v>CH130</v>
      </c>
      <c r="B22" s="11" t="str">
        <f t="shared" si="4"/>
        <v>FARSPERSE ORANGE PO-HPA (20KG/DRUM)</v>
      </c>
      <c r="C22" s="316">
        <f t="shared" si="5"/>
        <v>0</v>
      </c>
      <c r="D22" s="317">
        <f t="shared" si="6"/>
        <v>0</v>
      </c>
      <c r="E22" s="318">
        <f t="shared" si="7"/>
        <v>0</v>
      </c>
      <c r="K22" s="319" t="s">
        <v>207</v>
      </c>
      <c r="L22" s="325" t="s">
        <v>208</v>
      </c>
      <c r="M22" s="324">
        <v>0</v>
      </c>
      <c r="N22" s="324">
        <v>0</v>
      </c>
      <c r="O22" s="324">
        <v>0</v>
      </c>
    </row>
    <row r="23" spans="1:15" ht="18" customHeight="1">
      <c r="A23" s="11" t="str">
        <f t="shared" si="3"/>
        <v>CH133</v>
      </c>
      <c r="B23" s="11" t="str">
        <f t="shared" si="4"/>
        <v>CS COAT T406 (CALCIUM STEARATE 40%) (1000 KG/TANK)</v>
      </c>
      <c r="C23" s="316">
        <f t="shared" si="5"/>
        <v>0</v>
      </c>
      <c r="D23" s="317">
        <f t="shared" si="6"/>
        <v>0</v>
      </c>
      <c r="E23" s="318">
        <f t="shared" si="7"/>
        <v>0</v>
      </c>
      <c r="K23" s="319" t="s">
        <v>209</v>
      </c>
      <c r="L23" s="325" t="s">
        <v>210</v>
      </c>
      <c r="M23" s="324">
        <v>0</v>
      </c>
      <c r="N23" s="324">
        <v>0</v>
      </c>
      <c r="O23" s="324">
        <v>0</v>
      </c>
    </row>
    <row r="24" spans="1:15" ht="18" customHeight="1">
      <c r="A24" s="11" t="str">
        <f t="shared" si="3"/>
        <v>CH140</v>
      </c>
      <c r="B24" s="11" t="str">
        <f t="shared" si="4"/>
        <v>HYDROTINT BLACK BA (20KG/PK) PIGMENT</v>
      </c>
      <c r="C24" s="316">
        <f t="shared" si="5"/>
        <v>92.06660157855319</v>
      </c>
      <c r="D24" s="317">
        <f t="shared" si="6"/>
        <v>57.482408487561841</v>
      </c>
      <c r="E24" s="318">
        <f t="shared" si="7"/>
        <v>5292.21</v>
      </c>
      <c r="K24" s="319" t="s">
        <v>211</v>
      </c>
      <c r="L24" s="325" t="s">
        <v>212</v>
      </c>
      <c r="M24" s="324">
        <v>92.06660157855319</v>
      </c>
      <c r="N24" s="324">
        <v>57.482408487561841</v>
      </c>
      <c r="O24" s="324">
        <v>5292.21</v>
      </c>
    </row>
    <row r="25" spans="1:15" ht="18" customHeight="1">
      <c r="A25" s="11" t="str">
        <f t="shared" si="3"/>
        <v>CH145</v>
      </c>
      <c r="B25" s="11" t="str">
        <f t="shared" si="4"/>
        <v xml:space="preserve">  BIO-F20 (25KG/PACK) - TNG (BIOCIDE)</v>
      </c>
      <c r="C25" s="316">
        <f t="shared" si="5"/>
        <v>9.5695999999999994</v>
      </c>
      <c r="D25" s="317">
        <f t="shared" si="6"/>
        <v>133.47266343420833</v>
      </c>
      <c r="E25" s="318">
        <f t="shared" si="7"/>
        <v>1277.28</v>
      </c>
      <c r="K25" s="319" t="s">
        <v>213</v>
      </c>
      <c r="L25" s="325" t="s">
        <v>214</v>
      </c>
      <c r="M25" s="324">
        <v>9.5695999999999994</v>
      </c>
      <c r="N25" s="324">
        <v>133.47266343420833</v>
      </c>
      <c r="O25" s="324">
        <v>1277.28</v>
      </c>
    </row>
    <row r="26" spans="1:15" ht="18" customHeight="1">
      <c r="A26" s="11" t="str">
        <f t="shared" si="3"/>
        <v>CH146</v>
      </c>
      <c r="B26" s="11" t="str">
        <f t="shared" si="4"/>
        <v>AQUWAX 078 (MOQ 9500KG/TRIP)</v>
      </c>
      <c r="C26" s="316">
        <f t="shared" si="5"/>
        <v>0</v>
      </c>
      <c r="D26" s="317">
        <f t="shared" si="6"/>
        <v>0</v>
      </c>
      <c r="E26" s="318">
        <f t="shared" si="7"/>
        <v>0</v>
      </c>
      <c r="K26" s="319" t="s">
        <v>215</v>
      </c>
      <c r="L26" s="325" t="s">
        <v>216</v>
      </c>
      <c r="M26" s="324">
        <v>0</v>
      </c>
      <c r="N26" s="324">
        <v>0</v>
      </c>
      <c r="O26" s="324">
        <v>0</v>
      </c>
    </row>
    <row r="27" spans="1:15" ht="18" customHeight="1">
      <c r="A27" s="11" t="str">
        <f t="shared" si="3"/>
        <v>CH147</v>
      </c>
      <c r="B27" s="11" t="str">
        <f t="shared" si="4"/>
        <v>FARSPERSE GREEN MPG1814 (20KG/PAIL)</v>
      </c>
      <c r="C27" s="316">
        <f t="shared" si="5"/>
        <v>0</v>
      </c>
      <c r="D27" s="317">
        <f t="shared" si="6"/>
        <v>0</v>
      </c>
      <c r="E27" s="318">
        <f t="shared" si="7"/>
        <v>0</v>
      </c>
      <c r="K27" s="319" t="s">
        <v>217</v>
      </c>
      <c r="L27" s="325" t="s">
        <v>218</v>
      </c>
      <c r="M27" s="324">
        <v>0</v>
      </c>
      <c r="N27" s="324">
        <v>0</v>
      </c>
      <c r="O27" s="324">
        <v>0</v>
      </c>
    </row>
    <row r="28" spans="1:15" ht="18" customHeight="1">
      <c r="A28" s="11" t="str">
        <f t="shared" si="3"/>
        <v>CH148</v>
      </c>
      <c r="B28" s="11" t="str">
        <f t="shared" si="4"/>
        <v>KOH 48% SOLUTION (1500KG/IBC) (TC GROUP)</v>
      </c>
      <c r="C28" s="316">
        <f t="shared" si="5"/>
        <v>0</v>
      </c>
      <c r="D28" s="317">
        <f t="shared" si="6"/>
        <v>0</v>
      </c>
      <c r="E28" s="318">
        <f t="shared" si="7"/>
        <v>0</v>
      </c>
      <c r="K28" s="319" t="s">
        <v>219</v>
      </c>
      <c r="L28" s="325" t="s">
        <v>220</v>
      </c>
      <c r="M28" s="324">
        <v>0</v>
      </c>
      <c r="N28" s="324">
        <v>0</v>
      </c>
      <c r="O28" s="324">
        <v>0</v>
      </c>
    </row>
    <row r="29" spans="1:15" ht="18" customHeight="1">
      <c r="A29" s="11" t="str">
        <f t="shared" si="3"/>
        <v>CH149</v>
      </c>
      <c r="B29" s="11" t="str">
        <f t="shared" si="4"/>
        <v>EZSTRIP 2XL – 200 KG/DRUM</v>
      </c>
      <c r="C29" s="316">
        <f t="shared" si="5"/>
        <v>0</v>
      </c>
      <c r="D29" s="317">
        <f t="shared" si="6"/>
        <v>0</v>
      </c>
      <c r="E29" s="318">
        <f t="shared" si="7"/>
        <v>0</v>
      </c>
      <c r="K29" s="319" t="s">
        <v>221</v>
      </c>
      <c r="L29" s="11" t="s">
        <v>222</v>
      </c>
      <c r="M29" s="324">
        <v>0</v>
      </c>
      <c r="N29" s="324">
        <v>0</v>
      </c>
      <c r="O29" s="324">
        <v>0</v>
      </c>
    </row>
    <row r="30" spans="1:15" ht="18" customHeight="1">
      <c r="A30" s="11" t="str">
        <f t="shared" si="3"/>
        <v>CH150</v>
      </c>
      <c r="B30" s="11" t="str">
        <f t="shared" si="4"/>
        <v>BIO-PLUS (1 Bag / 1 kg)</v>
      </c>
      <c r="C30" s="316">
        <f t="shared" si="5"/>
        <v>0</v>
      </c>
      <c r="D30" s="317">
        <f t="shared" si="6"/>
        <v>0</v>
      </c>
      <c r="E30" s="318">
        <f t="shared" si="7"/>
        <v>0</v>
      </c>
      <c r="K30" s="319" t="s">
        <v>223</v>
      </c>
      <c r="L30" s="11" t="s">
        <v>224</v>
      </c>
      <c r="M30" s="324">
        <v>0</v>
      </c>
      <c r="N30" s="324">
        <v>0</v>
      </c>
      <c r="O30" s="324">
        <v>0</v>
      </c>
    </row>
    <row r="31" spans="1:15" ht="18" customHeight="1">
      <c r="A31" s="11" t="str">
        <f t="shared" si="3"/>
        <v>CH156</v>
      </c>
      <c r="B31" s="11" t="str">
        <f t="shared" si="4"/>
        <v>SA600 (1400KG/IBC)-TC GROUP</v>
      </c>
      <c r="C31" s="316">
        <f t="shared" si="5"/>
        <v>0</v>
      </c>
      <c r="D31" s="317">
        <f t="shared" si="6"/>
        <v>0</v>
      </c>
      <c r="E31" s="318">
        <f t="shared" si="7"/>
        <v>0</v>
      </c>
      <c r="K31" s="319" t="s">
        <v>225</v>
      </c>
      <c r="L31" s="11" t="s">
        <v>226</v>
      </c>
      <c r="M31" s="324">
        <v>0</v>
      </c>
      <c r="N31" s="324">
        <v>0</v>
      </c>
      <c r="O31" s="324">
        <v>0</v>
      </c>
    </row>
    <row r="32" spans="1:15" ht="18" customHeight="1">
      <c r="A32" s="11" t="str">
        <f t="shared" si="3"/>
        <v>CH159</v>
      </c>
      <c r="B32" s="11" t="str">
        <f t="shared" si="4"/>
        <v>ANTIFOAM MM 7085 SE (25KG/DRUM)</v>
      </c>
      <c r="C32" s="316">
        <f t="shared" si="5"/>
        <v>0</v>
      </c>
      <c r="D32" s="317">
        <f t="shared" si="6"/>
        <v>0</v>
      </c>
      <c r="E32" s="318">
        <f t="shared" si="7"/>
        <v>0</v>
      </c>
      <c r="K32" s="319" t="s">
        <v>227</v>
      </c>
      <c r="L32" s="11" t="s">
        <v>228</v>
      </c>
      <c r="M32" s="324">
        <v>0</v>
      </c>
      <c r="N32" s="324">
        <v>0</v>
      </c>
      <c r="O32" s="324">
        <v>0</v>
      </c>
    </row>
    <row r="33" spans="1:15" ht="18" customHeight="1">
      <c r="A33" s="11" t="str">
        <f t="shared" si="3"/>
        <v>CH161</v>
      </c>
      <c r="B33" s="11" t="str">
        <f t="shared" si="4"/>
        <v>PAC 10% (25KG/Drum)</v>
      </c>
      <c r="C33" s="316">
        <f t="shared" si="5"/>
        <v>0</v>
      </c>
      <c r="D33" s="317">
        <f t="shared" si="6"/>
        <v>0</v>
      </c>
      <c r="E33" s="318">
        <f t="shared" si="7"/>
        <v>0</v>
      </c>
      <c r="K33" s="11" t="s">
        <v>229</v>
      </c>
      <c r="L33" s="11" t="s">
        <v>230</v>
      </c>
      <c r="M33" s="324">
        <v>0</v>
      </c>
      <c r="N33" s="324">
        <v>0</v>
      </c>
      <c r="O33" s="324">
        <v>0</v>
      </c>
    </row>
    <row r="34" spans="1:15" ht="18" customHeight="1">
      <c r="A34" s="11" t="str">
        <f t="shared" si="3"/>
        <v>CH162</v>
      </c>
      <c r="B34" s="11" t="str">
        <f t="shared" si="4"/>
        <v>ANTIFOAM KSE9020-AS (PACKAGE (KGS) : 20 KG/DRUM)</v>
      </c>
      <c r="C34" s="316">
        <f t="shared" si="5"/>
        <v>0</v>
      </c>
      <c r="D34" s="317">
        <f t="shared" si="6"/>
        <v>0</v>
      </c>
      <c r="E34" s="318">
        <f t="shared" si="7"/>
        <v>0</v>
      </c>
      <c r="K34" s="11" t="s">
        <v>231</v>
      </c>
      <c r="L34" s="11" t="s">
        <v>232</v>
      </c>
      <c r="M34" s="324">
        <v>0</v>
      </c>
      <c r="N34" s="324">
        <v>0</v>
      </c>
      <c r="O34" s="324">
        <v>0</v>
      </c>
    </row>
    <row r="35" spans="1:15" ht="18" customHeight="1">
      <c r="A35" s="11" t="str">
        <f t="shared" si="3"/>
        <v>CH163</v>
      </c>
      <c r="B35" s="11" t="str">
        <f t="shared" si="4"/>
        <v>POLYMER R-1034 (25KG/Drum)</v>
      </c>
      <c r="C35" s="316">
        <f t="shared" si="5"/>
        <v>0</v>
      </c>
      <c r="D35" s="317">
        <f t="shared" si="6"/>
        <v>0</v>
      </c>
      <c r="E35" s="318">
        <f t="shared" si="7"/>
        <v>0</v>
      </c>
      <c r="K35" s="11" t="s">
        <v>233</v>
      </c>
      <c r="L35" s="11" t="s">
        <v>234</v>
      </c>
      <c r="M35" s="324">
        <v>0</v>
      </c>
      <c r="N35" s="324">
        <v>0</v>
      </c>
      <c r="O35" s="324">
        <v>0</v>
      </c>
    </row>
    <row r="36" spans="1:15" ht="18" customHeight="1">
      <c r="A36" s="11" t="str">
        <f t="shared" si="3"/>
        <v>CH164</v>
      </c>
      <c r="B36" s="11" t="str">
        <f t="shared" si="4"/>
        <v>POLYMER R-5000 (25KG/Drum)</v>
      </c>
      <c r="C36" s="316">
        <f t="shared" si="5"/>
        <v>0</v>
      </c>
      <c r="D36" s="317">
        <f t="shared" si="6"/>
        <v>0</v>
      </c>
      <c r="E36" s="318">
        <f t="shared" si="7"/>
        <v>0</v>
      </c>
      <c r="K36" s="11" t="s">
        <v>235</v>
      </c>
      <c r="L36" s="11" t="s">
        <v>236</v>
      </c>
      <c r="M36" s="324">
        <v>0</v>
      </c>
      <c r="N36" s="324">
        <v>0</v>
      </c>
      <c r="O36" s="324">
        <v>0</v>
      </c>
    </row>
    <row r="37" spans="1:15" ht="18" customHeight="1">
      <c r="A37" s="11" t="str">
        <f t="shared" si="3"/>
        <v>CH165</v>
      </c>
      <c r="B37" s="11" t="str">
        <f t="shared" si="4"/>
        <v>CABOWET GA100 (194KG/DRUM) (WETING AGENT)</v>
      </c>
      <c r="C37" s="316">
        <f t="shared" si="5"/>
        <v>0</v>
      </c>
      <c r="D37" s="317">
        <f t="shared" si="6"/>
        <v>0</v>
      </c>
      <c r="E37" s="318">
        <f t="shared" si="7"/>
        <v>0</v>
      </c>
      <c r="K37" s="11" t="s">
        <v>237</v>
      </c>
      <c r="L37" s="11" t="s">
        <v>238</v>
      </c>
      <c r="M37" s="324">
        <v>0</v>
      </c>
      <c r="N37" s="324">
        <v>0</v>
      </c>
      <c r="O37" s="324">
        <v>0</v>
      </c>
    </row>
    <row r="38" spans="1:15" ht="18" customHeight="1">
      <c r="A38" s="11" t="str">
        <f t="shared" si="3"/>
        <v>CH168</v>
      </c>
      <c r="B38" s="11" t="str">
        <f t="shared" si="4"/>
        <v>ALPHALINK (ACELERATOR FREE CROSSLINKER) (200KG/DRUM)</v>
      </c>
      <c r="C38" s="316">
        <f t="shared" si="5"/>
        <v>0</v>
      </c>
      <c r="D38" s="317">
        <f t="shared" si="6"/>
        <v>0</v>
      </c>
      <c r="E38" s="318">
        <f t="shared" si="7"/>
        <v>0</v>
      </c>
      <c r="K38" s="11" t="s">
        <v>239</v>
      </c>
      <c r="L38" s="11" t="s">
        <v>240</v>
      </c>
      <c r="M38" s="324">
        <v>0</v>
      </c>
      <c r="N38" s="324">
        <v>0</v>
      </c>
      <c r="O38" s="324">
        <v>0</v>
      </c>
    </row>
    <row r="39" spans="1:15" ht="18" customHeight="1">
      <c r="A39" s="11" t="str">
        <f t="shared" si="3"/>
        <v>CH17</v>
      </c>
      <c r="B39" s="11" t="str">
        <f t="shared" si="4"/>
        <v>SODIUM HYDROXIDE 98% (25/BAG)</v>
      </c>
      <c r="C39" s="316">
        <f t="shared" si="5"/>
        <v>0</v>
      </c>
      <c r="D39" s="317">
        <f t="shared" si="6"/>
        <v>0</v>
      </c>
      <c r="E39" s="318">
        <f t="shared" si="7"/>
        <v>0</v>
      </c>
      <c r="K39" s="11" t="s">
        <v>241</v>
      </c>
      <c r="L39" s="11" t="s">
        <v>242</v>
      </c>
      <c r="M39" s="324">
        <v>0</v>
      </c>
      <c r="N39" s="324">
        <v>0</v>
      </c>
      <c r="O39" s="324">
        <v>0</v>
      </c>
    </row>
    <row r="40" spans="1:15" ht="18" customHeight="1">
      <c r="A40" s="11" t="str">
        <f t="shared" si="3"/>
        <v>CH172</v>
      </c>
      <c r="B40" s="11" t="str">
        <f t="shared" si="4"/>
        <v>TWT- ORANGE - ROS5</v>
      </c>
      <c r="C40" s="316">
        <f t="shared" si="5"/>
        <v>0</v>
      </c>
      <c r="D40" s="317">
        <f t="shared" si="6"/>
        <v>0</v>
      </c>
      <c r="E40" s="318">
        <f t="shared" si="7"/>
        <v>0</v>
      </c>
      <c r="K40" s="11" t="s">
        <v>243</v>
      </c>
      <c r="L40" s="11" t="s">
        <v>244</v>
      </c>
      <c r="M40" s="324">
        <v>0</v>
      </c>
      <c r="N40" s="324">
        <v>0</v>
      </c>
      <c r="O40" s="324">
        <v>0</v>
      </c>
    </row>
    <row r="41" spans="1:15" ht="18" customHeight="1">
      <c r="A41" s="11" t="str">
        <f t="shared" si="3"/>
        <v>CH173</v>
      </c>
      <c r="B41" s="11" t="str">
        <f t="shared" si="4"/>
        <v xml:space="preserve">  FARSPERSE ORANGE PO-HPA -(SF) (20KG/DRUM) (PIGMENT SILICONE FREE)</v>
      </c>
      <c r="C41" s="316">
        <f t="shared" si="5"/>
        <v>0</v>
      </c>
      <c r="D41" s="317">
        <f t="shared" si="6"/>
        <v>0</v>
      </c>
      <c r="E41" s="318">
        <f t="shared" si="7"/>
        <v>0</v>
      </c>
      <c r="K41" s="11" t="s">
        <v>245</v>
      </c>
      <c r="L41" s="11" t="s">
        <v>246</v>
      </c>
      <c r="M41" s="324">
        <v>0</v>
      </c>
      <c r="N41" s="324">
        <v>0</v>
      </c>
      <c r="O41" s="324">
        <v>0</v>
      </c>
    </row>
    <row r="42" spans="1:15" ht="18" customHeight="1">
      <c r="A42" s="11" t="str">
        <f t="shared" si="3"/>
        <v>CH176</v>
      </c>
      <c r="B42" s="11" t="str">
        <f t="shared" si="4"/>
        <v>KOH 48% SOLUTION (1490KG/IBC)THANODOM</v>
      </c>
      <c r="C42" s="316">
        <f t="shared" si="5"/>
        <v>0</v>
      </c>
      <c r="D42" s="317">
        <f t="shared" si="6"/>
        <v>0</v>
      </c>
      <c r="E42" s="318">
        <f t="shared" si="7"/>
        <v>0</v>
      </c>
      <c r="K42" s="11" t="s">
        <v>247</v>
      </c>
      <c r="L42" s="11" t="s">
        <v>248</v>
      </c>
      <c r="M42" s="324">
        <v>0</v>
      </c>
      <c r="N42" s="324">
        <v>0</v>
      </c>
      <c r="O42" s="324">
        <v>0</v>
      </c>
    </row>
    <row r="43" spans="1:15" ht="18" customHeight="1">
      <c r="A43" s="11" t="str">
        <f t="shared" si="3"/>
        <v>CH177</v>
      </c>
      <c r="B43" s="11" t="str">
        <f t="shared" si="4"/>
        <v>TCK-90 ALKALINE CLEANING SOLUTION (240KGS/DRUM)/(1200KG/IBC)</v>
      </c>
      <c r="C43" s="316">
        <f t="shared" si="5"/>
        <v>0</v>
      </c>
      <c r="D43" s="317">
        <f t="shared" si="6"/>
        <v>0</v>
      </c>
      <c r="E43" s="318">
        <f t="shared" si="7"/>
        <v>0</v>
      </c>
      <c r="K43" s="11" t="s">
        <v>249</v>
      </c>
      <c r="L43" s="11" t="s">
        <v>250</v>
      </c>
      <c r="M43" s="324">
        <v>0</v>
      </c>
      <c r="N43" s="324">
        <v>0</v>
      </c>
      <c r="O43" s="324">
        <v>0</v>
      </c>
    </row>
    <row r="44" spans="1:15" ht="18" customHeight="1">
      <c r="A44" s="11" t="str">
        <f t="shared" si="3"/>
        <v>CH182</v>
      </c>
      <c r="B44" s="11" t="str">
        <f t="shared" si="4"/>
        <v>DISPERCURE ACCB60 (ACCELERATOR BOOSTER ) (200KG/DRUM)</v>
      </c>
      <c r="C44" s="316">
        <f t="shared" si="5"/>
        <v>0</v>
      </c>
      <c r="D44" s="317">
        <f t="shared" si="6"/>
        <v>0</v>
      </c>
      <c r="E44" s="318">
        <f t="shared" si="7"/>
        <v>0</v>
      </c>
      <c r="K44" s="11" t="s">
        <v>251</v>
      </c>
      <c r="L44" s="11" t="s">
        <v>252</v>
      </c>
      <c r="M44" s="324">
        <v>0</v>
      </c>
      <c r="N44" s="324">
        <v>0</v>
      </c>
      <c r="O44" s="324">
        <v>0</v>
      </c>
    </row>
    <row r="45" spans="1:15" ht="18" customHeight="1">
      <c r="A45" s="11" t="str">
        <f t="shared" si="3"/>
        <v>CH184</v>
      </c>
      <c r="B45" s="11" t="str">
        <f t="shared" si="4"/>
        <v>NOBEL 7400 (ANTI-TACK)</v>
      </c>
      <c r="C45" s="316">
        <f t="shared" si="5"/>
        <v>0</v>
      </c>
      <c r="D45" s="317">
        <f t="shared" si="6"/>
        <v>0</v>
      </c>
      <c r="E45" s="318">
        <f t="shared" si="7"/>
        <v>0</v>
      </c>
      <c r="K45" s="11" t="s">
        <v>253</v>
      </c>
      <c r="L45" s="11" t="s">
        <v>254</v>
      </c>
      <c r="M45" s="324">
        <v>0</v>
      </c>
      <c r="N45" s="324">
        <v>0</v>
      </c>
      <c r="O45" s="324">
        <v>0</v>
      </c>
    </row>
    <row r="46" spans="1:15" ht="18" customHeight="1">
      <c r="A46" s="11" t="str">
        <f t="shared" si="3"/>
        <v>CH186</v>
      </c>
      <c r="B46" s="11" t="str">
        <f t="shared" si="4"/>
        <v>(TEST) RR100 RUBBER REMOVER FOR OFFLINE CLEANING (25KG/CARBOY)</v>
      </c>
      <c r="C46" s="316">
        <f t="shared" si="5"/>
        <v>0</v>
      </c>
      <c r="D46" s="317">
        <f t="shared" si="6"/>
        <v>0</v>
      </c>
      <c r="E46" s="318">
        <f t="shared" si="7"/>
        <v>0</v>
      </c>
      <c r="K46" s="11" t="s">
        <v>255</v>
      </c>
      <c r="L46" s="11" t="s">
        <v>256</v>
      </c>
      <c r="M46" s="324">
        <v>0</v>
      </c>
      <c r="N46" s="324">
        <v>0</v>
      </c>
      <c r="O46" s="324">
        <v>0</v>
      </c>
    </row>
    <row r="47" spans="1:15" ht="18" customHeight="1">
      <c r="A47" s="11" t="str">
        <f t="shared" si="3"/>
        <v>CH196</v>
      </c>
      <c r="B47" s="11" t="str">
        <f t="shared" si="4"/>
        <v>TEXKLEEN P22 (200KG/DRUM)(ALKALINE CLEANER )</v>
      </c>
      <c r="C47" s="316">
        <f t="shared" si="5"/>
        <v>46.54</v>
      </c>
      <c r="D47" s="317">
        <f t="shared" si="6"/>
        <v>10.5</v>
      </c>
      <c r="E47" s="318">
        <f t="shared" si="7"/>
        <v>488.67</v>
      </c>
      <c r="K47" s="11" t="s">
        <v>257</v>
      </c>
      <c r="L47" s="11" t="s">
        <v>258</v>
      </c>
      <c r="M47" s="324">
        <v>46.54</v>
      </c>
      <c r="N47" s="324">
        <v>10.5</v>
      </c>
      <c r="O47" s="324">
        <v>488.67</v>
      </c>
    </row>
    <row r="48" spans="1:15" ht="18" customHeight="1">
      <c r="A48" s="11" t="str">
        <f t="shared" si="3"/>
        <v>CH199</v>
      </c>
      <c r="B48" s="11" t="str">
        <f t="shared" si="4"/>
        <v>FARSPERSE BLACK PB-ZBX SF (20 KGS/PAIL) (PIGMENT SILICONE FREE)</v>
      </c>
      <c r="C48" s="316">
        <f t="shared" si="5"/>
        <v>0</v>
      </c>
      <c r="D48" s="317">
        <f t="shared" si="6"/>
        <v>0</v>
      </c>
      <c r="E48" s="318">
        <f t="shared" si="7"/>
        <v>0</v>
      </c>
      <c r="K48" s="11" t="s">
        <v>259</v>
      </c>
      <c r="L48" s="11" t="s">
        <v>260</v>
      </c>
      <c r="M48" s="324">
        <v>0</v>
      </c>
      <c r="N48" s="324">
        <v>0</v>
      </c>
      <c r="O48" s="324">
        <v>0</v>
      </c>
    </row>
    <row r="49" spans="1:15" ht="18" customHeight="1">
      <c r="A49" s="11" t="str">
        <f t="shared" si="3"/>
        <v>CH200</v>
      </c>
      <c r="B49" s="11" t="str">
        <f t="shared" si="4"/>
        <v>FORMER CLEANER SF 101 - ALKALINE CLEANER</v>
      </c>
      <c r="C49" s="316">
        <f t="shared" si="5"/>
        <v>0</v>
      </c>
      <c r="D49" s="317">
        <f t="shared" si="6"/>
        <v>0</v>
      </c>
      <c r="E49" s="318">
        <f t="shared" si="7"/>
        <v>0</v>
      </c>
      <c r="K49" s="11" t="s">
        <v>261</v>
      </c>
      <c r="L49" s="11" t="s">
        <v>262</v>
      </c>
      <c r="M49" s="324">
        <v>0</v>
      </c>
      <c r="N49" s="324">
        <v>0</v>
      </c>
      <c r="O49" s="324">
        <v>0</v>
      </c>
    </row>
    <row r="50" spans="1:15" ht="18" customHeight="1">
      <c r="A50" s="11" t="str">
        <f t="shared" si="3"/>
        <v>CH201</v>
      </c>
      <c r="B50" s="11" t="str">
        <f t="shared" si="4"/>
        <v>(TEST) TEGO ANTIFOAM-2290 (ANTIFOAM)</v>
      </c>
      <c r="C50" s="316">
        <f t="shared" si="5"/>
        <v>0</v>
      </c>
      <c r="D50" s="317">
        <f t="shared" si="6"/>
        <v>0</v>
      </c>
      <c r="E50" s="318">
        <f t="shared" si="7"/>
        <v>0</v>
      </c>
      <c r="K50" s="11" t="s">
        <v>263</v>
      </c>
      <c r="L50" s="11" t="s">
        <v>264</v>
      </c>
      <c r="M50" s="324">
        <v>0</v>
      </c>
      <c r="N50" s="324">
        <v>0</v>
      </c>
      <c r="O50" s="324">
        <v>0</v>
      </c>
    </row>
    <row r="51" spans="1:15" ht="18" customHeight="1">
      <c r="A51" s="11" t="str">
        <f t="shared" si="3"/>
        <v>CH202</v>
      </c>
      <c r="B51" s="11" t="str">
        <f t="shared" si="4"/>
        <v>(TEST) CALNITE INNO+76 (Calcium Nitrate)</v>
      </c>
      <c r="C51" s="316">
        <f t="shared" si="5"/>
        <v>0</v>
      </c>
      <c r="D51" s="317">
        <f t="shared" si="6"/>
        <v>0</v>
      </c>
      <c r="E51" s="318">
        <f t="shared" si="7"/>
        <v>0</v>
      </c>
      <c r="K51" s="11" t="s">
        <v>265</v>
      </c>
      <c r="L51" s="11" t="s">
        <v>266</v>
      </c>
      <c r="M51" s="324">
        <v>0</v>
      </c>
      <c r="N51" s="324">
        <v>0</v>
      </c>
      <c r="O51" s="324">
        <v>0</v>
      </c>
    </row>
    <row r="52" spans="1:15" ht="18" customHeight="1">
      <c r="A52" s="11" t="str">
        <f t="shared" si="3"/>
        <v>CH203</v>
      </c>
      <c r="B52" s="11" t="str">
        <f t="shared" si="4"/>
        <v>(TEST)CYCLARON927 (ANTI-TACK)</v>
      </c>
      <c r="C52" s="316">
        <f t="shared" si="5"/>
        <v>0</v>
      </c>
      <c r="D52" s="317">
        <f t="shared" si="6"/>
        <v>0</v>
      </c>
      <c r="E52" s="318">
        <f t="shared" si="7"/>
        <v>0</v>
      </c>
      <c r="K52" s="11" t="s">
        <v>267</v>
      </c>
      <c r="L52" s="11" t="s">
        <v>268</v>
      </c>
      <c r="M52" s="324">
        <v>0</v>
      </c>
      <c r="N52" s="324">
        <v>0</v>
      </c>
      <c r="O52" s="324">
        <v>0</v>
      </c>
    </row>
    <row r="53" spans="1:15" ht="18" customHeight="1">
      <c r="A53" s="11" t="str">
        <f t="shared" si="3"/>
        <v>CH206</v>
      </c>
      <c r="B53" s="11" t="str">
        <f t="shared" si="4"/>
        <v>(TEST) OCTOWAX 817(M) (WAX)</v>
      </c>
      <c r="C53" s="316">
        <f t="shared" si="5"/>
        <v>0</v>
      </c>
      <c r="D53" s="317">
        <f t="shared" si="6"/>
        <v>0</v>
      </c>
      <c r="E53" s="318">
        <f t="shared" si="7"/>
        <v>0</v>
      </c>
      <c r="K53" s="11" t="s">
        <v>269</v>
      </c>
      <c r="L53" s="11" t="s">
        <v>270</v>
      </c>
      <c r="M53" s="324">
        <v>0</v>
      </c>
      <c r="N53" s="324">
        <v>0</v>
      </c>
      <c r="O53" s="324">
        <v>0</v>
      </c>
    </row>
    <row r="54" spans="1:15" ht="18" customHeight="1">
      <c r="A54" s="11" t="str">
        <f t="shared" si="3"/>
        <v>CH208</v>
      </c>
      <c r="B54" s="11" t="str">
        <f t="shared" si="4"/>
        <v>(TEST) MRA-N23T (200KG/DR) - ANTI TACKY</v>
      </c>
      <c r="C54" s="316">
        <f t="shared" si="5"/>
        <v>0</v>
      </c>
      <c r="D54" s="317">
        <f t="shared" si="6"/>
        <v>0</v>
      </c>
      <c r="E54" s="318">
        <f t="shared" si="7"/>
        <v>0</v>
      </c>
      <c r="K54" s="11" t="s">
        <v>271</v>
      </c>
      <c r="L54" s="11" t="s">
        <v>272</v>
      </c>
      <c r="M54" s="324">
        <v>0</v>
      </c>
      <c r="N54" s="324">
        <v>0</v>
      </c>
      <c r="O54" s="324">
        <v>0</v>
      </c>
    </row>
    <row r="55" spans="1:15" ht="18" customHeight="1">
      <c r="A55" s="11" t="str">
        <f t="shared" si="3"/>
        <v>CH209</v>
      </c>
      <c r="B55" s="11" t="str">
        <f t="shared" si="4"/>
        <v>(TEST) SPECLEAN8 (240KG/DRUM) - ALKALINE CLEANER</v>
      </c>
      <c r="C55" s="316">
        <f t="shared" si="5"/>
        <v>0</v>
      </c>
      <c r="D55" s="317">
        <f t="shared" si="6"/>
        <v>0</v>
      </c>
      <c r="E55" s="318">
        <f t="shared" si="7"/>
        <v>0</v>
      </c>
      <c r="K55" s="11" t="s">
        <v>273</v>
      </c>
      <c r="L55" s="11" t="s">
        <v>274</v>
      </c>
      <c r="M55" s="324">
        <v>0</v>
      </c>
      <c r="N55" s="324">
        <v>0</v>
      </c>
      <c r="O55" s="324">
        <v>0</v>
      </c>
    </row>
    <row r="56" spans="1:15" ht="18" customHeight="1">
      <c r="A56" s="11" t="str">
        <f t="shared" si="3"/>
        <v>CH211</v>
      </c>
      <c r="B56" s="11" t="str">
        <f t="shared" si="4"/>
        <v xml:space="preserve">  (TEST) CALCIUM NITRATE TETRAHYDRATE CRYSTAL ( CALCIUM SALT )(25KG/BG)</v>
      </c>
      <c r="C56" s="316">
        <f t="shared" si="5"/>
        <v>27892.491640471886</v>
      </c>
      <c r="D56" s="317">
        <f t="shared" si="6"/>
        <v>8.2399651835518721</v>
      </c>
      <c r="E56" s="318">
        <f t="shared" si="7"/>
        <v>229833.16</v>
      </c>
      <c r="K56" s="11" t="s">
        <v>275</v>
      </c>
      <c r="L56" s="11" t="s">
        <v>276</v>
      </c>
      <c r="M56" s="324">
        <v>27892.491640471886</v>
      </c>
      <c r="N56" s="324">
        <v>8.2399651835518721</v>
      </c>
      <c r="O56" s="324">
        <v>229833.16</v>
      </c>
    </row>
    <row r="57" spans="1:15" ht="18" customHeight="1">
      <c r="A57" s="11" t="str">
        <f t="shared" si="3"/>
        <v>CH212</v>
      </c>
      <c r="B57" s="11" t="str">
        <f t="shared" si="4"/>
        <v xml:space="preserve">  (TEST) POTASSIUM HYDROXIDE FLAKE 90% ( KOH ) ( 25 KGS / BAG )</v>
      </c>
      <c r="C57" s="316">
        <f t="shared" si="5"/>
        <v>770.12553201006278</v>
      </c>
      <c r="D57" s="317">
        <f t="shared" si="6"/>
        <v>34.999969329218139</v>
      </c>
      <c r="E57" s="318">
        <f t="shared" si="7"/>
        <v>26954.37</v>
      </c>
      <c r="K57" s="11" t="s">
        <v>277</v>
      </c>
      <c r="L57" s="11" t="s">
        <v>278</v>
      </c>
      <c r="M57" s="324">
        <v>770.12553201006278</v>
      </c>
      <c r="N57" s="324">
        <v>34.999969329218139</v>
      </c>
      <c r="O57" s="324">
        <v>26954.37</v>
      </c>
    </row>
    <row r="58" spans="1:15" ht="18" customHeight="1">
      <c r="A58" s="11" t="str">
        <f t="shared" si="3"/>
        <v>CH215</v>
      </c>
      <c r="B58" s="11" t="str">
        <f t="shared" si="4"/>
        <v xml:space="preserve">  (TEST)ACUMIN H65 (1600KG/IBC) - FILLER</v>
      </c>
      <c r="C58" s="316">
        <f t="shared" si="5"/>
        <v>974.02614677830638</v>
      </c>
      <c r="D58" s="317">
        <f t="shared" si="6"/>
        <v>20.689454863871042</v>
      </c>
      <c r="E58" s="318">
        <f t="shared" si="7"/>
        <v>20152.07</v>
      </c>
      <c r="K58" s="11" t="s">
        <v>279</v>
      </c>
      <c r="L58" s="11" t="s">
        <v>280</v>
      </c>
      <c r="M58" s="324">
        <v>974.02614677830638</v>
      </c>
      <c r="N58" s="324">
        <v>20.689454863871042</v>
      </c>
      <c r="O58" s="324">
        <v>20152.07</v>
      </c>
    </row>
    <row r="59" spans="1:15" ht="18" customHeight="1">
      <c r="A59" s="11" t="str">
        <f t="shared" si="3"/>
        <v>CH216</v>
      </c>
      <c r="B59" s="11" t="str">
        <f t="shared" si="4"/>
        <v xml:space="preserve">  (TEST)HYDROPERSE SWK-50 (1400KG/IBC) (FILLER)</v>
      </c>
      <c r="C59" s="316">
        <f t="shared" si="5"/>
        <v>0</v>
      </c>
      <c r="D59" s="317">
        <f t="shared" si="6"/>
        <v>0</v>
      </c>
      <c r="E59" s="318">
        <f t="shared" si="7"/>
        <v>0</v>
      </c>
      <c r="K59" s="11" t="s">
        <v>281</v>
      </c>
      <c r="L59" s="11" t="s">
        <v>282</v>
      </c>
      <c r="M59" s="324">
        <v>0</v>
      </c>
      <c r="N59" s="324">
        <v>0</v>
      </c>
      <c r="O59" s="324">
        <v>0</v>
      </c>
    </row>
    <row r="60" spans="1:15" ht="18" customHeight="1">
      <c r="A60" s="11" t="str">
        <f t="shared" si="3"/>
        <v>CH217</v>
      </c>
      <c r="B60" s="11" t="str">
        <f t="shared" si="4"/>
        <v xml:space="preserve">  (TEST)TWT-BLUE RBL2/C (1523) (20KG/DRUM) (PIGMENT)</v>
      </c>
      <c r="C60" s="316">
        <f t="shared" si="5"/>
        <v>0</v>
      </c>
      <c r="D60" s="317">
        <f t="shared" si="6"/>
        <v>0</v>
      </c>
      <c r="E60" s="318">
        <f t="shared" si="7"/>
        <v>0</v>
      </c>
      <c r="K60" s="11" t="s">
        <v>283</v>
      </c>
      <c r="L60" s="11" t="s">
        <v>284</v>
      </c>
      <c r="M60" s="324">
        <v>0</v>
      </c>
      <c r="N60" s="324">
        <v>0</v>
      </c>
      <c r="O60" s="324">
        <v>0</v>
      </c>
    </row>
    <row r="61" spans="1:15" ht="18" customHeight="1">
      <c r="A61" s="11" t="str">
        <f t="shared" si="3"/>
        <v>CH218</v>
      </c>
      <c r="B61" s="11" t="str">
        <f t="shared" si="4"/>
        <v xml:space="preserve">  (TEST)TWT-HIGH VIOLET-VI0002/A(20KG/DRUM) (PIGMENT)</v>
      </c>
      <c r="C61" s="316">
        <f t="shared" si="5"/>
        <v>0</v>
      </c>
      <c r="D61" s="317">
        <f t="shared" si="6"/>
        <v>0</v>
      </c>
      <c r="E61" s="318">
        <f t="shared" si="7"/>
        <v>0</v>
      </c>
      <c r="K61" s="11" t="s">
        <v>285</v>
      </c>
      <c r="L61" s="11" t="s">
        <v>286</v>
      </c>
      <c r="M61" s="324">
        <v>0</v>
      </c>
      <c r="N61" s="324">
        <v>0</v>
      </c>
      <c r="O61" s="324">
        <v>0</v>
      </c>
    </row>
    <row r="62" spans="1:15" ht="18" customHeight="1">
      <c r="A62" s="11" t="str">
        <f t="shared" si="3"/>
        <v>CH219</v>
      </c>
      <c r="B62" s="11" t="str">
        <f t="shared" si="4"/>
        <v xml:space="preserve">  (TEST) TAMOL 9104 (25KG/PACK) DISPERSING AGENT</v>
      </c>
      <c r="C62" s="316">
        <f t="shared" si="5"/>
        <v>0</v>
      </c>
      <c r="D62" s="317">
        <f t="shared" si="6"/>
        <v>0</v>
      </c>
      <c r="E62" s="318">
        <f t="shared" si="7"/>
        <v>0</v>
      </c>
      <c r="K62" s="11" t="s">
        <v>287</v>
      </c>
      <c r="L62" s="11" t="s">
        <v>288</v>
      </c>
      <c r="M62" s="324">
        <v>0</v>
      </c>
      <c r="N62" s="324">
        <v>0</v>
      </c>
      <c r="O62" s="324">
        <v>0</v>
      </c>
    </row>
    <row r="63" spans="1:15" ht="18" customHeight="1">
      <c r="A63" s="11" t="str">
        <f t="shared" si="3"/>
        <v>CH22</v>
      </c>
      <c r="B63" s="11" t="str">
        <f t="shared" si="4"/>
        <v>POTASSIUM HYDROXIDE (KOH) 95% (25 KGS/BAG)</v>
      </c>
      <c r="C63" s="316">
        <f t="shared" si="5"/>
        <v>0</v>
      </c>
      <c r="D63" s="317">
        <f t="shared" si="6"/>
        <v>0</v>
      </c>
      <c r="E63" s="318">
        <f t="shared" si="7"/>
        <v>0</v>
      </c>
      <c r="K63" s="11" t="s">
        <v>289</v>
      </c>
      <c r="L63" s="11" t="s">
        <v>290</v>
      </c>
      <c r="M63" s="324">
        <v>0</v>
      </c>
      <c r="N63" s="324">
        <v>0</v>
      </c>
      <c r="O63" s="324">
        <v>0</v>
      </c>
    </row>
    <row r="64" spans="1:15" ht="18" customHeight="1">
      <c r="A64" s="11" t="str">
        <f t="shared" si="3"/>
        <v>CH220</v>
      </c>
      <c r="B64" s="11" t="str">
        <f t="shared" si="4"/>
        <v xml:space="preserve">  (TEST) MAXSI 01(25KG/Pail) SILICONE</v>
      </c>
      <c r="C64" s="316">
        <f t="shared" si="5"/>
        <v>0</v>
      </c>
      <c r="D64" s="317">
        <f t="shared" si="6"/>
        <v>0</v>
      </c>
      <c r="E64" s="318">
        <f t="shared" si="7"/>
        <v>0</v>
      </c>
      <c r="K64" s="11" t="s">
        <v>291</v>
      </c>
      <c r="L64" s="11" t="s">
        <v>292</v>
      </c>
      <c r="M64" s="324">
        <v>0</v>
      </c>
      <c r="N64" s="324">
        <v>0</v>
      </c>
      <c r="O64" s="324">
        <v>0</v>
      </c>
    </row>
    <row r="65" spans="1:15" ht="18" customHeight="1">
      <c r="A65" s="11" t="str">
        <f t="shared" si="3"/>
        <v>CH221</v>
      </c>
      <c r="B65" s="11" t="str">
        <f t="shared" si="4"/>
        <v xml:space="preserve">  (TEST) SPECLEAN SC (220KG/DRUM) COMPOSITE CLEANER</v>
      </c>
      <c r="C65" s="316">
        <f t="shared" si="5"/>
        <v>0</v>
      </c>
      <c r="D65" s="317">
        <f t="shared" si="6"/>
        <v>0</v>
      </c>
      <c r="E65" s="318">
        <f t="shared" si="7"/>
        <v>0</v>
      </c>
      <c r="K65" s="11" t="s">
        <v>293</v>
      </c>
      <c r="L65" s="11" t="s">
        <v>294</v>
      </c>
      <c r="M65" s="324">
        <v>0</v>
      </c>
      <c r="N65" s="324">
        <v>0</v>
      </c>
      <c r="O65" s="324">
        <v>0</v>
      </c>
    </row>
    <row r="66" spans="1:15" ht="18" customHeight="1">
      <c r="A66" s="11" t="str">
        <f t="shared" si="3"/>
        <v>CH222</v>
      </c>
      <c r="B66" s="11" t="str">
        <f t="shared" si="4"/>
        <v xml:space="preserve">  AQUAWAX 022S (950KG/IBC) -WAX</v>
      </c>
      <c r="C66" s="316">
        <f t="shared" si="5"/>
        <v>524.30400340356164</v>
      </c>
      <c r="D66" s="317">
        <f t="shared" si="6"/>
        <v>40.261718131020864</v>
      </c>
      <c r="E66" s="318">
        <f t="shared" si="7"/>
        <v>21109.38</v>
      </c>
      <c r="K66" s="11" t="s">
        <v>295</v>
      </c>
      <c r="L66" s="11" t="s">
        <v>296</v>
      </c>
      <c r="M66" s="324">
        <v>524.30400340356164</v>
      </c>
      <c r="N66" s="324">
        <v>40.261718131020864</v>
      </c>
      <c r="O66" s="324">
        <v>21109.38</v>
      </c>
    </row>
    <row r="67" spans="1:15" ht="18" customHeight="1">
      <c r="A67" s="11" t="str">
        <f t="shared" si="3"/>
        <v>CH223</v>
      </c>
      <c r="B67" s="11" t="str">
        <f t="shared" si="4"/>
        <v xml:space="preserve">  (TEST) ECD 011 (1200KG/IBC) (CO-CROSSLINKER)</v>
      </c>
      <c r="C67" s="316">
        <f t="shared" si="5"/>
        <v>0</v>
      </c>
      <c r="D67" s="317">
        <f t="shared" si="6"/>
        <v>0</v>
      </c>
      <c r="E67" s="318">
        <f t="shared" si="7"/>
        <v>0</v>
      </c>
      <c r="K67" s="11" t="s">
        <v>297</v>
      </c>
      <c r="L67" s="11" t="s">
        <v>298</v>
      </c>
      <c r="M67" s="324">
        <v>0</v>
      </c>
      <c r="N67" s="324">
        <v>0</v>
      </c>
      <c r="O67" s="324">
        <v>0</v>
      </c>
    </row>
    <row r="68" spans="1:15" ht="18" customHeight="1">
      <c r="A68" s="11" t="str">
        <f t="shared" si="3"/>
        <v>CH224</v>
      </c>
      <c r="B68" s="11" t="str">
        <f t="shared" si="4"/>
        <v xml:space="preserve">  (TEST) ESD090 (1200KG/IBC) (EXTENDER)</v>
      </c>
      <c r="C68" s="316">
        <f t="shared" si="5"/>
        <v>0</v>
      </c>
      <c r="D68" s="317">
        <f t="shared" si="6"/>
        <v>0</v>
      </c>
      <c r="E68" s="318">
        <f t="shared" si="7"/>
        <v>0</v>
      </c>
      <c r="K68" s="11" t="s">
        <v>299</v>
      </c>
      <c r="L68" s="11" t="s">
        <v>300</v>
      </c>
      <c r="M68" s="324">
        <v>0</v>
      </c>
      <c r="N68" s="324">
        <v>0</v>
      </c>
      <c r="O68" s="324">
        <v>0</v>
      </c>
    </row>
    <row r="69" spans="1:15" ht="18" customHeight="1">
      <c r="A69" s="11" t="str">
        <f t="shared" si="3"/>
        <v>CH225</v>
      </c>
      <c r="B69" s="11" t="str">
        <f t="shared" si="4"/>
        <v xml:space="preserve">  (TEST) MRA-N55 (200KG/DR) - ANTI TACK</v>
      </c>
      <c r="C69" s="316">
        <f t="shared" si="5"/>
        <v>0</v>
      </c>
      <c r="D69" s="317">
        <f t="shared" si="6"/>
        <v>0</v>
      </c>
      <c r="E69" s="318">
        <f t="shared" si="7"/>
        <v>0</v>
      </c>
      <c r="K69" s="11" t="s">
        <v>301</v>
      </c>
      <c r="L69" s="11" t="s">
        <v>302</v>
      </c>
      <c r="M69" s="324">
        <v>0</v>
      </c>
      <c r="N69" s="324">
        <v>0</v>
      </c>
      <c r="O69" s="324">
        <v>0</v>
      </c>
    </row>
    <row r="70" spans="1:15" ht="18" customHeight="1">
      <c r="A70" s="11" t="str">
        <f t="shared" ref="A70:A133" si="8">+K70</f>
        <v>CH227</v>
      </c>
      <c r="B70" s="11" t="str">
        <f t="shared" ref="B70:B133" si="9">+L70</f>
        <v xml:space="preserve">  (TEST) NEOPELEX G-15P (1000KG/IBC) (SDBS)</v>
      </c>
      <c r="C70" s="316">
        <f t="shared" ref="C70:C133" si="10">SUMIF(K:K,A70,M:M)</f>
        <v>327.06877410686911</v>
      </c>
      <c r="D70" s="317">
        <f t="shared" ref="D70:D133" si="11">IF(C70=0,0,E70/C70)</f>
        <v>14.07046579902581</v>
      </c>
      <c r="E70" s="318">
        <f t="shared" ref="E70:E133" si="12">SUMIF($K:$K,A70,O:O)</f>
        <v>4602.01</v>
      </c>
      <c r="K70" s="11" t="s">
        <v>303</v>
      </c>
      <c r="L70" s="11" t="s">
        <v>304</v>
      </c>
      <c r="M70" s="324">
        <v>327.06877410686911</v>
      </c>
      <c r="N70" s="324">
        <v>14.07046579902581</v>
      </c>
      <c r="O70" s="324">
        <v>4602.01</v>
      </c>
    </row>
    <row r="71" spans="1:15" ht="17.45" customHeight="1">
      <c r="A71" s="11" t="str">
        <f t="shared" si="8"/>
        <v>CH228</v>
      </c>
      <c r="B71" s="11" t="str">
        <f t="shared" si="9"/>
        <v xml:space="preserve">  (TEST) MRA-N59 (200KG/DR) - ANTI TACK</v>
      </c>
      <c r="C71" s="316">
        <f t="shared" si="10"/>
        <v>0</v>
      </c>
      <c r="D71" s="317">
        <f t="shared" si="11"/>
        <v>0</v>
      </c>
      <c r="E71" s="318">
        <f t="shared" si="12"/>
        <v>0</v>
      </c>
      <c r="K71" s="11" t="s">
        <v>305</v>
      </c>
      <c r="L71" s="11" t="s">
        <v>306</v>
      </c>
      <c r="M71" s="324">
        <v>0</v>
      </c>
      <c r="N71" s="324">
        <v>0</v>
      </c>
      <c r="O71" s="324">
        <v>0</v>
      </c>
    </row>
    <row r="72" spans="1:15" ht="18" customHeight="1">
      <c r="A72" s="11" t="str">
        <f t="shared" si="8"/>
        <v>CH229</v>
      </c>
      <c r="B72" s="11" t="str">
        <f t="shared" si="9"/>
        <v xml:space="preserve">  (TEST) MRC600NB50(1400KG/IBC) MOQ: 23,800KG EXTENDER</v>
      </c>
      <c r="C72" s="316">
        <f t="shared" si="10"/>
        <v>1534.4433596425533</v>
      </c>
      <c r="D72" s="317">
        <f t="shared" si="11"/>
        <v>13.074343783320474</v>
      </c>
      <c r="E72" s="318">
        <f t="shared" si="12"/>
        <v>20061.84</v>
      </c>
      <c r="K72" s="11" t="s">
        <v>307</v>
      </c>
      <c r="L72" s="11" t="s">
        <v>308</v>
      </c>
      <c r="M72" s="324">
        <v>1534.4433596425533</v>
      </c>
      <c r="N72" s="324">
        <v>13.074343783320474</v>
      </c>
      <c r="O72" s="324">
        <v>20061.84</v>
      </c>
    </row>
    <row r="73" spans="1:15" ht="18" customHeight="1">
      <c r="A73" s="11" t="str">
        <f t="shared" si="8"/>
        <v>CH23</v>
      </c>
      <c r="B73" s="11" t="str">
        <f t="shared" si="9"/>
        <v>AMMONIUM HYDROXIDE 180KGS /DRUM</v>
      </c>
      <c r="C73" s="316">
        <f t="shared" si="10"/>
        <v>32.201704000000007</v>
      </c>
      <c r="D73" s="317">
        <f t="shared" si="11"/>
        <v>10.826135163530475</v>
      </c>
      <c r="E73" s="318">
        <f t="shared" si="12"/>
        <v>348.62</v>
      </c>
      <c r="K73" s="11" t="s">
        <v>309</v>
      </c>
      <c r="L73" s="11" t="s">
        <v>310</v>
      </c>
      <c r="M73" s="324">
        <v>32.201704000000007</v>
      </c>
      <c r="N73" s="324">
        <v>10.826135163530475</v>
      </c>
      <c r="O73" s="324">
        <v>348.62</v>
      </c>
    </row>
    <row r="74" spans="1:15" ht="18" customHeight="1">
      <c r="A74" s="11" t="str">
        <f t="shared" si="8"/>
        <v>CH230</v>
      </c>
      <c r="B74" s="11" t="str">
        <f t="shared" si="9"/>
        <v xml:space="preserve">  CALCIUM NITRATE LIQUOR 54- 56% (30,000KG/TANK)-MEY CHEMICAL</v>
      </c>
      <c r="C74" s="316">
        <f t="shared" si="10"/>
        <v>0</v>
      </c>
      <c r="D74" s="317">
        <f t="shared" si="11"/>
        <v>0</v>
      </c>
      <c r="E74" s="318">
        <f t="shared" si="12"/>
        <v>0</v>
      </c>
      <c r="K74" s="11" t="s">
        <v>311</v>
      </c>
      <c r="L74" s="11" t="s">
        <v>312</v>
      </c>
      <c r="M74" s="324">
        <v>0</v>
      </c>
      <c r="N74" s="324">
        <v>0</v>
      </c>
      <c r="O74" s="324">
        <v>0</v>
      </c>
    </row>
    <row r="75" spans="1:15" ht="18" customHeight="1">
      <c r="A75" s="11" t="str">
        <f t="shared" si="8"/>
        <v>CH233</v>
      </c>
      <c r="B75" s="11" t="str">
        <f t="shared" si="9"/>
        <v xml:space="preserve">  (TEST) MAXSIL B280M(200kg/DRUM) - NBR POLYMER</v>
      </c>
      <c r="C75" s="316">
        <f t="shared" si="10"/>
        <v>1579.2950000000001</v>
      </c>
      <c r="D75" s="317">
        <f t="shared" si="11"/>
        <v>62.664005141534666</v>
      </c>
      <c r="E75" s="318">
        <f t="shared" si="12"/>
        <v>98964.95</v>
      </c>
      <c r="K75" s="11" t="s">
        <v>313</v>
      </c>
      <c r="L75" s="11" t="s">
        <v>314</v>
      </c>
      <c r="M75" s="324">
        <v>1579.2950000000001</v>
      </c>
      <c r="N75" s="324">
        <v>62.664005141534666</v>
      </c>
      <c r="O75" s="324">
        <v>98964.95</v>
      </c>
    </row>
    <row r="76" spans="1:15" ht="18" customHeight="1">
      <c r="A76" s="11" t="str">
        <f t="shared" si="8"/>
        <v>CH234</v>
      </c>
      <c r="B76" s="11" t="str">
        <f t="shared" si="9"/>
        <v xml:space="preserve">  (TEST) MAXADD WT300(200KG/DRUM) - WETTING AGENT</v>
      </c>
      <c r="C76" s="316">
        <f t="shared" si="10"/>
        <v>0</v>
      </c>
      <c r="D76" s="317">
        <f t="shared" si="11"/>
        <v>0</v>
      </c>
      <c r="E76" s="318">
        <f t="shared" si="12"/>
        <v>0</v>
      </c>
      <c r="K76" s="11" t="s">
        <v>315</v>
      </c>
      <c r="L76" s="11" t="s">
        <v>316</v>
      </c>
      <c r="M76" s="324">
        <v>0</v>
      </c>
      <c r="N76" s="324">
        <v>0</v>
      </c>
      <c r="O76" s="324">
        <v>0</v>
      </c>
    </row>
    <row r="77" spans="1:15" ht="18" customHeight="1">
      <c r="A77" s="11" t="str">
        <f t="shared" si="8"/>
        <v>CH235</v>
      </c>
      <c r="B77" s="11" t="str">
        <f t="shared" si="9"/>
        <v xml:space="preserve">  (TEST) MAXCO B3108M (200KG/DRUM) - ANTI TACK</v>
      </c>
      <c r="C77" s="316">
        <f t="shared" si="10"/>
        <v>473.45058741258742</v>
      </c>
      <c r="D77" s="317">
        <f t="shared" si="11"/>
        <v>51.85533750031054</v>
      </c>
      <c r="E77" s="318">
        <f t="shared" si="12"/>
        <v>24550.94</v>
      </c>
      <c r="K77" s="11" t="s">
        <v>317</v>
      </c>
      <c r="L77" s="11" t="s">
        <v>318</v>
      </c>
      <c r="M77" s="324">
        <v>473.45058741258742</v>
      </c>
      <c r="N77" s="324">
        <v>51.85533750031054</v>
      </c>
      <c r="O77" s="324">
        <v>24550.94</v>
      </c>
    </row>
    <row r="78" spans="1:15" ht="18" customHeight="1">
      <c r="A78" s="11" t="str">
        <f t="shared" si="8"/>
        <v>CH238</v>
      </c>
      <c r="B78" s="11" t="str">
        <f t="shared" si="9"/>
        <v xml:space="preserve">  (TEST) OCTOWET LWA (200KG/DRUM)-WETTING AGENT</v>
      </c>
      <c r="C78" s="316">
        <f t="shared" si="10"/>
        <v>0</v>
      </c>
      <c r="D78" s="317">
        <f t="shared" si="11"/>
        <v>0</v>
      </c>
      <c r="E78" s="318">
        <f t="shared" si="12"/>
        <v>0</v>
      </c>
      <c r="K78" s="11" t="s">
        <v>319</v>
      </c>
      <c r="L78" s="11" t="s">
        <v>320</v>
      </c>
      <c r="M78" s="324">
        <v>0</v>
      </c>
      <c r="N78" s="324">
        <v>0</v>
      </c>
      <c r="O78" s="324">
        <v>0</v>
      </c>
    </row>
    <row r="79" spans="1:15" ht="18" customHeight="1">
      <c r="A79" s="11" t="str">
        <f t="shared" si="8"/>
        <v>CH240</v>
      </c>
      <c r="B79" s="11" t="str">
        <f t="shared" si="9"/>
        <v xml:space="preserve">  (TEST) ALPHALINK 50 (200KG/DRUM),(1000KG/IBC) - ACELERATOR FREE CROSSLINKER</v>
      </c>
      <c r="C79" s="316">
        <f t="shared" si="10"/>
        <v>265.60419791288166</v>
      </c>
      <c r="D79" s="317">
        <f t="shared" si="11"/>
        <v>77.640527378877934</v>
      </c>
      <c r="E79" s="318">
        <f t="shared" si="12"/>
        <v>20621.650000000001</v>
      </c>
      <c r="K79" s="11" t="s">
        <v>321</v>
      </c>
      <c r="L79" s="11" t="s">
        <v>322</v>
      </c>
      <c r="M79" s="324">
        <v>265.60419791288166</v>
      </c>
      <c r="N79" s="324">
        <v>77.640527378877934</v>
      </c>
      <c r="O79" s="324">
        <v>20621.650000000001</v>
      </c>
    </row>
    <row r="80" spans="1:15" ht="18" customHeight="1">
      <c r="A80" s="11" t="str">
        <f t="shared" si="8"/>
        <v>CH249</v>
      </c>
      <c r="B80" s="11" t="str">
        <f t="shared" si="9"/>
        <v xml:space="preserve">  (TEST) SULPHUR 60% 1200 KGS/IBC</v>
      </c>
      <c r="C80" s="316">
        <f t="shared" si="10"/>
        <v>0</v>
      </c>
      <c r="D80" s="317">
        <f t="shared" si="11"/>
        <v>0</v>
      </c>
      <c r="E80" s="318">
        <f t="shared" si="12"/>
        <v>0</v>
      </c>
      <c r="K80" s="11" t="s">
        <v>323</v>
      </c>
      <c r="L80" s="11" t="s">
        <v>324</v>
      </c>
      <c r="M80" s="324">
        <v>0</v>
      </c>
      <c r="N80" s="324">
        <v>0</v>
      </c>
      <c r="O80" s="324">
        <v>0</v>
      </c>
    </row>
    <row r="81" spans="1:15" ht="18" customHeight="1">
      <c r="A81" s="11" t="str">
        <f t="shared" si="8"/>
        <v>CH250</v>
      </c>
      <c r="B81" s="11" t="str">
        <f t="shared" si="9"/>
        <v xml:space="preserve">  (TEST) ZINC OXIDE 60% (1400KG/IBC)</v>
      </c>
      <c r="C81" s="316">
        <f t="shared" si="10"/>
        <v>0</v>
      </c>
      <c r="D81" s="317">
        <f t="shared" si="11"/>
        <v>0</v>
      </c>
      <c r="E81" s="318">
        <f t="shared" si="12"/>
        <v>0</v>
      </c>
      <c r="K81" s="11" t="s">
        <v>325</v>
      </c>
      <c r="L81" s="11" t="s">
        <v>326</v>
      </c>
      <c r="M81" s="324">
        <v>0</v>
      </c>
      <c r="N81" s="324">
        <v>0</v>
      </c>
      <c r="O81" s="324">
        <v>0</v>
      </c>
    </row>
    <row r="82" spans="1:15" ht="18" customHeight="1">
      <c r="A82" s="11" t="str">
        <f t="shared" si="8"/>
        <v>CH251</v>
      </c>
      <c r="B82" s="11" t="str">
        <f t="shared" si="9"/>
        <v xml:space="preserve">  (TEST) TITANIUM DIOXIDE 70% (TIO2 70%) (1400KG/IBC)</v>
      </c>
      <c r="C82" s="316">
        <f t="shared" si="10"/>
        <v>0</v>
      </c>
      <c r="D82" s="317">
        <f t="shared" si="11"/>
        <v>0</v>
      </c>
      <c r="E82" s="318">
        <f t="shared" si="12"/>
        <v>0</v>
      </c>
      <c r="K82" s="11" t="s">
        <v>327</v>
      </c>
      <c r="L82" s="11" t="s">
        <v>328</v>
      </c>
      <c r="M82" s="324">
        <v>0</v>
      </c>
      <c r="N82" s="324">
        <v>0</v>
      </c>
      <c r="O82" s="324">
        <v>0</v>
      </c>
    </row>
    <row r="83" spans="1:15" ht="18" customHeight="1">
      <c r="A83" s="11" t="str">
        <f t="shared" si="8"/>
        <v>CH252</v>
      </c>
      <c r="B83" s="11" t="str">
        <f t="shared" si="9"/>
        <v xml:space="preserve">  (TEST) KLEEN S21 (225KG/DRUM) (ALAKLINE CLEANNER)</v>
      </c>
      <c r="C83" s="316">
        <f t="shared" si="10"/>
        <v>107.01</v>
      </c>
      <c r="D83" s="317">
        <f t="shared" si="11"/>
        <v>10.121297075039715</v>
      </c>
      <c r="E83" s="318">
        <f t="shared" si="12"/>
        <v>1083.08</v>
      </c>
      <c r="K83" s="11" t="s">
        <v>329</v>
      </c>
      <c r="L83" s="11" t="s">
        <v>330</v>
      </c>
      <c r="M83" s="324">
        <v>107.01</v>
      </c>
      <c r="N83" s="324">
        <v>10.121297075039715</v>
      </c>
      <c r="O83" s="324">
        <v>1083.08</v>
      </c>
    </row>
    <row r="84" spans="1:15" ht="18" customHeight="1">
      <c r="A84" s="11" t="str">
        <f t="shared" si="8"/>
        <v>CH26</v>
      </c>
      <c r="B84" s="11" t="str">
        <f t="shared" si="9"/>
        <v>NITRIC ACID 68% (280 KGS/DRUM )</v>
      </c>
      <c r="C84" s="316">
        <f t="shared" si="10"/>
        <v>87.62</v>
      </c>
      <c r="D84" s="317">
        <f t="shared" si="11"/>
        <v>13.088906642319104</v>
      </c>
      <c r="E84" s="318">
        <f t="shared" si="12"/>
        <v>1146.8499999999999</v>
      </c>
      <c r="K84" s="11" t="s">
        <v>331</v>
      </c>
      <c r="L84" s="11" t="s">
        <v>72</v>
      </c>
      <c r="M84" s="324">
        <v>87.62</v>
      </c>
      <c r="N84" s="324">
        <v>13.088906642319104</v>
      </c>
      <c r="O84" s="324">
        <v>1146.8499999999999</v>
      </c>
    </row>
    <row r="85" spans="1:15" ht="18" customHeight="1">
      <c r="A85" s="11" t="str">
        <f t="shared" si="8"/>
        <v>CH45</v>
      </c>
      <c r="B85" s="11" t="str">
        <f t="shared" si="9"/>
        <v>CALCIUM NITRATE, SOLUTION 54-54% (310/DRUM),(25000KG/TANK)</v>
      </c>
      <c r="C85" s="316">
        <f t="shared" si="10"/>
        <v>0</v>
      </c>
      <c r="D85" s="317">
        <f t="shared" si="11"/>
        <v>0</v>
      </c>
      <c r="E85" s="318">
        <f t="shared" si="12"/>
        <v>0</v>
      </c>
      <c r="K85" s="11" t="s">
        <v>332</v>
      </c>
      <c r="L85" s="11" t="s">
        <v>333</v>
      </c>
      <c r="M85" s="324">
        <v>0</v>
      </c>
      <c r="N85" s="324">
        <v>0</v>
      </c>
      <c r="O85" s="324">
        <v>0</v>
      </c>
    </row>
    <row r="86" spans="1:15" ht="18" customHeight="1">
      <c r="A86" s="11" t="str">
        <f t="shared" si="8"/>
        <v>CH57</v>
      </c>
      <c r="B86" s="11" t="str">
        <f t="shared" si="9"/>
        <v>CARBOWET LSF ( 213 KGS / DRUM )</v>
      </c>
      <c r="C86" s="316">
        <f t="shared" si="10"/>
        <v>0</v>
      </c>
      <c r="D86" s="317">
        <f t="shared" si="11"/>
        <v>0</v>
      </c>
      <c r="E86" s="318">
        <f t="shared" si="12"/>
        <v>0</v>
      </c>
      <c r="K86" s="11" t="s">
        <v>334</v>
      </c>
      <c r="L86" s="11" t="s">
        <v>335</v>
      </c>
      <c r="M86" s="324">
        <v>0</v>
      </c>
      <c r="N86" s="324">
        <v>0</v>
      </c>
      <c r="O86" s="324">
        <v>0</v>
      </c>
    </row>
    <row r="87" spans="1:15" s="22" customFormat="1" ht="18" customHeight="1">
      <c r="A87" s="11" t="str">
        <f t="shared" si="8"/>
        <v>CH60</v>
      </c>
      <c r="B87" s="11" t="str">
        <f t="shared" si="9"/>
        <v>RHODOLINE DF642 18KGS/DRUM</v>
      </c>
      <c r="C87" s="316">
        <f t="shared" si="10"/>
        <v>0</v>
      </c>
      <c r="D87" s="317">
        <f t="shared" si="11"/>
        <v>0</v>
      </c>
      <c r="E87" s="318">
        <f t="shared" si="12"/>
        <v>0</v>
      </c>
      <c r="F87" s="11"/>
      <c r="G87" s="11"/>
      <c r="H87" s="11"/>
      <c r="I87" s="11"/>
      <c r="J87" s="11"/>
      <c r="K87" s="11" t="s">
        <v>336</v>
      </c>
      <c r="L87" s="11" t="s">
        <v>337</v>
      </c>
      <c r="M87" s="324">
        <v>0</v>
      </c>
      <c r="N87" s="324">
        <v>0</v>
      </c>
      <c r="O87" s="324">
        <v>0</v>
      </c>
    </row>
    <row r="88" spans="1:15" ht="18" customHeight="1">
      <c r="A88" s="11" t="str">
        <f t="shared" si="8"/>
        <v>CH88</v>
      </c>
      <c r="B88" s="11" t="str">
        <f t="shared" si="9"/>
        <v>SURFYNOL DF 37 (DEFORMER) 20KGS./DRUM</v>
      </c>
      <c r="C88" s="316">
        <f t="shared" si="10"/>
        <v>0</v>
      </c>
      <c r="D88" s="317">
        <f t="shared" si="11"/>
        <v>0</v>
      </c>
      <c r="E88" s="318">
        <f t="shared" si="12"/>
        <v>0</v>
      </c>
      <c r="K88" s="11" t="s">
        <v>338</v>
      </c>
      <c r="L88" s="11" t="s">
        <v>339</v>
      </c>
      <c r="M88" s="324">
        <v>0</v>
      </c>
      <c r="N88" s="324">
        <v>0</v>
      </c>
      <c r="O88" s="324">
        <v>0</v>
      </c>
    </row>
    <row r="89" spans="1:15" ht="18" customHeight="1">
      <c r="A89" s="11" t="str">
        <f t="shared" si="8"/>
        <v>CH89</v>
      </c>
      <c r="B89" s="11" t="str">
        <f t="shared" si="9"/>
        <v>SURFYNOL TG (SURFACTANT) 204.1 KGS./DRUM</v>
      </c>
      <c r="C89" s="316">
        <f t="shared" si="10"/>
        <v>0</v>
      </c>
      <c r="D89" s="317">
        <f t="shared" si="11"/>
        <v>0</v>
      </c>
      <c r="E89" s="318">
        <f t="shared" si="12"/>
        <v>0</v>
      </c>
      <c r="J89" s="22"/>
      <c r="K89" s="11" t="s">
        <v>340</v>
      </c>
      <c r="L89" s="11" t="s">
        <v>341</v>
      </c>
      <c r="M89" s="324">
        <v>0</v>
      </c>
      <c r="N89" s="324">
        <v>0</v>
      </c>
      <c r="O89" s="324">
        <v>0</v>
      </c>
    </row>
    <row r="90" spans="1:15" ht="18" customHeight="1">
      <c r="A90" s="11" t="str">
        <f t="shared" si="8"/>
        <v>CH90</v>
      </c>
      <c r="B90" s="11" t="str">
        <f t="shared" si="9"/>
        <v>ZDEC 50% 225 KGS/DRUM</v>
      </c>
      <c r="C90" s="316">
        <f t="shared" si="10"/>
        <v>0</v>
      </c>
      <c r="D90" s="317">
        <f t="shared" si="11"/>
        <v>0</v>
      </c>
      <c r="E90" s="318">
        <f t="shared" si="12"/>
        <v>0</v>
      </c>
      <c r="F90" s="22"/>
      <c r="G90" s="22"/>
      <c r="H90" s="22"/>
      <c r="I90" s="22"/>
      <c r="K90" s="11" t="s">
        <v>342</v>
      </c>
      <c r="L90" s="11" t="s">
        <v>343</v>
      </c>
      <c r="M90" s="324">
        <v>0</v>
      </c>
      <c r="N90" s="324">
        <v>0</v>
      </c>
      <c r="O90" s="324">
        <v>0</v>
      </c>
    </row>
    <row r="91" spans="1:15" ht="18" customHeight="1">
      <c r="A91" s="11" t="str">
        <f t="shared" si="8"/>
        <v>CH91</v>
      </c>
      <c r="B91" s="11" t="str">
        <f t="shared" si="9"/>
        <v>ZDBC 50% 225 KGS/DRUM</v>
      </c>
      <c r="C91" s="316">
        <f t="shared" si="10"/>
        <v>119.11671445513331</v>
      </c>
      <c r="D91" s="317">
        <f t="shared" si="11"/>
        <v>48.444586692940966</v>
      </c>
      <c r="E91" s="318">
        <f t="shared" si="12"/>
        <v>5770.5599999999995</v>
      </c>
      <c r="K91" s="11" t="s">
        <v>344</v>
      </c>
      <c r="L91" s="11" t="s">
        <v>345</v>
      </c>
      <c r="M91" s="324">
        <v>119.11671445513331</v>
      </c>
      <c r="N91" s="324">
        <v>48.444586692940966</v>
      </c>
      <c r="O91" s="324">
        <v>5770.5599999999995</v>
      </c>
    </row>
    <row r="92" spans="1:15" ht="18" customHeight="1">
      <c r="A92" s="11" t="str">
        <f t="shared" si="8"/>
        <v>CH92</v>
      </c>
      <c r="B92" s="11" t="str">
        <f t="shared" si="9"/>
        <v>SULPHUR 60% 250 KGS/DRUM</v>
      </c>
      <c r="C92" s="316">
        <f t="shared" si="10"/>
        <v>199.90175096635912</v>
      </c>
      <c r="D92" s="317">
        <f t="shared" si="11"/>
        <v>20.192619526775925</v>
      </c>
      <c r="E92" s="318">
        <f t="shared" si="12"/>
        <v>4036.5400000000009</v>
      </c>
      <c r="K92" s="11" t="s">
        <v>346</v>
      </c>
      <c r="L92" s="11" t="s">
        <v>347</v>
      </c>
      <c r="M92" s="324">
        <v>199.90175096635912</v>
      </c>
      <c r="N92" s="324">
        <v>20.192619526775925</v>
      </c>
      <c r="O92" s="324">
        <v>4036.5400000000009</v>
      </c>
    </row>
    <row r="93" spans="1:15" ht="18" customHeight="1">
      <c r="A93" s="11" t="str">
        <f t="shared" si="8"/>
        <v>CH93</v>
      </c>
      <c r="B93" s="11" t="str">
        <f t="shared" si="9"/>
        <v>ZINC OXIDE 60% (ZNO) 250 KGS/DRUM</v>
      </c>
      <c r="C93" s="316">
        <f t="shared" si="10"/>
        <v>324.70813995446849</v>
      </c>
      <c r="D93" s="317">
        <f t="shared" si="11"/>
        <v>68.32609740892542</v>
      </c>
      <c r="E93" s="318">
        <f t="shared" si="12"/>
        <v>22186.04</v>
      </c>
      <c r="K93" s="11" t="s">
        <v>348</v>
      </c>
      <c r="L93" s="11" t="s">
        <v>349</v>
      </c>
      <c r="M93" s="324">
        <v>324.70813995446849</v>
      </c>
      <c r="N93" s="324">
        <v>68.32609740892542</v>
      </c>
      <c r="O93" s="324">
        <v>22186.04</v>
      </c>
    </row>
    <row r="94" spans="1:15" ht="18" customHeight="1">
      <c r="A94" s="11" t="str">
        <f t="shared" si="8"/>
        <v>CH94</v>
      </c>
      <c r="B94" s="11" t="str">
        <f t="shared" si="9"/>
        <v>TIO2 70% (TITANIUM DIOXIDE) 250 KGS/DRUM</v>
      </c>
      <c r="C94" s="316">
        <f t="shared" si="10"/>
        <v>415.24741532256348</v>
      </c>
      <c r="D94" s="317">
        <f t="shared" si="11"/>
        <v>53.191348542994334</v>
      </c>
      <c r="E94" s="318">
        <f t="shared" si="12"/>
        <v>22087.57</v>
      </c>
      <c r="K94" s="11" t="s">
        <v>350</v>
      </c>
      <c r="L94" s="11" t="s">
        <v>351</v>
      </c>
      <c r="M94" s="324">
        <v>415.24741532256348</v>
      </c>
      <c r="N94" s="324">
        <v>53.191348542994334</v>
      </c>
      <c r="O94" s="324">
        <v>22087.57</v>
      </c>
    </row>
    <row r="95" spans="1:15" ht="18" customHeight="1">
      <c r="A95" s="11" t="str">
        <f t="shared" si="8"/>
        <v>CH95</v>
      </c>
      <c r="B95" s="11" t="str">
        <f t="shared" si="9"/>
        <v>56% FARSPERSE BLUE PL-SRB 20 KGS / PAIL</v>
      </c>
      <c r="C95" s="316">
        <f t="shared" si="10"/>
        <v>0</v>
      </c>
      <c r="D95" s="317">
        <f t="shared" si="11"/>
        <v>0</v>
      </c>
      <c r="E95" s="318">
        <f t="shared" si="12"/>
        <v>0</v>
      </c>
      <c r="K95" s="11" t="s">
        <v>352</v>
      </c>
      <c r="L95" s="11" t="s">
        <v>353</v>
      </c>
      <c r="M95" s="324">
        <v>0</v>
      </c>
      <c r="N95" s="324">
        <v>0</v>
      </c>
      <c r="O95" s="324">
        <v>0</v>
      </c>
    </row>
    <row r="96" spans="1:15" ht="18" customHeight="1">
      <c r="A96" s="11" t="str">
        <f t="shared" si="8"/>
        <v>CH96</v>
      </c>
      <c r="B96" s="11" t="str">
        <f t="shared" si="9"/>
        <v>47% FARSPERSE VIOLET PV-RLS 20 KGS/PAIL</v>
      </c>
      <c r="C96" s="316">
        <f t="shared" si="10"/>
        <v>0.94129176395191205</v>
      </c>
      <c r="D96" s="317">
        <f t="shared" si="11"/>
        <v>871.79133126030695</v>
      </c>
      <c r="E96" s="318">
        <f t="shared" si="12"/>
        <v>820.61</v>
      </c>
      <c r="K96" s="11" t="s">
        <v>354</v>
      </c>
      <c r="L96" s="11" t="s">
        <v>355</v>
      </c>
      <c r="M96" s="324">
        <v>0.94129176395191205</v>
      </c>
      <c r="N96" s="324">
        <v>871.79133126030695</v>
      </c>
      <c r="O96" s="324">
        <v>820.61</v>
      </c>
    </row>
    <row r="97" spans="1:15" ht="18" customHeight="1">
      <c r="A97" s="11" t="str">
        <f t="shared" si="8"/>
        <v>CH97</v>
      </c>
      <c r="B97" s="11" t="str">
        <f t="shared" si="9"/>
        <v>ALKALINE FORMER CLEANING NOBEL 734 1,000 KGS/DRUM</v>
      </c>
      <c r="C97" s="316">
        <f t="shared" si="10"/>
        <v>0</v>
      </c>
      <c r="D97" s="317">
        <f t="shared" si="11"/>
        <v>0</v>
      </c>
      <c r="E97" s="318">
        <f t="shared" si="12"/>
        <v>0</v>
      </c>
      <c r="K97" s="11" t="s">
        <v>356</v>
      </c>
      <c r="L97" s="11" t="s">
        <v>357</v>
      </c>
      <c r="M97" s="324">
        <v>0</v>
      </c>
      <c r="N97" s="324">
        <v>0</v>
      </c>
      <c r="O97" s="324">
        <v>0</v>
      </c>
    </row>
    <row r="98" spans="1:15" ht="18" customHeight="1">
      <c r="A98" s="11" t="str">
        <f t="shared" si="8"/>
        <v>CH98</v>
      </c>
      <c r="B98" s="11" t="str">
        <f t="shared" si="9"/>
        <v>ANTI-TACK NOBEL 7426 1,000 KGS/DRUM</v>
      </c>
      <c r="C98" s="316">
        <f t="shared" si="10"/>
        <v>0</v>
      </c>
      <c r="D98" s="317">
        <f t="shared" si="11"/>
        <v>0</v>
      </c>
      <c r="E98" s="318">
        <f t="shared" si="12"/>
        <v>0</v>
      </c>
      <c r="K98" s="11" t="s">
        <v>358</v>
      </c>
      <c r="L98" s="11" t="s">
        <v>359</v>
      </c>
      <c r="M98" s="324">
        <v>0</v>
      </c>
      <c r="N98" s="324">
        <v>0</v>
      </c>
      <c r="O98" s="324">
        <v>0</v>
      </c>
    </row>
    <row r="99" spans="1:15" ht="18" customHeight="1">
      <c r="A99" s="11" t="str">
        <f t="shared" si="8"/>
        <v>CH99</v>
      </c>
      <c r="B99" s="11" t="str">
        <f t="shared" si="9"/>
        <v>NR POLYMER NOBEL 3006 ( 200 KGS / DRUM )</v>
      </c>
      <c r="C99" s="316">
        <f t="shared" si="10"/>
        <v>0</v>
      </c>
      <c r="D99" s="317">
        <f t="shared" si="11"/>
        <v>0</v>
      </c>
      <c r="E99" s="318">
        <f t="shared" si="12"/>
        <v>0</v>
      </c>
      <c r="K99" s="11" t="s">
        <v>360</v>
      </c>
      <c r="L99" s="11" t="s">
        <v>361</v>
      </c>
      <c r="M99" s="324">
        <v>0</v>
      </c>
      <c r="N99" s="324">
        <v>0</v>
      </c>
      <c r="O99" s="324">
        <v>0</v>
      </c>
    </row>
    <row r="100" spans="1:15" ht="18" customHeight="1">
      <c r="A100" s="11" t="str">
        <f t="shared" si="8"/>
        <v>N-SCH107</v>
      </c>
      <c r="B100" s="11" t="str">
        <f t="shared" si="9"/>
        <v>FARSPERSE GREEN MPG1814 (20KG/PAIL)</v>
      </c>
      <c r="C100" s="316">
        <f t="shared" si="10"/>
        <v>0</v>
      </c>
      <c r="D100" s="317">
        <f t="shared" si="11"/>
        <v>0</v>
      </c>
      <c r="E100" s="318">
        <f t="shared" si="12"/>
        <v>0</v>
      </c>
      <c r="K100" s="11" t="s">
        <v>362</v>
      </c>
      <c r="L100" s="11" t="s">
        <v>218</v>
      </c>
      <c r="M100" s="324">
        <v>0</v>
      </c>
      <c r="N100" s="324">
        <v>0</v>
      </c>
      <c r="O100" s="324">
        <v>0</v>
      </c>
    </row>
    <row r="101" spans="1:15" ht="18" customHeight="1">
      <c r="A101" s="11" t="str">
        <f t="shared" si="8"/>
        <v>SCH029</v>
      </c>
      <c r="B101" s="11" t="str">
        <f t="shared" si="9"/>
        <v>TCK-90 ALKALINE CLEANING SOLUTION (240KGS/DRUM)/(1250KG/IBC)</v>
      </c>
      <c r="C101" s="316">
        <f t="shared" si="10"/>
        <v>0</v>
      </c>
      <c r="D101" s="317">
        <f t="shared" si="11"/>
        <v>0</v>
      </c>
      <c r="E101" s="318">
        <f t="shared" si="12"/>
        <v>0</v>
      </c>
      <c r="K101" s="11" t="s">
        <v>363</v>
      </c>
      <c r="L101" s="11" t="s">
        <v>364</v>
      </c>
      <c r="M101" s="324">
        <v>0</v>
      </c>
      <c r="N101" s="324">
        <v>0</v>
      </c>
      <c r="O101" s="324">
        <v>0</v>
      </c>
    </row>
    <row r="102" spans="1:15" ht="18" customHeight="1">
      <c r="A102" s="11" t="str">
        <f t="shared" si="8"/>
        <v>SCH032</v>
      </c>
      <c r="B102" s="11" t="str">
        <f t="shared" si="9"/>
        <v>ACCELERATOR 50% ( ZNO-50 )</v>
      </c>
      <c r="C102" s="316">
        <f t="shared" si="10"/>
        <v>0</v>
      </c>
      <c r="D102" s="317">
        <f t="shared" si="11"/>
        <v>0</v>
      </c>
      <c r="E102" s="318">
        <f t="shared" si="12"/>
        <v>0</v>
      </c>
      <c r="K102" s="11" t="s">
        <v>365</v>
      </c>
      <c r="L102" s="11" t="s">
        <v>366</v>
      </c>
      <c r="M102" s="324">
        <v>0</v>
      </c>
      <c r="N102" s="324">
        <v>0</v>
      </c>
      <c r="O102" s="324">
        <v>0</v>
      </c>
    </row>
    <row r="103" spans="1:15" ht="18" customHeight="1">
      <c r="A103" s="11" t="str">
        <f t="shared" si="8"/>
        <v>SCH047</v>
      </c>
      <c r="B103" s="11" t="str">
        <f t="shared" si="9"/>
        <v>CS COAT T502 (200 KGS.)</v>
      </c>
      <c r="C103" s="316">
        <f t="shared" si="10"/>
        <v>0</v>
      </c>
      <c r="D103" s="317">
        <f t="shared" si="11"/>
        <v>0</v>
      </c>
      <c r="E103" s="318">
        <f t="shared" si="12"/>
        <v>0</v>
      </c>
      <c r="K103" s="11" t="s">
        <v>367</v>
      </c>
      <c r="L103" s="11" t="s">
        <v>368</v>
      </c>
      <c r="M103" s="324">
        <v>0</v>
      </c>
      <c r="N103" s="324">
        <v>0</v>
      </c>
      <c r="O103" s="324">
        <v>0</v>
      </c>
    </row>
    <row r="104" spans="1:15" ht="18" customHeight="1">
      <c r="A104" s="11" t="str">
        <f t="shared" si="8"/>
        <v>SCH048</v>
      </c>
      <c r="B104" s="11" t="str">
        <f t="shared" si="9"/>
        <v>CS COAT T503 (200 kg/drum)</v>
      </c>
      <c r="C104" s="316">
        <f t="shared" si="10"/>
        <v>0</v>
      </c>
      <c r="D104" s="317">
        <f t="shared" si="11"/>
        <v>0</v>
      </c>
      <c r="E104" s="318">
        <f t="shared" si="12"/>
        <v>0</v>
      </c>
      <c r="K104" s="11" t="s">
        <v>369</v>
      </c>
      <c r="L104" s="11" t="s">
        <v>370</v>
      </c>
      <c r="M104" s="324">
        <v>0</v>
      </c>
      <c r="N104" s="324">
        <v>0</v>
      </c>
      <c r="O104" s="324">
        <v>0</v>
      </c>
    </row>
    <row r="105" spans="1:15" ht="18" customHeight="1">
      <c r="A105" s="11" t="str">
        <f t="shared" si="8"/>
        <v>SCH049</v>
      </c>
      <c r="B105" s="11" t="str">
        <f t="shared" si="9"/>
        <v>ALKALINE CLEANING ONLINE CLEAN CS2 (220/DRUM)</v>
      </c>
      <c r="C105" s="316">
        <f t="shared" si="10"/>
        <v>0</v>
      </c>
      <c r="D105" s="317">
        <f t="shared" si="11"/>
        <v>0</v>
      </c>
      <c r="E105" s="318">
        <f t="shared" si="12"/>
        <v>0</v>
      </c>
      <c r="K105" s="11" t="s">
        <v>371</v>
      </c>
      <c r="L105" s="11" t="s">
        <v>372</v>
      </c>
      <c r="M105" s="324">
        <v>0</v>
      </c>
      <c r="N105" s="324">
        <v>0</v>
      </c>
      <c r="O105" s="324">
        <v>0</v>
      </c>
    </row>
    <row r="106" spans="1:15" ht="18" customHeight="1">
      <c r="A106" s="11" t="str">
        <f t="shared" si="8"/>
        <v>SCH053</v>
      </c>
      <c r="B106" s="11" t="str">
        <f t="shared" si="9"/>
        <v>KP25 (180/DRUM)</v>
      </c>
      <c r="C106" s="316">
        <f t="shared" si="10"/>
        <v>0</v>
      </c>
      <c r="D106" s="317">
        <f t="shared" si="11"/>
        <v>0</v>
      </c>
      <c r="E106" s="318">
        <f t="shared" si="12"/>
        <v>0</v>
      </c>
      <c r="K106" s="11" t="s">
        <v>373</v>
      </c>
      <c r="L106" s="11" t="s">
        <v>374</v>
      </c>
      <c r="M106" s="324">
        <v>0</v>
      </c>
      <c r="N106" s="324">
        <v>0</v>
      </c>
      <c r="O106" s="324">
        <v>0</v>
      </c>
    </row>
    <row r="107" spans="1:15" ht="18" customHeight="1">
      <c r="A107" s="11" t="str">
        <f t="shared" si="8"/>
        <v>SCH054</v>
      </c>
      <c r="B107" s="11" t="str">
        <f t="shared" si="9"/>
        <v>MARLIPAL (200/DRUM)</v>
      </c>
      <c r="C107" s="316">
        <f t="shared" si="10"/>
        <v>0</v>
      </c>
      <c r="D107" s="317">
        <f t="shared" si="11"/>
        <v>0</v>
      </c>
      <c r="E107" s="318">
        <f t="shared" si="12"/>
        <v>0</v>
      </c>
      <c r="K107" s="11" t="s">
        <v>375</v>
      </c>
      <c r="L107" s="11" t="s">
        <v>376</v>
      </c>
      <c r="M107" s="324">
        <v>0</v>
      </c>
      <c r="N107" s="324">
        <v>0</v>
      </c>
      <c r="O107" s="324">
        <v>0</v>
      </c>
    </row>
    <row r="108" spans="1:15" ht="18" customHeight="1">
      <c r="A108" s="11" t="str">
        <f t="shared" si="8"/>
        <v>SCH056</v>
      </c>
      <c r="B108" s="11" t="str">
        <f t="shared" si="9"/>
        <v>-cancle- OCTOSOL 643 (200KG/DRUM)</v>
      </c>
      <c r="C108" s="316">
        <f t="shared" si="10"/>
        <v>0</v>
      </c>
      <c r="D108" s="317">
        <f t="shared" si="11"/>
        <v>0</v>
      </c>
      <c r="E108" s="318">
        <f t="shared" si="12"/>
        <v>0</v>
      </c>
      <c r="K108" s="11" t="s">
        <v>377</v>
      </c>
      <c r="L108" s="11" t="s">
        <v>378</v>
      </c>
      <c r="M108" s="324">
        <v>0</v>
      </c>
      <c r="N108" s="324">
        <v>0</v>
      </c>
      <c r="O108" s="324">
        <v>0</v>
      </c>
    </row>
    <row r="109" spans="1:15" ht="18" customHeight="1">
      <c r="A109" s="11" t="str">
        <f t="shared" si="8"/>
        <v>SCH057</v>
      </c>
      <c r="B109" s="11" t="str">
        <f t="shared" si="9"/>
        <v>TEXTAC K270 (200KGS/DRUM)</v>
      </c>
      <c r="C109" s="316">
        <f t="shared" si="10"/>
        <v>0</v>
      </c>
      <c r="D109" s="317">
        <f t="shared" si="11"/>
        <v>0</v>
      </c>
      <c r="E109" s="318">
        <f t="shared" si="12"/>
        <v>0</v>
      </c>
      <c r="K109" s="11" t="s">
        <v>379</v>
      </c>
      <c r="L109" s="11" t="s">
        <v>380</v>
      </c>
      <c r="M109" s="324">
        <v>0</v>
      </c>
      <c r="N109" s="324">
        <v>0</v>
      </c>
      <c r="O109" s="324">
        <v>0</v>
      </c>
    </row>
    <row r="110" spans="1:15" ht="18" customHeight="1">
      <c r="A110" s="11" t="str">
        <f t="shared" si="8"/>
        <v>SCH058</v>
      </c>
      <c r="B110" s="11" t="str">
        <f t="shared" si="9"/>
        <v>FARSPERSE BLUE MPL1523” (20 KGS/PAIL)-CANCLE-</v>
      </c>
      <c r="C110" s="316">
        <f t="shared" si="10"/>
        <v>0</v>
      </c>
      <c r="D110" s="317">
        <f t="shared" si="11"/>
        <v>0</v>
      </c>
      <c r="E110" s="318">
        <f t="shared" si="12"/>
        <v>0</v>
      </c>
      <c r="K110" s="11" t="s">
        <v>381</v>
      </c>
      <c r="L110" s="11" t="s">
        <v>382</v>
      </c>
      <c r="M110" s="324">
        <v>0</v>
      </c>
      <c r="N110" s="324">
        <v>0</v>
      </c>
      <c r="O110" s="324">
        <v>0</v>
      </c>
    </row>
    <row r="111" spans="1:15" ht="18" customHeight="1">
      <c r="A111" s="11" t="str">
        <f t="shared" si="8"/>
        <v>SCH059</v>
      </c>
      <c r="B111" s="11" t="str">
        <f t="shared" si="9"/>
        <v>FARSPERSE BLACK PB-ZBX (20 KGS/PAIL)-CANCLE-</v>
      </c>
      <c r="C111" s="316">
        <f t="shared" si="10"/>
        <v>0</v>
      </c>
      <c r="D111" s="317">
        <f t="shared" si="11"/>
        <v>0</v>
      </c>
      <c r="E111" s="318">
        <f t="shared" si="12"/>
        <v>0</v>
      </c>
      <c r="K111" s="11" t="s">
        <v>383</v>
      </c>
      <c r="L111" s="11" t="s">
        <v>384</v>
      </c>
      <c r="M111" s="324">
        <v>0</v>
      </c>
      <c r="N111" s="324">
        <v>0</v>
      </c>
      <c r="O111" s="324">
        <v>0</v>
      </c>
    </row>
    <row r="112" spans="1:15" ht="18" customHeight="1">
      <c r="A112" s="11" t="str">
        <f t="shared" si="8"/>
        <v>SCH060</v>
      </c>
      <c r="B112" s="11" t="str">
        <f t="shared" si="9"/>
        <v>MRA L309 (200KG)</v>
      </c>
      <c r="C112" s="316">
        <f t="shared" si="10"/>
        <v>0</v>
      </c>
      <c r="D112" s="317">
        <f t="shared" si="11"/>
        <v>0</v>
      </c>
      <c r="E112" s="318">
        <f t="shared" si="12"/>
        <v>0</v>
      </c>
      <c r="K112" s="11" t="s">
        <v>385</v>
      </c>
      <c r="L112" s="11" t="s">
        <v>386</v>
      </c>
      <c r="M112" s="324">
        <v>0</v>
      </c>
      <c r="N112" s="324">
        <v>0</v>
      </c>
      <c r="O112" s="324">
        <v>0</v>
      </c>
    </row>
    <row r="113" spans="1:15" ht="18" customHeight="1">
      <c r="A113" s="11" t="str">
        <f t="shared" si="8"/>
        <v>SCH061</v>
      </c>
      <c r="B113" s="11" t="str">
        <f t="shared" si="9"/>
        <v>FRESSIL 581(181.49KG/DRUM)</v>
      </c>
      <c r="C113" s="316">
        <f t="shared" si="10"/>
        <v>0</v>
      </c>
      <c r="D113" s="317">
        <f t="shared" si="11"/>
        <v>0</v>
      </c>
      <c r="E113" s="318">
        <f t="shared" si="12"/>
        <v>0</v>
      </c>
      <c r="K113" s="11" t="s">
        <v>387</v>
      </c>
      <c r="L113" s="11" t="s">
        <v>388</v>
      </c>
      <c r="M113" s="324">
        <v>0</v>
      </c>
      <c r="N113" s="324">
        <v>0</v>
      </c>
      <c r="O113" s="324">
        <v>0</v>
      </c>
    </row>
    <row r="114" spans="1:15" ht="18" customHeight="1">
      <c r="A114" s="11" t="str">
        <f t="shared" si="8"/>
        <v>SCH062</v>
      </c>
      <c r="B114" s="11" t="str">
        <f t="shared" si="9"/>
        <v>OCTOSPERSE PPE-S3 (225KG/DRUM)</v>
      </c>
      <c r="C114" s="316">
        <f t="shared" si="10"/>
        <v>0</v>
      </c>
      <c r="D114" s="317">
        <f t="shared" si="11"/>
        <v>0</v>
      </c>
      <c r="E114" s="318">
        <f t="shared" si="12"/>
        <v>0</v>
      </c>
      <c r="K114" s="11" t="s">
        <v>389</v>
      </c>
      <c r="L114" s="11" t="s">
        <v>390</v>
      </c>
      <c r="M114" s="324">
        <v>0</v>
      </c>
      <c r="N114" s="324">
        <v>0</v>
      </c>
      <c r="O114" s="324">
        <v>0</v>
      </c>
    </row>
    <row r="115" spans="1:15" ht="18" customHeight="1">
      <c r="A115" s="11" t="str">
        <f t="shared" si="8"/>
        <v>SCH063</v>
      </c>
      <c r="B115" s="11" t="str">
        <f t="shared" si="9"/>
        <v>TRUCOAT NR 12 (200KG/DRUM) MOQ=16,000KG/TRIP- CANCLE</v>
      </c>
      <c r="C115" s="316">
        <f t="shared" si="10"/>
        <v>0</v>
      </c>
      <c r="D115" s="317">
        <f t="shared" si="11"/>
        <v>0</v>
      </c>
      <c r="E115" s="318">
        <f t="shared" si="12"/>
        <v>0</v>
      </c>
      <c r="K115" s="11" t="s">
        <v>391</v>
      </c>
      <c r="L115" s="11" t="s">
        <v>392</v>
      </c>
      <c r="M115" s="324">
        <v>0</v>
      </c>
      <c r="N115" s="324">
        <v>0</v>
      </c>
      <c r="O115" s="324">
        <v>0</v>
      </c>
    </row>
    <row r="116" spans="1:15" ht="18" customHeight="1">
      <c r="A116" s="11" t="str">
        <f t="shared" si="8"/>
        <v>SCH064</v>
      </c>
      <c r="B116" s="11" t="str">
        <f t="shared" si="9"/>
        <v>DISPERFIL F100 (300KG/DRUM)</v>
      </c>
      <c r="C116" s="316">
        <f t="shared" si="10"/>
        <v>0</v>
      </c>
      <c r="D116" s="317">
        <f t="shared" si="11"/>
        <v>0</v>
      </c>
      <c r="E116" s="318">
        <f t="shared" si="12"/>
        <v>0</v>
      </c>
      <c r="K116" s="11" t="s">
        <v>393</v>
      </c>
      <c r="L116" s="11" t="s">
        <v>394</v>
      </c>
      <c r="M116" s="324">
        <v>0</v>
      </c>
      <c r="N116" s="324">
        <v>0</v>
      </c>
      <c r="O116" s="324">
        <v>0</v>
      </c>
    </row>
    <row r="117" spans="1:15" ht="18" customHeight="1">
      <c r="A117" s="11" t="str">
        <f t="shared" si="8"/>
        <v>SCH065</v>
      </c>
      <c r="B117" s="11" t="str">
        <f t="shared" si="9"/>
        <v>AVERCOTE PLC40E(200KG/DRUM)</v>
      </c>
      <c r="C117" s="316">
        <f t="shared" si="10"/>
        <v>0</v>
      </c>
      <c r="D117" s="317">
        <f t="shared" si="11"/>
        <v>0</v>
      </c>
      <c r="E117" s="318">
        <f t="shared" si="12"/>
        <v>0</v>
      </c>
      <c r="K117" s="11" t="s">
        <v>395</v>
      </c>
      <c r="L117" s="11" t="s">
        <v>396</v>
      </c>
      <c r="M117" s="324">
        <v>0</v>
      </c>
      <c r="N117" s="324">
        <v>0</v>
      </c>
      <c r="O117" s="324">
        <v>0</v>
      </c>
    </row>
    <row r="118" spans="1:15" ht="18" customHeight="1">
      <c r="A118" s="11" t="str">
        <f t="shared" si="8"/>
        <v>SCH068</v>
      </c>
      <c r="B118" s="11" t="str">
        <f t="shared" si="9"/>
        <v>PERMASILK H88 (200KG/DRUM)</v>
      </c>
      <c r="C118" s="316">
        <f t="shared" si="10"/>
        <v>0</v>
      </c>
      <c r="D118" s="317">
        <f t="shared" si="11"/>
        <v>0</v>
      </c>
      <c r="E118" s="318">
        <f t="shared" si="12"/>
        <v>0</v>
      </c>
      <c r="K118" s="11" t="s">
        <v>397</v>
      </c>
      <c r="L118" s="11" t="s">
        <v>398</v>
      </c>
      <c r="M118" s="324">
        <v>0</v>
      </c>
      <c r="N118" s="324">
        <v>0</v>
      </c>
      <c r="O118" s="324">
        <v>0</v>
      </c>
    </row>
    <row r="119" spans="1:15" ht="18" customHeight="1">
      <c r="A119" s="11" t="str">
        <f t="shared" si="8"/>
        <v>SCH070</v>
      </c>
      <c r="B119" s="11" t="str">
        <f t="shared" si="9"/>
        <v>CALCIUM NITRATE LIQUOR 54-56% (300 KG/DRUM)</v>
      </c>
      <c r="C119" s="316">
        <f t="shared" si="10"/>
        <v>0</v>
      </c>
      <c r="D119" s="317">
        <f t="shared" si="11"/>
        <v>0</v>
      </c>
      <c r="E119" s="318">
        <f t="shared" si="12"/>
        <v>0</v>
      </c>
      <c r="K119" s="11" t="s">
        <v>399</v>
      </c>
      <c r="L119" s="11" t="s">
        <v>400</v>
      </c>
      <c r="M119" s="324">
        <v>0</v>
      </c>
      <c r="N119" s="324">
        <v>0</v>
      </c>
      <c r="O119" s="324">
        <v>0</v>
      </c>
    </row>
    <row r="120" spans="1:15" ht="18" customHeight="1">
      <c r="A120" s="11" t="str">
        <f t="shared" si="8"/>
        <v>SCH071</v>
      </c>
      <c r="B120" s="11" t="str">
        <f t="shared" si="9"/>
        <v>TRUCOAT NT18 – 200 kg/drum</v>
      </c>
      <c r="C120" s="316">
        <f t="shared" si="10"/>
        <v>0</v>
      </c>
      <c r="D120" s="317">
        <f t="shared" si="11"/>
        <v>0</v>
      </c>
      <c r="E120" s="318">
        <f t="shared" si="12"/>
        <v>0</v>
      </c>
      <c r="K120" s="11" t="s">
        <v>401</v>
      </c>
      <c r="L120" s="11" t="s">
        <v>402</v>
      </c>
      <c r="M120" s="324">
        <v>0</v>
      </c>
      <c r="N120" s="324">
        <v>0</v>
      </c>
      <c r="O120" s="324">
        <v>0</v>
      </c>
    </row>
    <row r="121" spans="1:15" ht="18" customHeight="1">
      <c r="A121" s="11" t="str">
        <f t="shared" si="8"/>
        <v>SCH072</v>
      </c>
      <c r="B121" s="11" t="str">
        <f t="shared" si="9"/>
        <v>FARSPERSE ORANGE PO-HPA (20KG/DRUM)-CANCLE-</v>
      </c>
      <c r="C121" s="316">
        <f t="shared" si="10"/>
        <v>0</v>
      </c>
      <c r="D121" s="317">
        <f t="shared" si="11"/>
        <v>0</v>
      </c>
      <c r="E121" s="318">
        <f t="shared" si="12"/>
        <v>0</v>
      </c>
      <c r="K121" s="11" t="s">
        <v>403</v>
      </c>
      <c r="L121" s="11" t="s">
        <v>404</v>
      </c>
      <c r="M121" s="324">
        <v>0</v>
      </c>
      <c r="N121" s="324">
        <v>0</v>
      </c>
      <c r="O121" s="324">
        <v>0</v>
      </c>
    </row>
    <row r="122" spans="1:15" ht="17.45" customHeight="1">
      <c r="A122" s="11" t="str">
        <f t="shared" si="8"/>
        <v>SCH073</v>
      </c>
      <c r="B122" s="11" t="str">
        <f t="shared" si="9"/>
        <v>BIOZOL 10(25KG/PACK)- CANCLE</v>
      </c>
      <c r="C122" s="316">
        <f t="shared" si="10"/>
        <v>0</v>
      </c>
      <c r="D122" s="317">
        <f t="shared" si="11"/>
        <v>0</v>
      </c>
      <c r="E122" s="318">
        <f t="shared" si="12"/>
        <v>0</v>
      </c>
      <c r="K122" s="11" t="s">
        <v>405</v>
      </c>
      <c r="L122" s="11" t="s">
        <v>406</v>
      </c>
      <c r="M122" s="324">
        <v>0</v>
      </c>
      <c r="N122" s="324">
        <v>0</v>
      </c>
      <c r="O122" s="324">
        <v>0</v>
      </c>
    </row>
    <row r="123" spans="1:15" ht="18" customHeight="1">
      <c r="A123" s="11" t="str">
        <f t="shared" si="8"/>
        <v>SCH074</v>
      </c>
      <c r="B123" s="11" t="str">
        <f t="shared" si="9"/>
        <v>AVERBOND SL 111 (200KG/DRUM)</v>
      </c>
      <c r="C123" s="316">
        <f t="shared" si="10"/>
        <v>0</v>
      </c>
      <c r="D123" s="317">
        <f t="shared" si="11"/>
        <v>0</v>
      </c>
      <c r="E123" s="318">
        <f t="shared" si="12"/>
        <v>0</v>
      </c>
      <c r="K123" s="11" t="s">
        <v>407</v>
      </c>
      <c r="L123" s="11" t="s">
        <v>408</v>
      </c>
      <c r="M123" s="324">
        <v>0</v>
      </c>
      <c r="N123" s="324">
        <v>0</v>
      </c>
      <c r="O123" s="324">
        <v>0</v>
      </c>
    </row>
    <row r="124" spans="1:15" ht="18" customHeight="1">
      <c r="A124" s="11" t="str">
        <f t="shared" si="8"/>
        <v>SCH075</v>
      </c>
      <c r="B124" s="11" t="str">
        <f t="shared" si="9"/>
        <v>AYCLARON-974 (190KG/DRUM) - CANCLE</v>
      </c>
      <c r="C124" s="316">
        <f t="shared" si="10"/>
        <v>0</v>
      </c>
      <c r="D124" s="317">
        <f t="shared" si="11"/>
        <v>0</v>
      </c>
      <c r="E124" s="318">
        <f t="shared" si="12"/>
        <v>0</v>
      </c>
      <c r="K124" s="11" t="s">
        <v>409</v>
      </c>
      <c r="L124" s="11" t="s">
        <v>410</v>
      </c>
      <c r="M124" s="324">
        <v>0</v>
      </c>
      <c r="N124" s="324">
        <v>0</v>
      </c>
      <c r="O124" s="324">
        <v>0</v>
      </c>
    </row>
    <row r="125" spans="1:15" ht="18" customHeight="1">
      <c r="A125" s="11" t="str">
        <f t="shared" si="8"/>
        <v>SCH077</v>
      </c>
      <c r="B125" s="11" t="str">
        <f t="shared" si="9"/>
        <v>CPP-40 (200KG/DRUM)</v>
      </c>
      <c r="C125" s="316">
        <f t="shared" si="10"/>
        <v>0</v>
      </c>
      <c r="D125" s="317">
        <f t="shared" si="11"/>
        <v>0</v>
      </c>
      <c r="E125" s="318">
        <f t="shared" si="12"/>
        <v>0</v>
      </c>
      <c r="K125" s="11" t="s">
        <v>411</v>
      </c>
      <c r="L125" s="11" t="s">
        <v>412</v>
      </c>
      <c r="M125" s="324">
        <v>0</v>
      </c>
      <c r="N125" s="324">
        <v>0</v>
      </c>
      <c r="O125" s="324">
        <v>0</v>
      </c>
    </row>
    <row r="126" spans="1:15" ht="18" customHeight="1">
      <c r="A126" s="11" t="str">
        <f t="shared" si="8"/>
        <v>SCH078</v>
      </c>
      <c r="B126" s="11" t="str">
        <f t="shared" si="9"/>
        <v>N-125 (275KG/DRUM)</v>
      </c>
      <c r="C126" s="316">
        <f t="shared" si="10"/>
        <v>0</v>
      </c>
      <c r="D126" s="317">
        <f t="shared" si="11"/>
        <v>0</v>
      </c>
      <c r="E126" s="318">
        <f t="shared" si="12"/>
        <v>0</v>
      </c>
      <c r="K126" s="11" t="s">
        <v>413</v>
      </c>
      <c r="L126" s="11" t="s">
        <v>414</v>
      </c>
      <c r="M126" s="305">
        <v>0</v>
      </c>
      <c r="N126" s="305">
        <v>0</v>
      </c>
      <c r="O126" s="305">
        <v>0</v>
      </c>
    </row>
    <row r="127" spans="1:15" ht="18" customHeight="1">
      <c r="A127" s="11" t="str">
        <f t="shared" si="8"/>
        <v>SCH079</v>
      </c>
      <c r="B127" s="11" t="str">
        <f t="shared" si="9"/>
        <v>AYCLARON 964 (190 KG/DRUM ) - CANCLE</v>
      </c>
      <c r="C127" s="316">
        <f t="shared" si="10"/>
        <v>0</v>
      </c>
      <c r="D127" s="317">
        <f t="shared" si="11"/>
        <v>0</v>
      </c>
      <c r="E127" s="318">
        <f t="shared" si="12"/>
        <v>0</v>
      </c>
      <c r="K127" s="11" t="s">
        <v>415</v>
      </c>
      <c r="L127" s="11" t="s">
        <v>416</v>
      </c>
      <c r="M127" s="305">
        <v>0</v>
      </c>
      <c r="N127" s="305">
        <v>0</v>
      </c>
      <c r="O127" s="305">
        <v>0</v>
      </c>
    </row>
    <row r="128" spans="1:15" ht="18" customHeight="1">
      <c r="A128" s="11" t="str">
        <f t="shared" si="8"/>
        <v>SCH080</v>
      </c>
      <c r="B128" s="11" t="str">
        <f t="shared" si="9"/>
        <v>CS COAT T406 (CALCIUM STEARATE 40%) (1000 KG/TANK)- CANCLE</v>
      </c>
      <c r="C128" s="316">
        <f t="shared" si="10"/>
        <v>0</v>
      </c>
      <c r="D128" s="317">
        <f t="shared" si="11"/>
        <v>0</v>
      </c>
      <c r="E128" s="318">
        <f t="shared" si="12"/>
        <v>0</v>
      </c>
      <c r="K128" s="11" t="s">
        <v>417</v>
      </c>
      <c r="L128" s="11" t="s">
        <v>418</v>
      </c>
      <c r="M128" s="305">
        <v>0</v>
      </c>
      <c r="N128" s="305">
        <v>0</v>
      </c>
      <c r="O128" s="305">
        <v>0</v>
      </c>
    </row>
    <row r="129" spans="1:17" ht="18" customHeight="1">
      <c r="A129" s="11" t="str">
        <f t="shared" si="8"/>
        <v>SCH091</v>
      </c>
      <c r="B129" s="11" t="str">
        <f t="shared" si="9"/>
        <v>HYDROSPERSE BLUE(HSE) (20KG/PACK)-Cancle-</v>
      </c>
      <c r="C129" s="316">
        <f t="shared" si="10"/>
        <v>0</v>
      </c>
      <c r="D129" s="317">
        <f t="shared" si="11"/>
        <v>0</v>
      </c>
      <c r="E129" s="318">
        <f t="shared" si="12"/>
        <v>0</v>
      </c>
      <c r="K129" s="11" t="s">
        <v>419</v>
      </c>
      <c r="L129" s="11" t="s">
        <v>420</v>
      </c>
      <c r="M129" s="305">
        <v>0</v>
      </c>
      <c r="N129" s="305">
        <v>0</v>
      </c>
      <c r="O129" s="305">
        <v>0</v>
      </c>
    </row>
    <row r="130" spans="1:17" ht="18" customHeight="1">
      <c r="A130" s="11" t="str">
        <f t="shared" si="8"/>
        <v>SCH093</v>
      </c>
      <c r="B130" s="11" t="str">
        <f t="shared" si="9"/>
        <v>COLANYL YELLOW HR 35-TH(30KG/PK)-CANCLE-</v>
      </c>
      <c r="C130" s="316">
        <f t="shared" si="10"/>
        <v>0</v>
      </c>
      <c r="D130" s="317">
        <f t="shared" si="11"/>
        <v>0</v>
      </c>
      <c r="E130" s="318">
        <f t="shared" si="12"/>
        <v>0</v>
      </c>
      <c r="K130" s="11" t="s">
        <v>421</v>
      </c>
      <c r="L130" s="11" t="s">
        <v>422</v>
      </c>
      <c r="M130" s="305">
        <v>0</v>
      </c>
      <c r="N130" s="305">
        <v>0</v>
      </c>
      <c r="O130" s="305">
        <v>0</v>
      </c>
    </row>
    <row r="131" spans="1:17" ht="18" customHeight="1">
      <c r="A131" s="11" t="str">
        <f t="shared" si="8"/>
        <v>SCH094</v>
      </c>
      <c r="B131" s="11" t="str">
        <f t="shared" si="9"/>
        <v>PERMARSILK N</v>
      </c>
      <c r="C131" s="316">
        <f t="shared" si="10"/>
        <v>0</v>
      </c>
      <c r="D131" s="317">
        <f t="shared" si="11"/>
        <v>0</v>
      </c>
      <c r="E131" s="318">
        <f t="shared" si="12"/>
        <v>0</v>
      </c>
      <c r="K131" s="11" t="s">
        <v>423</v>
      </c>
      <c r="L131" s="11" t="s">
        <v>424</v>
      </c>
      <c r="M131" s="305">
        <v>0</v>
      </c>
      <c r="N131" s="305">
        <v>0</v>
      </c>
      <c r="O131" s="305">
        <v>0</v>
      </c>
    </row>
    <row r="132" spans="1:17" ht="18" customHeight="1">
      <c r="A132" s="11" t="str">
        <f t="shared" si="8"/>
        <v>SCH098</v>
      </c>
      <c r="B132" s="11" t="str">
        <f t="shared" si="9"/>
        <v>AQUWAX 078</v>
      </c>
      <c r="C132" s="316">
        <f t="shared" si="10"/>
        <v>0</v>
      </c>
      <c r="D132" s="317">
        <f t="shared" si="11"/>
        <v>0</v>
      </c>
      <c r="E132" s="318">
        <f t="shared" si="12"/>
        <v>0</v>
      </c>
      <c r="K132" s="11" t="s">
        <v>425</v>
      </c>
      <c r="L132" s="11" t="s">
        <v>426</v>
      </c>
      <c r="M132" s="305">
        <v>0</v>
      </c>
      <c r="N132" s="305">
        <v>0</v>
      </c>
      <c r="O132" s="305">
        <v>0</v>
      </c>
    </row>
    <row r="133" spans="1:17" ht="18" customHeight="1">
      <c r="A133" s="11" t="str">
        <f t="shared" si="8"/>
        <v>SCH099</v>
      </c>
      <c r="B133" s="11" t="str">
        <f t="shared" si="9"/>
        <v>MAXSILK B270M (200KG/DR)-CANCLE-</v>
      </c>
      <c r="C133" s="316">
        <f t="shared" si="10"/>
        <v>0</v>
      </c>
      <c r="D133" s="317">
        <f t="shared" si="11"/>
        <v>0</v>
      </c>
      <c r="E133" s="318">
        <f t="shared" si="12"/>
        <v>0</v>
      </c>
      <c r="K133" s="11" t="s">
        <v>427</v>
      </c>
      <c r="L133" s="11" t="s">
        <v>428</v>
      </c>
      <c r="M133" s="305">
        <v>0</v>
      </c>
      <c r="N133" s="305">
        <v>0</v>
      </c>
      <c r="O133" s="305">
        <v>0</v>
      </c>
    </row>
    <row r="134" spans="1:17" ht="18" customHeight="1">
      <c r="A134" s="11" t="str">
        <f t="shared" ref="A134:A169" si="13">+K134</f>
        <v>SCH100</v>
      </c>
      <c r="B134" s="11" t="str">
        <f t="shared" ref="B134:B169" si="14">+L134</f>
        <v>MAXCIDE (25KG/PK)</v>
      </c>
      <c r="C134" s="316">
        <f t="shared" ref="C134:C169" si="15">SUMIF(K:K,A134,M:M)</f>
        <v>0</v>
      </c>
      <c r="D134" s="317">
        <f t="shared" ref="D134:D169" si="16">IF(C134=0,0,E134/C134)</f>
        <v>0</v>
      </c>
      <c r="E134" s="318">
        <f t="shared" ref="E134:E169" si="17">SUMIF($K:$K,A134,O:O)</f>
        <v>0</v>
      </c>
      <c r="K134" s="11" t="s">
        <v>429</v>
      </c>
      <c r="L134" s="11" t="s">
        <v>430</v>
      </c>
      <c r="M134" s="305">
        <v>0</v>
      </c>
      <c r="N134" s="305">
        <v>0</v>
      </c>
      <c r="O134" s="305">
        <v>0</v>
      </c>
    </row>
    <row r="135" spans="1:17" ht="18" customHeight="1">
      <c r="A135" s="11" t="str">
        <f t="shared" si="13"/>
        <v>SCH103</v>
      </c>
      <c r="B135" s="11" t="str">
        <f t="shared" si="14"/>
        <v>RASPERSE LC 50C1 – 210 KG/DRUM</v>
      </c>
      <c r="C135" s="316">
        <f t="shared" si="15"/>
        <v>0</v>
      </c>
      <c r="D135" s="317">
        <f t="shared" si="16"/>
        <v>0</v>
      </c>
      <c r="E135" s="318">
        <f t="shared" si="17"/>
        <v>0</v>
      </c>
      <c r="K135" s="11" t="s">
        <v>431</v>
      </c>
      <c r="L135" s="11" t="s">
        <v>432</v>
      </c>
      <c r="M135" s="305">
        <v>0</v>
      </c>
      <c r="N135" s="305">
        <v>0</v>
      </c>
      <c r="O135" s="305">
        <v>0</v>
      </c>
    </row>
    <row r="136" spans="1:17" ht="19.149999999999999" customHeight="1">
      <c r="A136" s="11" t="str">
        <f t="shared" si="13"/>
        <v>SCH104</v>
      </c>
      <c r="B136" s="11" t="str">
        <f t="shared" si="14"/>
        <v>50% PPC CALCIUM CARBONATE (250KG/DRUM)</v>
      </c>
      <c r="C136" s="316">
        <f t="shared" si="15"/>
        <v>0</v>
      </c>
      <c r="D136" s="317">
        <f t="shared" si="16"/>
        <v>0</v>
      </c>
      <c r="E136" s="318">
        <f t="shared" si="17"/>
        <v>0</v>
      </c>
      <c r="K136" s="11" t="s">
        <v>433</v>
      </c>
      <c r="L136" s="11" t="s">
        <v>434</v>
      </c>
      <c r="M136" s="305">
        <v>0</v>
      </c>
      <c r="N136" s="305">
        <v>0</v>
      </c>
      <c r="O136" s="305">
        <v>0</v>
      </c>
    </row>
    <row r="137" spans="1:17" ht="19.149999999999999" customHeight="1">
      <c r="A137" s="11" t="str">
        <f t="shared" si="13"/>
        <v>SCH105</v>
      </c>
      <c r="B137" s="11" t="str">
        <f t="shared" si="14"/>
        <v>BIO F20 (25 KG/Pack)</v>
      </c>
      <c r="C137" s="316">
        <f t="shared" si="15"/>
        <v>0</v>
      </c>
      <c r="D137" s="317">
        <f t="shared" si="16"/>
        <v>0</v>
      </c>
      <c r="E137" s="318">
        <f t="shared" si="17"/>
        <v>0</v>
      </c>
      <c r="K137" s="11" t="s">
        <v>435</v>
      </c>
      <c r="L137" s="11" t="s">
        <v>436</v>
      </c>
      <c r="M137" s="305">
        <v>0</v>
      </c>
      <c r="N137" s="305">
        <v>0</v>
      </c>
      <c r="O137" s="305">
        <v>0</v>
      </c>
    </row>
    <row r="138" spans="1:17" ht="19.149999999999999" customHeight="1">
      <c r="A138" s="11" t="str">
        <f t="shared" si="13"/>
        <v>SCH106</v>
      </c>
      <c r="B138" s="11" t="str">
        <f t="shared" si="14"/>
        <v>ANTIOXIDANT (IONAL LC) DISPERSION(250KGS/PLASTIC DRUM)</v>
      </c>
      <c r="C138" s="316">
        <f t="shared" si="15"/>
        <v>0</v>
      </c>
      <c r="D138" s="317">
        <f t="shared" si="16"/>
        <v>0</v>
      </c>
      <c r="E138" s="318">
        <f t="shared" si="17"/>
        <v>0</v>
      </c>
      <c r="K138" s="11" t="s">
        <v>437</v>
      </c>
      <c r="L138" s="11" t="s">
        <v>438</v>
      </c>
      <c r="M138" s="305">
        <v>0</v>
      </c>
      <c r="N138" s="305">
        <v>0</v>
      </c>
      <c r="O138" s="305">
        <v>0</v>
      </c>
    </row>
    <row r="139" spans="1:17" ht="19.149999999999999" customHeight="1">
      <c r="A139" s="11" t="str">
        <f t="shared" si="13"/>
        <v>SCH107</v>
      </c>
      <c r="B139" s="11" t="str">
        <f t="shared" si="14"/>
        <v>FARSPERSE GREEN MPG1814 (20KG/PAIL)</v>
      </c>
      <c r="C139" s="316">
        <f t="shared" si="15"/>
        <v>0</v>
      </c>
      <c r="D139" s="317">
        <f t="shared" si="16"/>
        <v>0</v>
      </c>
      <c r="E139" s="318">
        <f t="shared" si="17"/>
        <v>0</v>
      </c>
      <c r="K139" s="11" t="s">
        <v>439</v>
      </c>
      <c r="L139" s="11" t="s">
        <v>218</v>
      </c>
      <c r="M139" s="305">
        <v>0</v>
      </c>
      <c r="N139" s="305">
        <v>0</v>
      </c>
      <c r="O139" s="305">
        <v>0</v>
      </c>
    </row>
    <row r="140" spans="1:17" ht="18" customHeight="1">
      <c r="A140" s="11" t="str">
        <f t="shared" si="13"/>
        <v>SCH108</v>
      </c>
      <c r="B140" s="11" t="str">
        <f t="shared" si="14"/>
        <v>ZNO 60% DISPERSION (250KG/DRUM)</v>
      </c>
      <c r="C140" s="316">
        <f t="shared" si="15"/>
        <v>0</v>
      </c>
      <c r="D140" s="317">
        <f t="shared" si="16"/>
        <v>0</v>
      </c>
      <c r="E140" s="318">
        <f t="shared" si="17"/>
        <v>0</v>
      </c>
      <c r="K140" s="11" t="s">
        <v>440</v>
      </c>
      <c r="L140" s="11" t="s">
        <v>441</v>
      </c>
      <c r="M140" s="305">
        <v>0</v>
      </c>
      <c r="N140" s="305">
        <v>0</v>
      </c>
      <c r="O140" s="305">
        <v>0</v>
      </c>
    </row>
    <row r="141" spans="1:17" ht="18" customHeight="1">
      <c r="A141" s="11" t="str">
        <f t="shared" si="13"/>
        <v>SCH109</v>
      </c>
      <c r="B141" s="11" t="str">
        <f t="shared" si="14"/>
        <v>SULPHUR 60% DISPERSION (250KG/DRUM)</v>
      </c>
      <c r="C141" s="316">
        <f t="shared" si="15"/>
        <v>0</v>
      </c>
      <c r="D141" s="317">
        <f t="shared" si="16"/>
        <v>0</v>
      </c>
      <c r="E141" s="318">
        <f t="shared" si="17"/>
        <v>0</v>
      </c>
      <c r="K141" s="11" t="s">
        <v>442</v>
      </c>
      <c r="L141" s="11" t="s">
        <v>443</v>
      </c>
      <c r="M141" s="305">
        <v>0</v>
      </c>
      <c r="N141" s="305">
        <v>0</v>
      </c>
      <c r="O141" s="305">
        <v>0</v>
      </c>
    </row>
    <row r="142" spans="1:17" ht="18" customHeight="1">
      <c r="A142" s="11" t="str">
        <f t="shared" si="13"/>
        <v>SCH110</v>
      </c>
      <c r="B142" s="11" t="str">
        <f t="shared" si="14"/>
        <v>ZDBC50% DISPERSION (250KG/DRUM)</v>
      </c>
      <c r="C142" s="316">
        <f t="shared" si="15"/>
        <v>0</v>
      </c>
      <c r="D142" s="317">
        <f t="shared" si="16"/>
        <v>0</v>
      </c>
      <c r="E142" s="318">
        <f t="shared" si="17"/>
        <v>0</v>
      </c>
      <c r="K142" s="11" t="s">
        <v>444</v>
      </c>
      <c r="L142" s="11" t="s">
        <v>445</v>
      </c>
      <c r="M142" s="305">
        <v>0</v>
      </c>
      <c r="N142" s="305">
        <v>0</v>
      </c>
      <c r="O142" s="305">
        <v>0</v>
      </c>
    </row>
    <row r="143" spans="1:17" ht="18" customHeight="1">
      <c r="A143" s="11" t="str">
        <f t="shared" si="13"/>
        <v>SCH111</v>
      </c>
      <c r="B143" s="11" t="str">
        <f t="shared" si="14"/>
        <v>TI 70% DISPERSION (250KG/DRUM)</v>
      </c>
      <c r="C143" s="316">
        <f t="shared" si="15"/>
        <v>0</v>
      </c>
      <c r="D143" s="317">
        <f t="shared" si="16"/>
        <v>0</v>
      </c>
      <c r="E143" s="318">
        <f t="shared" si="17"/>
        <v>0</v>
      </c>
      <c r="K143" s="11" t="s">
        <v>446</v>
      </c>
      <c r="L143" s="11" t="s">
        <v>447</v>
      </c>
      <c r="M143" s="305">
        <v>0</v>
      </c>
      <c r="N143" s="305">
        <v>0</v>
      </c>
      <c r="O143" s="305">
        <v>0</v>
      </c>
    </row>
    <row r="144" spans="1:17" ht="18" customHeight="1">
      <c r="A144" s="11" t="str">
        <f t="shared" si="13"/>
        <v>SCH112</v>
      </c>
      <c r="B144" s="11" t="str">
        <f t="shared" si="14"/>
        <v>NEOPELEX G-24</v>
      </c>
      <c r="C144" s="316">
        <f t="shared" si="15"/>
        <v>0</v>
      </c>
      <c r="D144" s="317">
        <f t="shared" si="16"/>
        <v>0</v>
      </c>
      <c r="E144" s="318">
        <f t="shared" si="17"/>
        <v>0</v>
      </c>
      <c r="K144" s="11" t="s">
        <v>448</v>
      </c>
      <c r="L144" s="11" t="s">
        <v>449</v>
      </c>
      <c r="M144" s="305">
        <v>0</v>
      </c>
      <c r="N144" s="305">
        <v>0</v>
      </c>
      <c r="O144" s="305">
        <v>0</v>
      </c>
      <c r="Q144" s="91"/>
    </row>
    <row r="145" spans="1:17" ht="18" customHeight="1">
      <c r="A145" s="11" t="str">
        <f t="shared" si="13"/>
        <v>SCH113</v>
      </c>
      <c r="B145" s="11" t="str">
        <f t="shared" si="14"/>
        <v>CALCIUM NITRAD POWDER (DIPCAL RQ ) (25KG/PK)</v>
      </c>
      <c r="C145" s="316">
        <f t="shared" si="15"/>
        <v>0</v>
      </c>
      <c r="D145" s="317">
        <f t="shared" si="16"/>
        <v>0</v>
      </c>
      <c r="E145" s="318">
        <f t="shared" si="17"/>
        <v>0</v>
      </c>
      <c r="K145" s="11" t="s">
        <v>450</v>
      </c>
      <c r="L145" s="11" t="s">
        <v>451</v>
      </c>
      <c r="M145" s="305">
        <v>0</v>
      </c>
      <c r="N145" s="305">
        <v>0</v>
      </c>
      <c r="O145" s="305">
        <v>0</v>
      </c>
      <c r="Q145" s="91"/>
    </row>
    <row r="146" spans="1:17" ht="18" customHeight="1">
      <c r="A146" s="11" t="str">
        <f t="shared" si="13"/>
        <v>SCH114</v>
      </c>
      <c r="B146" s="11" t="str">
        <f t="shared" si="14"/>
        <v>CALCIUM NITRATE ( CHINA ) 25 KGS / BAG</v>
      </c>
      <c r="C146" s="316">
        <f t="shared" si="15"/>
        <v>0</v>
      </c>
      <c r="D146" s="317">
        <f t="shared" si="16"/>
        <v>0</v>
      </c>
      <c r="E146" s="318">
        <f t="shared" si="17"/>
        <v>0</v>
      </c>
      <c r="K146" s="11" t="s">
        <v>452</v>
      </c>
      <c r="L146" s="11" t="s">
        <v>453</v>
      </c>
      <c r="M146" s="305">
        <v>0</v>
      </c>
      <c r="N146" s="305">
        <v>0</v>
      </c>
      <c r="O146" s="305">
        <v>0</v>
      </c>
      <c r="Q146" s="91"/>
    </row>
    <row r="147" spans="1:17" ht="18" customHeight="1">
      <c r="A147" s="11" t="str">
        <f t="shared" si="13"/>
        <v>SCH115</v>
      </c>
      <c r="B147" s="11" t="str">
        <f t="shared" si="14"/>
        <v>BOSTEX 378AS(60% SULFUR) (240KG/DRUM)</v>
      </c>
      <c r="C147" s="316">
        <f t="shared" si="15"/>
        <v>0</v>
      </c>
      <c r="D147" s="317">
        <f t="shared" si="16"/>
        <v>0</v>
      </c>
      <c r="E147" s="318">
        <f t="shared" si="17"/>
        <v>0</v>
      </c>
      <c r="K147" s="11" t="s">
        <v>454</v>
      </c>
      <c r="L147" s="11" t="s">
        <v>455</v>
      </c>
      <c r="M147" s="305">
        <v>0</v>
      </c>
      <c r="N147" s="305">
        <v>0</v>
      </c>
      <c r="O147" s="305">
        <v>0</v>
      </c>
      <c r="Q147" s="91"/>
    </row>
    <row r="148" spans="1:17" ht="18" customHeight="1">
      <c r="A148" s="11" t="str">
        <f t="shared" si="13"/>
        <v>SCH116</v>
      </c>
      <c r="B148" s="11" t="str">
        <f t="shared" si="14"/>
        <v>BOSTEX 422AS(60% ZNO) (240KG/DRUM)</v>
      </c>
      <c r="C148" s="316">
        <f t="shared" si="15"/>
        <v>0</v>
      </c>
      <c r="D148" s="317">
        <f t="shared" si="16"/>
        <v>0</v>
      </c>
      <c r="E148" s="318">
        <f t="shared" si="17"/>
        <v>0</v>
      </c>
      <c r="K148" s="11" t="s">
        <v>456</v>
      </c>
      <c r="L148" s="11" t="s">
        <v>457</v>
      </c>
      <c r="M148" s="305">
        <v>0</v>
      </c>
      <c r="N148" s="305">
        <v>0</v>
      </c>
      <c r="O148" s="305">
        <v>0</v>
      </c>
      <c r="Q148" s="91"/>
    </row>
    <row r="149" spans="1:17" ht="18" customHeight="1">
      <c r="A149" s="11" t="str">
        <f t="shared" si="13"/>
        <v>SCH117</v>
      </c>
      <c r="B149" s="11" t="str">
        <f t="shared" si="14"/>
        <v>BOSTEX 950AS(50% ZDBC) (210KG/DRUM)</v>
      </c>
      <c r="C149" s="316">
        <f t="shared" si="15"/>
        <v>0</v>
      </c>
      <c r="D149" s="317">
        <f t="shared" si="16"/>
        <v>0</v>
      </c>
      <c r="E149" s="318">
        <f t="shared" si="17"/>
        <v>0</v>
      </c>
      <c r="K149" s="11" t="s">
        <v>458</v>
      </c>
      <c r="L149" s="11" t="s">
        <v>459</v>
      </c>
      <c r="M149" s="305">
        <v>0</v>
      </c>
      <c r="N149" s="305">
        <v>0</v>
      </c>
      <c r="O149" s="305">
        <v>0</v>
      </c>
      <c r="Q149" s="91"/>
    </row>
    <row r="150" spans="1:17" ht="18" customHeight="1">
      <c r="A150" s="11" t="str">
        <f t="shared" si="13"/>
        <v>SCH118</v>
      </c>
      <c r="B150" s="11" t="str">
        <f t="shared" si="14"/>
        <v>BOSTEX 997A(70% TIO2) (240KG/DRUM)</v>
      </c>
      <c r="C150" s="316">
        <f t="shared" si="15"/>
        <v>0</v>
      </c>
      <c r="D150" s="317">
        <f t="shared" si="16"/>
        <v>0</v>
      </c>
      <c r="E150" s="318">
        <f t="shared" si="17"/>
        <v>0</v>
      </c>
      <c r="K150" s="11" t="s">
        <v>460</v>
      </c>
      <c r="L150" s="11" t="s">
        <v>461</v>
      </c>
      <c r="M150" s="305">
        <v>0</v>
      </c>
      <c r="N150" s="305">
        <v>0</v>
      </c>
      <c r="O150" s="305">
        <v>0</v>
      </c>
      <c r="Q150" s="91"/>
    </row>
    <row r="151" spans="1:17" ht="18" customHeight="1">
      <c r="A151" s="11" t="str">
        <f t="shared" si="13"/>
        <v>SCH119</v>
      </c>
      <c r="B151" s="11" t="str">
        <f t="shared" si="14"/>
        <v>BOSTEX 422A(45% ACTIVE ZNO) (240KG/DRUM)</v>
      </c>
      <c r="C151" s="316">
        <f t="shared" si="15"/>
        <v>0</v>
      </c>
      <c r="D151" s="317">
        <f t="shared" si="16"/>
        <v>0</v>
      </c>
      <c r="E151" s="318">
        <f t="shared" si="17"/>
        <v>0</v>
      </c>
      <c r="K151" s="11" t="s">
        <v>462</v>
      </c>
      <c r="L151" s="11" t="s">
        <v>463</v>
      </c>
      <c r="M151" s="305">
        <v>0</v>
      </c>
      <c r="N151" s="305">
        <v>0</v>
      </c>
      <c r="O151" s="305">
        <v>0</v>
      </c>
      <c r="Q151" s="91"/>
    </row>
    <row r="152" spans="1:17" ht="18" customHeight="1">
      <c r="A152" s="11" t="str">
        <f t="shared" si="13"/>
        <v>SCH120</v>
      </c>
      <c r="B152" s="11" t="str">
        <f t="shared" si="14"/>
        <v>KOH 48% SOLUTION (1500KG/IBC)</v>
      </c>
      <c r="C152" s="316">
        <f t="shared" si="15"/>
        <v>0</v>
      </c>
      <c r="D152" s="317">
        <f t="shared" si="16"/>
        <v>0</v>
      </c>
      <c r="E152" s="318">
        <f t="shared" si="17"/>
        <v>0</v>
      </c>
      <c r="K152" s="11" t="s">
        <v>464</v>
      </c>
      <c r="L152" s="11" t="s">
        <v>465</v>
      </c>
      <c r="M152" s="305">
        <v>0</v>
      </c>
      <c r="N152" s="305">
        <v>0</v>
      </c>
      <c r="O152" s="305">
        <v>0</v>
      </c>
      <c r="Q152" s="91"/>
    </row>
    <row r="153" spans="1:17" ht="18" customHeight="1">
      <c r="A153" s="11" t="str">
        <f t="shared" si="13"/>
        <v>SCH121</v>
      </c>
      <c r="B153" s="11" t="str">
        <f t="shared" si="14"/>
        <v>BACTERICIDE PS-75 (150KG/DR)</v>
      </c>
      <c r="C153" s="316">
        <f t="shared" si="15"/>
        <v>0</v>
      </c>
      <c r="D153" s="317">
        <f t="shared" si="16"/>
        <v>0</v>
      </c>
      <c r="E153" s="318">
        <f t="shared" si="17"/>
        <v>0</v>
      </c>
      <c r="K153" s="11" t="s">
        <v>466</v>
      </c>
      <c r="L153" s="11" t="s">
        <v>467</v>
      </c>
      <c r="M153" s="305">
        <v>0</v>
      </c>
      <c r="N153" s="305">
        <v>0</v>
      </c>
      <c r="O153" s="305">
        <v>0</v>
      </c>
      <c r="Q153" s="91"/>
    </row>
    <row r="154" spans="1:17" ht="18" customHeight="1">
      <c r="A154" s="11" t="str">
        <f t="shared" si="13"/>
        <v>SCH122</v>
      </c>
      <c r="B154" s="11" t="str">
        <f t="shared" si="14"/>
        <v>KOH 48% SOLUTION (1000KG/IBC)</v>
      </c>
      <c r="C154" s="316">
        <f t="shared" si="15"/>
        <v>0</v>
      </c>
      <c r="D154" s="317">
        <f t="shared" si="16"/>
        <v>0</v>
      </c>
      <c r="E154" s="318">
        <f t="shared" si="17"/>
        <v>0</v>
      </c>
      <c r="K154" s="11" t="s">
        <v>468</v>
      </c>
      <c r="L154" s="11" t="s">
        <v>469</v>
      </c>
      <c r="M154" s="305">
        <v>0</v>
      </c>
      <c r="N154" s="305">
        <v>0</v>
      </c>
      <c r="O154" s="305">
        <v>0</v>
      </c>
      <c r="Q154" s="91"/>
    </row>
    <row r="155" spans="1:17" ht="18" customHeight="1">
      <c r="A155" s="11" t="str">
        <f t="shared" si="13"/>
        <v>SCH123</v>
      </c>
      <c r="B155" s="11" t="str">
        <f t="shared" si="14"/>
        <v>SA600 (1400KG/IBC)</v>
      </c>
      <c r="C155" s="316">
        <f t="shared" si="15"/>
        <v>0</v>
      </c>
      <c r="D155" s="317">
        <f t="shared" si="16"/>
        <v>0</v>
      </c>
      <c r="E155" s="318">
        <f t="shared" si="17"/>
        <v>0</v>
      </c>
      <c r="K155" s="11" t="s">
        <v>470</v>
      </c>
      <c r="L155" s="11" t="s">
        <v>471</v>
      </c>
      <c r="M155" s="305">
        <v>0</v>
      </c>
      <c r="N155" s="305">
        <v>0</v>
      </c>
      <c r="O155" s="305">
        <v>0</v>
      </c>
      <c r="Q155" s="91"/>
    </row>
    <row r="156" spans="1:17" ht="18" customHeight="1">
      <c r="A156" s="11" t="str">
        <f t="shared" si="13"/>
        <v>SCH124</v>
      </c>
      <c r="B156" s="11" t="str">
        <f t="shared" si="14"/>
        <v>TWT-ORANGE-ROR5</v>
      </c>
      <c r="C156" s="316">
        <f t="shared" si="15"/>
        <v>0</v>
      </c>
      <c r="D156" s="317">
        <f t="shared" si="16"/>
        <v>0</v>
      </c>
      <c r="E156" s="318">
        <f t="shared" si="17"/>
        <v>0</v>
      </c>
      <c r="K156" s="11" t="s">
        <v>472</v>
      </c>
      <c r="L156" s="11" t="s">
        <v>473</v>
      </c>
      <c r="M156" s="305">
        <v>0</v>
      </c>
      <c r="N156" s="305">
        <v>0</v>
      </c>
      <c r="O156" s="305">
        <v>0</v>
      </c>
      <c r="Q156" s="91"/>
    </row>
    <row r="157" spans="1:17" ht="18" customHeight="1">
      <c r="A157" s="11" t="str">
        <f t="shared" si="13"/>
        <v>SCH154</v>
      </c>
      <c r="B157" s="11" t="str">
        <f t="shared" si="14"/>
        <v>EZCLEAN 320 (1000KG/IBC) - CEEBEE</v>
      </c>
      <c r="C157" s="316">
        <f t="shared" si="15"/>
        <v>0</v>
      </c>
      <c r="D157" s="317">
        <f t="shared" si="16"/>
        <v>0</v>
      </c>
      <c r="E157" s="318">
        <f t="shared" si="17"/>
        <v>0</v>
      </c>
      <c r="K157" s="11" t="s">
        <v>474</v>
      </c>
      <c r="L157" s="11" t="s">
        <v>475</v>
      </c>
      <c r="M157" s="305">
        <v>0</v>
      </c>
      <c r="N157" s="305">
        <v>0</v>
      </c>
      <c r="O157" s="305">
        <v>0</v>
      </c>
      <c r="Q157" s="91"/>
    </row>
    <row r="158" spans="1:17" ht="18" customHeight="1">
      <c r="A158" s="11" t="str">
        <f t="shared" si="13"/>
        <v>SCH155</v>
      </c>
      <c r="B158" s="11" t="str">
        <f t="shared" si="14"/>
        <v>WIZSOFT405 (200KG/DRUM)-WIZARD</v>
      </c>
      <c r="C158" s="316">
        <f t="shared" si="15"/>
        <v>0</v>
      </c>
      <c r="D158" s="317">
        <f t="shared" si="16"/>
        <v>0</v>
      </c>
      <c r="E158" s="318">
        <f t="shared" si="17"/>
        <v>0</v>
      </c>
      <c r="K158" s="11" t="s">
        <v>476</v>
      </c>
      <c r="L158" s="11" t="s">
        <v>477</v>
      </c>
      <c r="M158" s="305">
        <v>0</v>
      </c>
      <c r="N158" s="305">
        <v>0</v>
      </c>
      <c r="O158" s="305">
        <v>0</v>
      </c>
      <c r="Q158" s="91"/>
    </row>
    <row r="159" spans="1:17" ht="18" customHeight="1">
      <c r="A159" s="11" t="str">
        <f t="shared" si="13"/>
        <v>SCH165</v>
      </c>
      <c r="B159" s="11" t="str">
        <f t="shared" si="14"/>
        <v>CARBOWET GA100 (194KG/DRUM)</v>
      </c>
      <c r="C159" s="316">
        <f t="shared" si="15"/>
        <v>0</v>
      </c>
      <c r="D159" s="317">
        <f t="shared" si="16"/>
        <v>0</v>
      </c>
      <c r="E159" s="318">
        <f t="shared" si="17"/>
        <v>0</v>
      </c>
      <c r="K159" s="11" t="s">
        <v>478</v>
      </c>
      <c r="L159" s="11" t="s">
        <v>479</v>
      </c>
      <c r="M159" s="305">
        <v>0</v>
      </c>
      <c r="N159" s="305">
        <v>0</v>
      </c>
      <c r="O159" s="305">
        <v>0</v>
      </c>
      <c r="Q159" s="91"/>
    </row>
    <row r="160" spans="1:17" ht="18" customHeight="1">
      <c r="A160" s="11" t="str">
        <f t="shared" si="13"/>
        <v>SCH168</v>
      </c>
      <c r="B160" s="11" t="str">
        <f t="shared" si="14"/>
        <v>ALPHALINK (ACELERATOR FREE CROSSLINKER) (200KG/Drum)</v>
      </c>
      <c r="C160" s="316">
        <f t="shared" si="15"/>
        <v>0</v>
      </c>
      <c r="D160" s="317">
        <f t="shared" si="16"/>
        <v>0</v>
      </c>
      <c r="E160" s="318">
        <f t="shared" si="17"/>
        <v>0</v>
      </c>
      <c r="K160" s="11" t="s">
        <v>480</v>
      </c>
      <c r="L160" s="11" t="s">
        <v>481</v>
      </c>
      <c r="M160" s="305">
        <v>0</v>
      </c>
      <c r="N160" s="305">
        <v>0</v>
      </c>
      <c r="O160" s="305">
        <v>0</v>
      </c>
      <c r="Q160" s="91"/>
    </row>
    <row r="161" spans="1:17" ht="18" customHeight="1">
      <c r="A161" s="11" t="str">
        <f t="shared" si="13"/>
        <v>SCH169</v>
      </c>
      <c r="B161" s="11" t="str">
        <f t="shared" si="14"/>
        <v>M-GEN2 CLB-02</v>
      </c>
      <c r="C161" s="316">
        <f t="shared" si="15"/>
        <v>0</v>
      </c>
      <c r="D161" s="317">
        <f t="shared" si="16"/>
        <v>0</v>
      </c>
      <c r="E161" s="318">
        <f t="shared" si="17"/>
        <v>0</v>
      </c>
      <c r="K161" s="11" t="s">
        <v>482</v>
      </c>
      <c r="L161" s="11" t="s">
        <v>483</v>
      </c>
      <c r="M161" s="305">
        <v>0</v>
      </c>
      <c r="N161" s="305">
        <v>0</v>
      </c>
      <c r="O161" s="305">
        <v>0</v>
      </c>
      <c r="Q161" s="91"/>
    </row>
    <row r="162" spans="1:17" ht="18" customHeight="1">
      <c r="A162" s="11" t="str">
        <f t="shared" si="13"/>
        <v>SCH170</v>
      </c>
      <c r="B162" s="11" t="str">
        <f t="shared" si="14"/>
        <v>DIETHYLENE GLYCOL (DEG) 225KG/Drum</v>
      </c>
      <c r="C162" s="316">
        <f t="shared" si="15"/>
        <v>0</v>
      </c>
      <c r="D162" s="317">
        <f t="shared" si="16"/>
        <v>0</v>
      </c>
      <c r="E162" s="318">
        <f t="shared" si="17"/>
        <v>0</v>
      </c>
      <c r="K162" s="11" t="s">
        <v>484</v>
      </c>
      <c r="L162" s="11" t="s">
        <v>485</v>
      </c>
      <c r="M162" s="305">
        <v>0</v>
      </c>
      <c r="N162" s="305">
        <v>0</v>
      </c>
      <c r="O162" s="305">
        <v>0</v>
      </c>
      <c r="Q162" s="91"/>
    </row>
    <row r="163" spans="1:17" ht="18" customHeight="1">
      <c r="A163" s="11" t="str">
        <f t="shared" si="13"/>
        <v>SCH171</v>
      </c>
      <c r="B163" s="11" t="str">
        <f t="shared" si="14"/>
        <v>FLEXONYL ORANGE G</v>
      </c>
      <c r="C163" s="316">
        <f t="shared" si="15"/>
        <v>0</v>
      </c>
      <c r="D163" s="317">
        <f t="shared" si="16"/>
        <v>0</v>
      </c>
      <c r="E163" s="318">
        <f t="shared" si="17"/>
        <v>0</v>
      </c>
      <c r="K163" s="11" t="s">
        <v>486</v>
      </c>
      <c r="L163" s="11" t="s">
        <v>487</v>
      </c>
      <c r="M163" s="305">
        <v>0</v>
      </c>
      <c r="N163" s="305">
        <v>0</v>
      </c>
      <c r="O163" s="305">
        <v>0</v>
      </c>
      <c r="Q163" s="91"/>
    </row>
    <row r="164" spans="1:17" ht="18" customHeight="1">
      <c r="A164" s="11" t="str">
        <f t="shared" si="13"/>
        <v>SCH172</v>
      </c>
      <c r="B164" s="11" t="str">
        <f t="shared" si="14"/>
        <v>TWT- ORANGE - ROS5</v>
      </c>
      <c r="C164" s="316">
        <f t="shared" si="15"/>
        <v>0</v>
      </c>
      <c r="D164" s="317">
        <f t="shared" si="16"/>
        <v>0</v>
      </c>
      <c r="E164" s="318">
        <f t="shared" si="17"/>
        <v>0</v>
      </c>
      <c r="K164" s="11" t="s">
        <v>488</v>
      </c>
      <c r="L164" s="11" t="s">
        <v>244</v>
      </c>
      <c r="M164" s="305">
        <v>0</v>
      </c>
      <c r="N164" s="305">
        <v>0</v>
      </c>
      <c r="O164" s="305">
        <v>0</v>
      </c>
      <c r="Q164" s="91"/>
    </row>
    <row r="165" spans="1:17" ht="18" customHeight="1">
      <c r="A165" s="11" t="str">
        <f t="shared" si="13"/>
        <v>SCH173</v>
      </c>
      <c r="B165" s="11" t="str">
        <f t="shared" si="14"/>
        <v>FARSPERSE ORANGE PO-HPA -(SF) (20KG/DRUM)</v>
      </c>
      <c r="C165" s="316">
        <f t="shared" si="15"/>
        <v>0</v>
      </c>
      <c r="D165" s="317">
        <f t="shared" si="16"/>
        <v>0</v>
      </c>
      <c r="E165" s="318">
        <f t="shared" si="17"/>
        <v>0</v>
      </c>
      <c r="K165" s="11" t="s">
        <v>489</v>
      </c>
      <c r="L165" s="11" t="s">
        <v>490</v>
      </c>
      <c r="M165" s="305">
        <v>0</v>
      </c>
      <c r="N165" s="305">
        <v>0</v>
      </c>
      <c r="O165" s="305">
        <v>0</v>
      </c>
      <c r="Q165" s="91"/>
    </row>
    <row r="166" spans="1:17" ht="18" customHeight="1">
      <c r="A166" s="11" t="str">
        <f t="shared" si="13"/>
        <v>SCH182</v>
      </c>
      <c r="B166" s="11" t="str">
        <f t="shared" si="14"/>
        <v>DISPERCURE AccB60 (Accelerator Booster ) (200KG/Drum)</v>
      </c>
      <c r="C166" s="316">
        <f t="shared" si="15"/>
        <v>0</v>
      </c>
      <c r="D166" s="317">
        <f t="shared" si="16"/>
        <v>0</v>
      </c>
      <c r="E166" s="318">
        <f t="shared" si="17"/>
        <v>0</v>
      </c>
      <c r="K166" s="11" t="s">
        <v>491</v>
      </c>
      <c r="L166" s="11" t="s">
        <v>492</v>
      </c>
      <c r="M166" s="305">
        <v>0</v>
      </c>
      <c r="N166" s="305">
        <v>0</v>
      </c>
      <c r="O166" s="305">
        <v>0</v>
      </c>
      <c r="Q166" s="91"/>
    </row>
    <row r="167" spans="1:17" ht="18" customHeight="1">
      <c r="A167" s="11" t="str">
        <f t="shared" si="13"/>
        <v>SCH184</v>
      </c>
      <c r="B167" s="11" t="str">
        <f t="shared" si="14"/>
        <v>NOBEL 7400</v>
      </c>
      <c r="C167" s="316">
        <f t="shared" si="15"/>
        <v>0</v>
      </c>
      <c r="D167" s="317">
        <f t="shared" si="16"/>
        <v>0</v>
      </c>
      <c r="E167" s="318">
        <f t="shared" si="17"/>
        <v>0</v>
      </c>
      <c r="K167" s="11" t="s">
        <v>493</v>
      </c>
      <c r="L167" s="11" t="s">
        <v>494</v>
      </c>
      <c r="M167" s="305">
        <v>0</v>
      </c>
      <c r="N167" s="305">
        <v>0</v>
      </c>
      <c r="O167" s="305">
        <v>0</v>
      </c>
      <c r="Q167" s="91"/>
    </row>
    <row r="168" spans="1:17" ht="18" customHeight="1">
      <c r="A168" s="11" t="str">
        <f t="shared" si="13"/>
        <v>SCH187</v>
      </c>
      <c r="B168" s="11" t="str">
        <f t="shared" si="14"/>
        <v>STAB SURF 8005</v>
      </c>
      <c r="C168" s="316">
        <f t="shared" si="15"/>
        <v>0</v>
      </c>
      <c r="D168" s="317">
        <f t="shared" si="16"/>
        <v>0</v>
      </c>
      <c r="E168" s="318">
        <f t="shared" si="17"/>
        <v>0</v>
      </c>
      <c r="K168" s="11" t="s">
        <v>495</v>
      </c>
      <c r="L168" s="11" t="s">
        <v>496</v>
      </c>
      <c r="M168" s="305">
        <v>0</v>
      </c>
      <c r="N168" s="305">
        <v>0</v>
      </c>
      <c r="O168" s="305">
        <v>0</v>
      </c>
      <c r="Q168" s="91"/>
    </row>
    <row r="169" spans="1:17" ht="18" customHeight="1">
      <c r="A169" s="11" t="str">
        <f t="shared" si="13"/>
        <v>SFG-Water</v>
      </c>
      <c r="B169" s="11" t="str">
        <f t="shared" si="14"/>
        <v>Water</v>
      </c>
      <c r="C169" s="316">
        <f t="shared" si="15"/>
        <v>44115.782051275302</v>
      </c>
      <c r="D169" s="317">
        <f t="shared" si="16"/>
        <v>0</v>
      </c>
      <c r="E169" s="318">
        <f t="shared" si="17"/>
        <v>0</v>
      </c>
      <c r="K169" s="11" t="s">
        <v>497</v>
      </c>
      <c r="L169" s="11" t="s">
        <v>498</v>
      </c>
      <c r="M169" s="305">
        <v>44115.782051275302</v>
      </c>
      <c r="N169" s="305">
        <v>0</v>
      </c>
      <c r="O169" s="305">
        <v>0</v>
      </c>
      <c r="Q169" s="91"/>
    </row>
    <row r="170" spans="1:17" ht="18" customHeight="1" thickBot="1">
      <c r="A170" s="326"/>
      <c r="B170" s="326"/>
      <c r="C170" s="327">
        <f>SUM(C6:C168)-C168</f>
        <v>35845.210753313055</v>
      </c>
      <c r="D170" s="327"/>
      <c r="E170" s="327">
        <f>SUM(E6:H167)</f>
        <v>541750.30000000005</v>
      </c>
      <c r="K170" s="326"/>
      <c r="L170" s="326"/>
      <c r="M170" s="329">
        <f>SUM(M6:M168)-M168</f>
        <v>35845.210753313055</v>
      </c>
      <c r="N170" s="329"/>
      <c r="O170" s="329">
        <f>SUM(O6:O168)</f>
        <v>541750.30000000005</v>
      </c>
    </row>
    <row r="171" spans="1:17" ht="18" customHeight="1" thickTop="1">
      <c r="C171" s="318"/>
      <c r="D171" s="318"/>
      <c r="E171" s="318"/>
      <c r="Q171" s="330"/>
    </row>
    <row r="172" spans="1:17" ht="18" customHeight="1">
      <c r="A172" s="11" t="s">
        <v>499</v>
      </c>
      <c r="B172" s="11" t="s">
        <v>500</v>
      </c>
      <c r="C172" s="316">
        <f>SUMIF(K:K,A172,M:M)</f>
        <v>42708.387697088139</v>
      </c>
      <c r="D172" s="328">
        <f t="shared" ref="D172:D173" si="18">IF(C172=0,0,E172/C172)</f>
        <v>43.9881218023149</v>
      </c>
      <c r="E172" s="316">
        <f>SUMIF($K:$K,A172,O:O)</f>
        <v>1878661.7600000002</v>
      </c>
      <c r="K172" s="11" t="s">
        <v>499</v>
      </c>
      <c r="L172" s="11" t="s">
        <v>500</v>
      </c>
      <c r="M172" s="324">
        <v>42708.387697088139</v>
      </c>
      <c r="N172" s="324">
        <v>43.9881218023149</v>
      </c>
      <c r="O172" s="324">
        <v>1878661.7600000002</v>
      </c>
      <c r="Q172" s="330"/>
    </row>
    <row r="173" spans="1:17" ht="18" customHeight="1">
      <c r="B173" s="11" t="s">
        <v>501</v>
      </c>
      <c r="C173" s="316"/>
      <c r="D173" s="328">
        <f t="shared" si="18"/>
        <v>0</v>
      </c>
      <c r="E173" s="316"/>
      <c r="L173" s="11" t="s">
        <v>501</v>
      </c>
      <c r="M173" s="12"/>
      <c r="N173" s="12"/>
      <c r="O173" s="12"/>
      <c r="Q173" s="330"/>
    </row>
    <row r="174" spans="1:17" s="392" customFormat="1" ht="18" customHeight="1">
      <c r="A174" s="392" t="s">
        <v>502</v>
      </c>
      <c r="B174" s="392" t="s">
        <v>503</v>
      </c>
      <c r="C174" s="393">
        <f t="shared" ref="C174:E176" si="19">M174</f>
        <v>42708.387697088139</v>
      </c>
      <c r="D174" s="393">
        <f t="shared" si="19"/>
        <v>43.9881218023149</v>
      </c>
      <c r="E174" s="393">
        <f t="shared" si="19"/>
        <v>1878661.7600000002</v>
      </c>
      <c r="K174" s="392" t="s">
        <v>502</v>
      </c>
      <c r="L174" s="392" t="s">
        <v>503</v>
      </c>
      <c r="M174" s="394">
        <v>42708.387697088139</v>
      </c>
      <c r="N174" s="394">
        <v>43.9881218023149</v>
      </c>
      <c r="O174" s="394">
        <v>1878661.7600000002</v>
      </c>
      <c r="Q174" s="395"/>
    </row>
    <row r="175" spans="1:17" s="392" customFormat="1" ht="18" customHeight="1">
      <c r="A175" s="392" t="s">
        <v>504</v>
      </c>
      <c r="B175" s="392" t="s">
        <v>505</v>
      </c>
      <c r="C175" s="393">
        <f t="shared" si="19"/>
        <v>0</v>
      </c>
      <c r="D175" s="393">
        <f t="shared" si="19"/>
        <v>0</v>
      </c>
      <c r="E175" s="393">
        <f t="shared" si="19"/>
        <v>0</v>
      </c>
      <c r="K175" s="392" t="s">
        <v>506</v>
      </c>
      <c r="L175" s="392" t="s">
        <v>507</v>
      </c>
      <c r="M175" s="394">
        <v>0</v>
      </c>
      <c r="N175" s="394">
        <v>0</v>
      </c>
      <c r="O175" s="394">
        <v>0</v>
      </c>
      <c r="Q175" s="395"/>
    </row>
    <row r="176" spans="1:17" s="392" customFormat="1" ht="18" customHeight="1">
      <c r="A176" s="392" t="s">
        <v>506</v>
      </c>
      <c r="B176" s="392" t="s">
        <v>507</v>
      </c>
      <c r="C176" s="393">
        <f t="shared" si="19"/>
        <v>0</v>
      </c>
      <c r="D176" s="393">
        <f t="shared" si="19"/>
        <v>0</v>
      </c>
      <c r="E176" s="393">
        <f t="shared" si="19"/>
        <v>0</v>
      </c>
      <c r="K176" s="392" t="s">
        <v>508</v>
      </c>
      <c r="L176" s="392" t="s">
        <v>509</v>
      </c>
      <c r="M176" s="394"/>
      <c r="N176" s="394"/>
      <c r="O176" s="394"/>
    </row>
    <row r="177" spans="1:17" s="392" customFormat="1" ht="18" customHeight="1">
      <c r="C177" s="393"/>
      <c r="D177" s="393"/>
      <c r="E177" s="393"/>
      <c r="K177" s="392" t="s">
        <v>510</v>
      </c>
      <c r="L177" s="392" t="s">
        <v>511</v>
      </c>
      <c r="M177" s="394"/>
      <c r="N177" s="394"/>
      <c r="O177" s="394"/>
    </row>
    <row r="178" spans="1:17" s="392" customFormat="1" ht="18" customHeight="1">
      <c r="C178" s="393"/>
      <c r="D178" s="393"/>
      <c r="E178" s="393"/>
      <c r="M178" s="394"/>
      <c r="N178" s="394"/>
      <c r="O178" s="394"/>
    </row>
    <row r="179" spans="1:17" s="392" customFormat="1" ht="18" customHeight="1">
      <c r="C179" s="393"/>
      <c r="D179" s="393"/>
      <c r="E179" s="393"/>
      <c r="M179" s="394"/>
      <c r="N179" s="394"/>
      <c r="O179" s="394"/>
      <c r="Q179" s="396"/>
    </row>
    <row r="180" spans="1:17" s="392" customFormat="1" ht="18" customHeight="1">
      <c r="C180" s="397"/>
      <c r="D180" s="398"/>
      <c r="E180" s="397"/>
      <c r="M180" s="399"/>
      <c r="N180" s="399"/>
      <c r="O180" s="399"/>
    </row>
    <row r="181" spans="1:17" ht="18" customHeight="1">
      <c r="C181" s="316"/>
      <c r="D181" s="328"/>
      <c r="E181" s="316"/>
      <c r="M181" s="324"/>
      <c r="N181" s="324"/>
      <c r="O181" s="324"/>
    </row>
    <row r="182" spans="1:17" ht="18" customHeight="1">
      <c r="C182" s="316"/>
      <c r="D182" s="317"/>
      <c r="E182" s="318"/>
    </row>
    <row r="183" spans="1:17" ht="18" customHeight="1">
      <c r="C183" s="316"/>
      <c r="D183" s="317"/>
      <c r="E183" s="318"/>
    </row>
    <row r="184" spans="1:17" ht="18" customHeight="1">
      <c r="C184" s="318"/>
      <c r="D184" s="317"/>
      <c r="E184" s="318"/>
      <c r="O184" s="11"/>
    </row>
    <row r="185" spans="1:17" ht="18" customHeight="1" thickBot="1">
      <c r="A185" s="326"/>
      <c r="B185" s="326"/>
      <c r="C185" s="327">
        <f>+C172+C170</f>
        <v>78553.598450401187</v>
      </c>
      <c r="D185" s="327"/>
      <c r="E185" s="327">
        <f>+E170+E172</f>
        <v>2420412.0600000005</v>
      </c>
      <c r="K185" s="326"/>
      <c r="L185" s="326"/>
      <c r="M185" s="329">
        <f>+M170+M172</f>
        <v>78553.598450401187</v>
      </c>
      <c r="N185" s="329"/>
      <c r="O185" s="329">
        <f>+O170+O172</f>
        <v>2420412.0600000005</v>
      </c>
    </row>
    <row r="186" spans="1:17" ht="18" customHeight="1" thickTop="1"/>
  </sheetData>
  <sortState xmlns:xlrd2="http://schemas.microsoft.com/office/spreadsheetml/2017/richdata2" ref="A6:P56">
    <sortCondition ref="A6:A56"/>
    <sortCondition ref="B6:B56"/>
  </sortState>
  <mergeCells count="1">
    <mergeCell ref="B3:B4"/>
  </mergeCells>
  <pageMargins left="0.16" right="0.27" top="0.28000000000000003" bottom="0.33" header="0.3" footer="0.3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2FC-6A4A-4B48-BDCB-87100B6A3653}">
  <dimension ref="A1:BC22"/>
  <sheetViews>
    <sheetView workbookViewId="0">
      <selection activeCell="A3" sqref="A3:C3"/>
    </sheetView>
  </sheetViews>
  <sheetFormatPr defaultColWidth="6.25" defaultRowHeight="15" customHeight="1"/>
  <cols>
    <col min="1" max="1" width="5.625" style="331" customWidth="1"/>
    <col min="2" max="2" width="22.25" style="331" customWidth="1"/>
    <col min="3" max="5" width="4.5" style="331" customWidth="1"/>
    <col min="6" max="6" width="9.75" style="331" customWidth="1"/>
    <col min="7" max="7" width="10.875" style="331" customWidth="1"/>
    <col min="8" max="8" width="11.25" style="331" hidden="1" customWidth="1"/>
    <col min="9" max="9" width="12.5" style="331" hidden="1" customWidth="1"/>
    <col min="10" max="10" width="10.25" style="331" customWidth="1"/>
    <col min="11" max="11" width="11.75" style="331" customWidth="1"/>
    <col min="12" max="12" width="9.125" style="331" hidden="1" customWidth="1"/>
    <col min="13" max="13" width="9.5" style="331" hidden="1" customWidth="1"/>
    <col min="14" max="14" width="0.875" style="331" hidden="1" customWidth="1"/>
    <col min="15" max="15" width="9" style="331" hidden="1" customWidth="1"/>
    <col min="16" max="16" width="11.375" style="331" hidden="1" customWidth="1"/>
    <col min="17" max="17" width="11.125" style="331" hidden="1" customWidth="1"/>
    <col min="18" max="18" width="12.75" style="331" hidden="1" customWidth="1"/>
    <col min="19" max="19" width="10.5" style="331" hidden="1" customWidth="1"/>
    <col min="20" max="20" width="11.125" style="331" hidden="1" customWidth="1"/>
    <col min="21" max="21" width="10.5" style="331" hidden="1" customWidth="1"/>
    <col min="22" max="22" width="12.875" style="331" hidden="1" customWidth="1"/>
    <col min="23" max="23" width="9.75" style="331" hidden="1" customWidth="1"/>
    <col min="24" max="24" width="11.375" style="331" hidden="1" customWidth="1"/>
    <col min="25" max="25" width="0.875" style="331" hidden="1" customWidth="1"/>
    <col min="26" max="26" width="9.75" style="331" hidden="1" customWidth="1"/>
    <col min="27" max="27" width="11.75" style="331" hidden="1" customWidth="1"/>
    <col min="28" max="28" width="0.875" style="331" hidden="1" customWidth="1"/>
    <col min="29" max="29" width="8.25" style="331" customWidth="1"/>
    <col min="30" max="30" width="10.875" style="331" customWidth="1"/>
    <col min="31" max="31" width="10" style="331" hidden="1" customWidth="1"/>
    <col min="32" max="32" width="10.375" style="331" hidden="1" customWidth="1"/>
    <col min="33" max="33" width="9.5" style="331" hidden="1" customWidth="1"/>
    <col min="34" max="34" width="10.75" style="331" hidden="1" customWidth="1"/>
    <col min="35" max="35" width="7.75" style="331" hidden="1" customWidth="1"/>
    <col min="36" max="36" width="8.75" style="331" hidden="1" customWidth="1"/>
    <col min="37" max="37" width="9.25" style="331" hidden="1" customWidth="1"/>
    <col min="38" max="38" width="0.125" style="331" hidden="1" customWidth="1"/>
    <col min="39" max="40" width="10.25" style="331" hidden="1" customWidth="1"/>
    <col min="41" max="41" width="11.125" style="331" hidden="1" customWidth="1"/>
    <col min="42" max="42" width="3.625" style="331" hidden="1" customWidth="1"/>
    <col min="43" max="43" width="8.375" style="331" customWidth="1"/>
    <col min="44" max="44" width="11.25" style="331" customWidth="1"/>
    <col min="45" max="45" width="9.875" style="331" hidden="1" customWidth="1"/>
    <col min="46" max="47" width="10.375" style="331" hidden="1" customWidth="1"/>
    <col min="48" max="48" width="10.5" style="331" hidden="1" customWidth="1"/>
    <col min="49" max="49" width="10.75" style="331" hidden="1" customWidth="1"/>
    <col min="50" max="50" width="10" style="331" hidden="1" customWidth="1"/>
    <col min="51" max="51" width="8.875" style="331" hidden="1" customWidth="1"/>
    <col min="52" max="52" width="8.75" style="331" customWidth="1"/>
    <col min="53" max="53" width="9" style="331" customWidth="1"/>
    <col min="54" max="54" width="12" style="331" customWidth="1"/>
    <col min="55" max="55" width="8.875" style="331" customWidth="1"/>
    <col min="56" max="258" width="6.25" style="331"/>
    <col min="259" max="259" width="5.625" style="331" customWidth="1"/>
    <col min="260" max="260" width="20.5" style="331" customWidth="1"/>
    <col min="261" max="261" width="4.5" style="331" customWidth="1"/>
    <col min="262" max="262" width="9.75" style="331" customWidth="1"/>
    <col min="263" max="263" width="10.875" style="331" customWidth="1"/>
    <col min="264" max="292" width="0" style="331" hidden="1" customWidth="1"/>
    <col min="293" max="293" width="8.375" style="331" customWidth="1"/>
    <col min="294" max="294" width="0" style="331" hidden="1" customWidth="1"/>
    <col min="295" max="295" width="9.25" style="331" customWidth="1"/>
    <col min="296" max="296" width="9.75" style="331" customWidth="1"/>
    <col min="297" max="297" width="11.125" style="331" customWidth="1"/>
    <col min="298" max="298" width="3.625" style="331" customWidth="1"/>
    <col min="299" max="299" width="8.375" style="331" customWidth="1"/>
    <col min="300" max="300" width="10.25" style="331" customWidth="1"/>
    <col min="301" max="307" width="0" style="331" hidden="1" customWidth="1"/>
    <col min="308" max="308" width="6.125" style="331" customWidth="1"/>
    <col min="309" max="309" width="5.75" style="331" customWidth="1"/>
    <col min="310" max="310" width="7.125" style="331" customWidth="1"/>
    <col min="311" max="311" width="6.875" style="331" customWidth="1"/>
    <col min="312" max="514" width="6.25" style="331"/>
    <col min="515" max="515" width="5.625" style="331" customWidth="1"/>
    <col min="516" max="516" width="20.5" style="331" customWidth="1"/>
    <col min="517" max="517" width="4.5" style="331" customWidth="1"/>
    <col min="518" max="518" width="9.75" style="331" customWidth="1"/>
    <col min="519" max="519" width="10.875" style="331" customWidth="1"/>
    <col min="520" max="548" width="0" style="331" hidden="1" customWidth="1"/>
    <col min="549" max="549" width="8.375" style="331" customWidth="1"/>
    <col min="550" max="550" width="0" style="331" hidden="1" customWidth="1"/>
    <col min="551" max="551" width="9.25" style="331" customWidth="1"/>
    <col min="552" max="552" width="9.75" style="331" customWidth="1"/>
    <col min="553" max="553" width="11.125" style="331" customWidth="1"/>
    <col min="554" max="554" width="3.625" style="331" customWidth="1"/>
    <col min="555" max="555" width="8.375" style="331" customWidth="1"/>
    <col min="556" max="556" width="10.25" style="331" customWidth="1"/>
    <col min="557" max="563" width="0" style="331" hidden="1" customWidth="1"/>
    <col min="564" max="564" width="6.125" style="331" customWidth="1"/>
    <col min="565" max="565" width="5.75" style="331" customWidth="1"/>
    <col min="566" max="566" width="7.125" style="331" customWidth="1"/>
    <col min="567" max="567" width="6.875" style="331" customWidth="1"/>
    <col min="568" max="770" width="6.25" style="331"/>
    <col min="771" max="771" width="5.625" style="331" customWidth="1"/>
    <col min="772" max="772" width="20.5" style="331" customWidth="1"/>
    <col min="773" max="773" width="4.5" style="331" customWidth="1"/>
    <col min="774" max="774" width="9.75" style="331" customWidth="1"/>
    <col min="775" max="775" width="10.875" style="331" customWidth="1"/>
    <col min="776" max="804" width="0" style="331" hidden="1" customWidth="1"/>
    <col min="805" max="805" width="8.375" style="331" customWidth="1"/>
    <col min="806" max="806" width="0" style="331" hidden="1" customWidth="1"/>
    <col min="807" max="807" width="9.25" style="331" customWidth="1"/>
    <col min="808" max="808" width="9.75" style="331" customWidth="1"/>
    <col min="809" max="809" width="11.125" style="331" customWidth="1"/>
    <col min="810" max="810" width="3.625" style="331" customWidth="1"/>
    <col min="811" max="811" width="8.375" style="331" customWidth="1"/>
    <col min="812" max="812" width="10.25" style="331" customWidth="1"/>
    <col min="813" max="819" width="0" style="331" hidden="1" customWidth="1"/>
    <col min="820" max="820" width="6.125" style="331" customWidth="1"/>
    <col min="821" max="821" width="5.75" style="331" customWidth="1"/>
    <col min="822" max="822" width="7.125" style="331" customWidth="1"/>
    <col min="823" max="823" width="6.875" style="331" customWidth="1"/>
    <col min="824" max="1026" width="6.25" style="331"/>
    <col min="1027" max="1027" width="5.625" style="331" customWidth="1"/>
    <col min="1028" max="1028" width="20.5" style="331" customWidth="1"/>
    <col min="1029" max="1029" width="4.5" style="331" customWidth="1"/>
    <col min="1030" max="1030" width="9.75" style="331" customWidth="1"/>
    <col min="1031" max="1031" width="10.875" style="331" customWidth="1"/>
    <col min="1032" max="1060" width="0" style="331" hidden="1" customWidth="1"/>
    <col min="1061" max="1061" width="8.375" style="331" customWidth="1"/>
    <col min="1062" max="1062" width="0" style="331" hidden="1" customWidth="1"/>
    <col min="1063" max="1063" width="9.25" style="331" customWidth="1"/>
    <col min="1064" max="1064" width="9.75" style="331" customWidth="1"/>
    <col min="1065" max="1065" width="11.125" style="331" customWidth="1"/>
    <col min="1066" max="1066" width="3.625" style="331" customWidth="1"/>
    <col min="1067" max="1067" width="8.375" style="331" customWidth="1"/>
    <col min="1068" max="1068" width="10.25" style="331" customWidth="1"/>
    <col min="1069" max="1075" width="0" style="331" hidden="1" customWidth="1"/>
    <col min="1076" max="1076" width="6.125" style="331" customWidth="1"/>
    <col min="1077" max="1077" width="5.75" style="331" customWidth="1"/>
    <col min="1078" max="1078" width="7.125" style="331" customWidth="1"/>
    <col min="1079" max="1079" width="6.875" style="331" customWidth="1"/>
    <col min="1080" max="1282" width="6.25" style="331"/>
    <col min="1283" max="1283" width="5.625" style="331" customWidth="1"/>
    <col min="1284" max="1284" width="20.5" style="331" customWidth="1"/>
    <col min="1285" max="1285" width="4.5" style="331" customWidth="1"/>
    <col min="1286" max="1286" width="9.75" style="331" customWidth="1"/>
    <col min="1287" max="1287" width="10.875" style="331" customWidth="1"/>
    <col min="1288" max="1316" width="0" style="331" hidden="1" customWidth="1"/>
    <col min="1317" max="1317" width="8.375" style="331" customWidth="1"/>
    <col min="1318" max="1318" width="0" style="331" hidden="1" customWidth="1"/>
    <col min="1319" max="1319" width="9.25" style="331" customWidth="1"/>
    <col min="1320" max="1320" width="9.75" style="331" customWidth="1"/>
    <col min="1321" max="1321" width="11.125" style="331" customWidth="1"/>
    <col min="1322" max="1322" width="3.625" style="331" customWidth="1"/>
    <col min="1323" max="1323" width="8.375" style="331" customWidth="1"/>
    <col min="1324" max="1324" width="10.25" style="331" customWidth="1"/>
    <col min="1325" max="1331" width="0" style="331" hidden="1" customWidth="1"/>
    <col min="1332" max="1332" width="6.125" style="331" customWidth="1"/>
    <col min="1333" max="1333" width="5.75" style="331" customWidth="1"/>
    <col min="1334" max="1334" width="7.125" style="331" customWidth="1"/>
    <col min="1335" max="1335" width="6.875" style="331" customWidth="1"/>
    <col min="1336" max="1538" width="6.25" style="331"/>
    <col min="1539" max="1539" width="5.625" style="331" customWidth="1"/>
    <col min="1540" max="1540" width="20.5" style="331" customWidth="1"/>
    <col min="1541" max="1541" width="4.5" style="331" customWidth="1"/>
    <col min="1542" max="1542" width="9.75" style="331" customWidth="1"/>
    <col min="1543" max="1543" width="10.875" style="331" customWidth="1"/>
    <col min="1544" max="1572" width="0" style="331" hidden="1" customWidth="1"/>
    <col min="1573" max="1573" width="8.375" style="331" customWidth="1"/>
    <col min="1574" max="1574" width="0" style="331" hidden="1" customWidth="1"/>
    <col min="1575" max="1575" width="9.25" style="331" customWidth="1"/>
    <col min="1576" max="1576" width="9.75" style="331" customWidth="1"/>
    <col min="1577" max="1577" width="11.125" style="331" customWidth="1"/>
    <col min="1578" max="1578" width="3.625" style="331" customWidth="1"/>
    <col min="1579" max="1579" width="8.375" style="331" customWidth="1"/>
    <col min="1580" max="1580" width="10.25" style="331" customWidth="1"/>
    <col min="1581" max="1587" width="0" style="331" hidden="1" customWidth="1"/>
    <col min="1588" max="1588" width="6.125" style="331" customWidth="1"/>
    <col min="1589" max="1589" width="5.75" style="331" customWidth="1"/>
    <col min="1590" max="1590" width="7.125" style="331" customWidth="1"/>
    <col min="1591" max="1591" width="6.875" style="331" customWidth="1"/>
    <col min="1592" max="1794" width="6.25" style="331"/>
    <col min="1795" max="1795" width="5.625" style="331" customWidth="1"/>
    <col min="1796" max="1796" width="20.5" style="331" customWidth="1"/>
    <col min="1797" max="1797" width="4.5" style="331" customWidth="1"/>
    <col min="1798" max="1798" width="9.75" style="331" customWidth="1"/>
    <col min="1799" max="1799" width="10.875" style="331" customWidth="1"/>
    <col min="1800" max="1828" width="0" style="331" hidden="1" customWidth="1"/>
    <col min="1829" max="1829" width="8.375" style="331" customWidth="1"/>
    <col min="1830" max="1830" width="0" style="331" hidden="1" customWidth="1"/>
    <col min="1831" max="1831" width="9.25" style="331" customWidth="1"/>
    <col min="1832" max="1832" width="9.75" style="331" customWidth="1"/>
    <col min="1833" max="1833" width="11.125" style="331" customWidth="1"/>
    <col min="1834" max="1834" width="3.625" style="331" customWidth="1"/>
    <col min="1835" max="1835" width="8.375" style="331" customWidth="1"/>
    <col min="1836" max="1836" width="10.25" style="331" customWidth="1"/>
    <col min="1837" max="1843" width="0" style="331" hidden="1" customWidth="1"/>
    <col min="1844" max="1844" width="6.125" style="331" customWidth="1"/>
    <col min="1845" max="1845" width="5.75" style="331" customWidth="1"/>
    <col min="1846" max="1846" width="7.125" style="331" customWidth="1"/>
    <col min="1847" max="1847" width="6.875" style="331" customWidth="1"/>
    <col min="1848" max="2050" width="6.25" style="331"/>
    <col min="2051" max="2051" width="5.625" style="331" customWidth="1"/>
    <col min="2052" max="2052" width="20.5" style="331" customWidth="1"/>
    <col min="2053" max="2053" width="4.5" style="331" customWidth="1"/>
    <col min="2054" max="2054" width="9.75" style="331" customWidth="1"/>
    <col min="2055" max="2055" width="10.875" style="331" customWidth="1"/>
    <col min="2056" max="2084" width="0" style="331" hidden="1" customWidth="1"/>
    <col min="2085" max="2085" width="8.375" style="331" customWidth="1"/>
    <col min="2086" max="2086" width="0" style="331" hidden="1" customWidth="1"/>
    <col min="2087" max="2087" width="9.25" style="331" customWidth="1"/>
    <col min="2088" max="2088" width="9.75" style="331" customWidth="1"/>
    <col min="2089" max="2089" width="11.125" style="331" customWidth="1"/>
    <col min="2090" max="2090" width="3.625" style="331" customWidth="1"/>
    <col min="2091" max="2091" width="8.375" style="331" customWidth="1"/>
    <col min="2092" max="2092" width="10.25" style="331" customWidth="1"/>
    <col min="2093" max="2099" width="0" style="331" hidden="1" customWidth="1"/>
    <col min="2100" max="2100" width="6.125" style="331" customWidth="1"/>
    <col min="2101" max="2101" width="5.75" style="331" customWidth="1"/>
    <col min="2102" max="2102" width="7.125" style="331" customWidth="1"/>
    <col min="2103" max="2103" width="6.875" style="331" customWidth="1"/>
    <col min="2104" max="2306" width="6.25" style="331"/>
    <col min="2307" max="2307" width="5.625" style="331" customWidth="1"/>
    <col min="2308" max="2308" width="20.5" style="331" customWidth="1"/>
    <col min="2309" max="2309" width="4.5" style="331" customWidth="1"/>
    <col min="2310" max="2310" width="9.75" style="331" customWidth="1"/>
    <col min="2311" max="2311" width="10.875" style="331" customWidth="1"/>
    <col min="2312" max="2340" width="0" style="331" hidden="1" customWidth="1"/>
    <col min="2341" max="2341" width="8.375" style="331" customWidth="1"/>
    <col min="2342" max="2342" width="0" style="331" hidden="1" customWidth="1"/>
    <col min="2343" max="2343" width="9.25" style="331" customWidth="1"/>
    <col min="2344" max="2344" width="9.75" style="331" customWidth="1"/>
    <col min="2345" max="2345" width="11.125" style="331" customWidth="1"/>
    <col min="2346" max="2346" width="3.625" style="331" customWidth="1"/>
    <col min="2347" max="2347" width="8.375" style="331" customWidth="1"/>
    <col min="2348" max="2348" width="10.25" style="331" customWidth="1"/>
    <col min="2349" max="2355" width="0" style="331" hidden="1" customWidth="1"/>
    <col min="2356" max="2356" width="6.125" style="331" customWidth="1"/>
    <col min="2357" max="2357" width="5.75" style="331" customWidth="1"/>
    <col min="2358" max="2358" width="7.125" style="331" customWidth="1"/>
    <col min="2359" max="2359" width="6.875" style="331" customWidth="1"/>
    <col min="2360" max="2562" width="6.25" style="331"/>
    <col min="2563" max="2563" width="5.625" style="331" customWidth="1"/>
    <col min="2564" max="2564" width="20.5" style="331" customWidth="1"/>
    <col min="2565" max="2565" width="4.5" style="331" customWidth="1"/>
    <col min="2566" max="2566" width="9.75" style="331" customWidth="1"/>
    <col min="2567" max="2567" width="10.875" style="331" customWidth="1"/>
    <col min="2568" max="2596" width="0" style="331" hidden="1" customWidth="1"/>
    <col min="2597" max="2597" width="8.375" style="331" customWidth="1"/>
    <col min="2598" max="2598" width="0" style="331" hidden="1" customWidth="1"/>
    <col min="2599" max="2599" width="9.25" style="331" customWidth="1"/>
    <col min="2600" max="2600" width="9.75" style="331" customWidth="1"/>
    <col min="2601" max="2601" width="11.125" style="331" customWidth="1"/>
    <col min="2602" max="2602" width="3.625" style="331" customWidth="1"/>
    <col min="2603" max="2603" width="8.375" style="331" customWidth="1"/>
    <col min="2604" max="2604" width="10.25" style="331" customWidth="1"/>
    <col min="2605" max="2611" width="0" style="331" hidden="1" customWidth="1"/>
    <col min="2612" max="2612" width="6.125" style="331" customWidth="1"/>
    <col min="2613" max="2613" width="5.75" style="331" customWidth="1"/>
    <col min="2614" max="2614" width="7.125" style="331" customWidth="1"/>
    <col min="2615" max="2615" width="6.875" style="331" customWidth="1"/>
    <col min="2616" max="2818" width="6.25" style="331"/>
    <col min="2819" max="2819" width="5.625" style="331" customWidth="1"/>
    <col min="2820" max="2820" width="20.5" style="331" customWidth="1"/>
    <col min="2821" max="2821" width="4.5" style="331" customWidth="1"/>
    <col min="2822" max="2822" width="9.75" style="331" customWidth="1"/>
    <col min="2823" max="2823" width="10.875" style="331" customWidth="1"/>
    <col min="2824" max="2852" width="0" style="331" hidden="1" customWidth="1"/>
    <col min="2853" max="2853" width="8.375" style="331" customWidth="1"/>
    <col min="2854" max="2854" width="0" style="331" hidden="1" customWidth="1"/>
    <col min="2855" max="2855" width="9.25" style="331" customWidth="1"/>
    <col min="2856" max="2856" width="9.75" style="331" customWidth="1"/>
    <col min="2857" max="2857" width="11.125" style="331" customWidth="1"/>
    <col min="2858" max="2858" width="3.625" style="331" customWidth="1"/>
    <col min="2859" max="2859" width="8.375" style="331" customWidth="1"/>
    <col min="2860" max="2860" width="10.25" style="331" customWidth="1"/>
    <col min="2861" max="2867" width="0" style="331" hidden="1" customWidth="1"/>
    <col min="2868" max="2868" width="6.125" style="331" customWidth="1"/>
    <col min="2869" max="2869" width="5.75" style="331" customWidth="1"/>
    <col min="2870" max="2870" width="7.125" style="331" customWidth="1"/>
    <col min="2871" max="2871" width="6.875" style="331" customWidth="1"/>
    <col min="2872" max="3074" width="6.25" style="331"/>
    <col min="3075" max="3075" width="5.625" style="331" customWidth="1"/>
    <col min="3076" max="3076" width="20.5" style="331" customWidth="1"/>
    <col min="3077" max="3077" width="4.5" style="331" customWidth="1"/>
    <col min="3078" max="3078" width="9.75" style="331" customWidth="1"/>
    <col min="3079" max="3079" width="10.875" style="331" customWidth="1"/>
    <col min="3080" max="3108" width="0" style="331" hidden="1" customWidth="1"/>
    <col min="3109" max="3109" width="8.375" style="331" customWidth="1"/>
    <col min="3110" max="3110" width="0" style="331" hidden="1" customWidth="1"/>
    <col min="3111" max="3111" width="9.25" style="331" customWidth="1"/>
    <col min="3112" max="3112" width="9.75" style="331" customWidth="1"/>
    <col min="3113" max="3113" width="11.125" style="331" customWidth="1"/>
    <col min="3114" max="3114" width="3.625" style="331" customWidth="1"/>
    <col min="3115" max="3115" width="8.375" style="331" customWidth="1"/>
    <col min="3116" max="3116" width="10.25" style="331" customWidth="1"/>
    <col min="3117" max="3123" width="0" style="331" hidden="1" customWidth="1"/>
    <col min="3124" max="3124" width="6.125" style="331" customWidth="1"/>
    <col min="3125" max="3125" width="5.75" style="331" customWidth="1"/>
    <col min="3126" max="3126" width="7.125" style="331" customWidth="1"/>
    <col min="3127" max="3127" width="6.875" style="331" customWidth="1"/>
    <col min="3128" max="3330" width="6.25" style="331"/>
    <col min="3331" max="3331" width="5.625" style="331" customWidth="1"/>
    <col min="3332" max="3332" width="20.5" style="331" customWidth="1"/>
    <col min="3333" max="3333" width="4.5" style="331" customWidth="1"/>
    <col min="3334" max="3334" width="9.75" style="331" customWidth="1"/>
    <col min="3335" max="3335" width="10.875" style="331" customWidth="1"/>
    <col min="3336" max="3364" width="0" style="331" hidden="1" customWidth="1"/>
    <col min="3365" max="3365" width="8.375" style="331" customWidth="1"/>
    <col min="3366" max="3366" width="0" style="331" hidden="1" customWidth="1"/>
    <col min="3367" max="3367" width="9.25" style="331" customWidth="1"/>
    <col min="3368" max="3368" width="9.75" style="331" customWidth="1"/>
    <col min="3369" max="3369" width="11.125" style="331" customWidth="1"/>
    <col min="3370" max="3370" width="3.625" style="331" customWidth="1"/>
    <col min="3371" max="3371" width="8.375" style="331" customWidth="1"/>
    <col min="3372" max="3372" width="10.25" style="331" customWidth="1"/>
    <col min="3373" max="3379" width="0" style="331" hidden="1" customWidth="1"/>
    <col min="3380" max="3380" width="6.125" style="331" customWidth="1"/>
    <col min="3381" max="3381" width="5.75" style="331" customWidth="1"/>
    <col min="3382" max="3382" width="7.125" style="331" customWidth="1"/>
    <col min="3383" max="3383" width="6.875" style="331" customWidth="1"/>
    <col min="3384" max="3586" width="6.25" style="331"/>
    <col min="3587" max="3587" width="5.625" style="331" customWidth="1"/>
    <col min="3588" max="3588" width="20.5" style="331" customWidth="1"/>
    <col min="3589" max="3589" width="4.5" style="331" customWidth="1"/>
    <col min="3590" max="3590" width="9.75" style="331" customWidth="1"/>
    <col min="3591" max="3591" width="10.875" style="331" customWidth="1"/>
    <col min="3592" max="3620" width="0" style="331" hidden="1" customWidth="1"/>
    <col min="3621" max="3621" width="8.375" style="331" customWidth="1"/>
    <col min="3622" max="3622" width="0" style="331" hidden="1" customWidth="1"/>
    <col min="3623" max="3623" width="9.25" style="331" customWidth="1"/>
    <col min="3624" max="3624" width="9.75" style="331" customWidth="1"/>
    <col min="3625" max="3625" width="11.125" style="331" customWidth="1"/>
    <col min="3626" max="3626" width="3.625" style="331" customWidth="1"/>
    <col min="3627" max="3627" width="8.375" style="331" customWidth="1"/>
    <col min="3628" max="3628" width="10.25" style="331" customWidth="1"/>
    <col min="3629" max="3635" width="0" style="331" hidden="1" customWidth="1"/>
    <col min="3636" max="3636" width="6.125" style="331" customWidth="1"/>
    <col min="3637" max="3637" width="5.75" style="331" customWidth="1"/>
    <col min="3638" max="3638" width="7.125" style="331" customWidth="1"/>
    <col min="3639" max="3639" width="6.875" style="331" customWidth="1"/>
    <col min="3640" max="3842" width="6.25" style="331"/>
    <col min="3843" max="3843" width="5.625" style="331" customWidth="1"/>
    <col min="3844" max="3844" width="20.5" style="331" customWidth="1"/>
    <col min="3845" max="3845" width="4.5" style="331" customWidth="1"/>
    <col min="3846" max="3846" width="9.75" style="331" customWidth="1"/>
    <col min="3847" max="3847" width="10.875" style="331" customWidth="1"/>
    <col min="3848" max="3876" width="0" style="331" hidden="1" customWidth="1"/>
    <col min="3877" max="3877" width="8.375" style="331" customWidth="1"/>
    <col min="3878" max="3878" width="0" style="331" hidden="1" customWidth="1"/>
    <col min="3879" max="3879" width="9.25" style="331" customWidth="1"/>
    <col min="3880" max="3880" width="9.75" style="331" customWidth="1"/>
    <col min="3881" max="3881" width="11.125" style="331" customWidth="1"/>
    <col min="3882" max="3882" width="3.625" style="331" customWidth="1"/>
    <col min="3883" max="3883" width="8.375" style="331" customWidth="1"/>
    <col min="3884" max="3884" width="10.25" style="331" customWidth="1"/>
    <col min="3885" max="3891" width="0" style="331" hidden="1" customWidth="1"/>
    <col min="3892" max="3892" width="6.125" style="331" customWidth="1"/>
    <col min="3893" max="3893" width="5.75" style="331" customWidth="1"/>
    <col min="3894" max="3894" width="7.125" style="331" customWidth="1"/>
    <col min="3895" max="3895" width="6.875" style="331" customWidth="1"/>
    <col min="3896" max="4098" width="6.25" style="331"/>
    <col min="4099" max="4099" width="5.625" style="331" customWidth="1"/>
    <col min="4100" max="4100" width="20.5" style="331" customWidth="1"/>
    <col min="4101" max="4101" width="4.5" style="331" customWidth="1"/>
    <col min="4102" max="4102" width="9.75" style="331" customWidth="1"/>
    <col min="4103" max="4103" width="10.875" style="331" customWidth="1"/>
    <col min="4104" max="4132" width="0" style="331" hidden="1" customWidth="1"/>
    <col min="4133" max="4133" width="8.375" style="331" customWidth="1"/>
    <col min="4134" max="4134" width="0" style="331" hidden="1" customWidth="1"/>
    <col min="4135" max="4135" width="9.25" style="331" customWidth="1"/>
    <col min="4136" max="4136" width="9.75" style="331" customWidth="1"/>
    <col min="4137" max="4137" width="11.125" style="331" customWidth="1"/>
    <col min="4138" max="4138" width="3.625" style="331" customWidth="1"/>
    <col min="4139" max="4139" width="8.375" style="331" customWidth="1"/>
    <col min="4140" max="4140" width="10.25" style="331" customWidth="1"/>
    <col min="4141" max="4147" width="0" style="331" hidden="1" customWidth="1"/>
    <col min="4148" max="4148" width="6.125" style="331" customWidth="1"/>
    <col min="4149" max="4149" width="5.75" style="331" customWidth="1"/>
    <col min="4150" max="4150" width="7.125" style="331" customWidth="1"/>
    <col min="4151" max="4151" width="6.875" style="331" customWidth="1"/>
    <col min="4152" max="4354" width="6.25" style="331"/>
    <col min="4355" max="4355" width="5.625" style="331" customWidth="1"/>
    <col min="4356" max="4356" width="20.5" style="331" customWidth="1"/>
    <col min="4357" max="4357" width="4.5" style="331" customWidth="1"/>
    <col min="4358" max="4358" width="9.75" style="331" customWidth="1"/>
    <col min="4359" max="4359" width="10.875" style="331" customWidth="1"/>
    <col min="4360" max="4388" width="0" style="331" hidden="1" customWidth="1"/>
    <col min="4389" max="4389" width="8.375" style="331" customWidth="1"/>
    <col min="4390" max="4390" width="0" style="331" hidden="1" customWidth="1"/>
    <col min="4391" max="4391" width="9.25" style="331" customWidth="1"/>
    <col min="4392" max="4392" width="9.75" style="331" customWidth="1"/>
    <col min="4393" max="4393" width="11.125" style="331" customWidth="1"/>
    <col min="4394" max="4394" width="3.625" style="331" customWidth="1"/>
    <col min="4395" max="4395" width="8.375" style="331" customWidth="1"/>
    <col min="4396" max="4396" width="10.25" style="331" customWidth="1"/>
    <col min="4397" max="4403" width="0" style="331" hidden="1" customWidth="1"/>
    <col min="4404" max="4404" width="6.125" style="331" customWidth="1"/>
    <col min="4405" max="4405" width="5.75" style="331" customWidth="1"/>
    <col min="4406" max="4406" width="7.125" style="331" customWidth="1"/>
    <col min="4407" max="4407" width="6.875" style="331" customWidth="1"/>
    <col min="4408" max="4610" width="6.25" style="331"/>
    <col min="4611" max="4611" width="5.625" style="331" customWidth="1"/>
    <col min="4612" max="4612" width="20.5" style="331" customWidth="1"/>
    <col min="4613" max="4613" width="4.5" style="331" customWidth="1"/>
    <col min="4614" max="4614" width="9.75" style="331" customWidth="1"/>
    <col min="4615" max="4615" width="10.875" style="331" customWidth="1"/>
    <col min="4616" max="4644" width="0" style="331" hidden="1" customWidth="1"/>
    <col min="4645" max="4645" width="8.375" style="331" customWidth="1"/>
    <col min="4646" max="4646" width="0" style="331" hidden="1" customWidth="1"/>
    <col min="4647" max="4647" width="9.25" style="331" customWidth="1"/>
    <col min="4648" max="4648" width="9.75" style="331" customWidth="1"/>
    <col min="4649" max="4649" width="11.125" style="331" customWidth="1"/>
    <col min="4650" max="4650" width="3.625" style="331" customWidth="1"/>
    <col min="4651" max="4651" width="8.375" style="331" customWidth="1"/>
    <col min="4652" max="4652" width="10.25" style="331" customWidth="1"/>
    <col min="4653" max="4659" width="0" style="331" hidden="1" customWidth="1"/>
    <col min="4660" max="4660" width="6.125" style="331" customWidth="1"/>
    <col min="4661" max="4661" width="5.75" style="331" customWidth="1"/>
    <col min="4662" max="4662" width="7.125" style="331" customWidth="1"/>
    <col min="4663" max="4663" width="6.875" style="331" customWidth="1"/>
    <col min="4664" max="4866" width="6.25" style="331"/>
    <col min="4867" max="4867" width="5.625" style="331" customWidth="1"/>
    <col min="4868" max="4868" width="20.5" style="331" customWidth="1"/>
    <col min="4869" max="4869" width="4.5" style="331" customWidth="1"/>
    <col min="4870" max="4870" width="9.75" style="331" customWidth="1"/>
    <col min="4871" max="4871" width="10.875" style="331" customWidth="1"/>
    <col min="4872" max="4900" width="0" style="331" hidden="1" customWidth="1"/>
    <col min="4901" max="4901" width="8.375" style="331" customWidth="1"/>
    <col min="4902" max="4902" width="0" style="331" hidden="1" customWidth="1"/>
    <col min="4903" max="4903" width="9.25" style="331" customWidth="1"/>
    <col min="4904" max="4904" width="9.75" style="331" customWidth="1"/>
    <col min="4905" max="4905" width="11.125" style="331" customWidth="1"/>
    <col min="4906" max="4906" width="3.625" style="331" customWidth="1"/>
    <col min="4907" max="4907" width="8.375" style="331" customWidth="1"/>
    <col min="4908" max="4908" width="10.25" style="331" customWidth="1"/>
    <col min="4909" max="4915" width="0" style="331" hidden="1" customWidth="1"/>
    <col min="4916" max="4916" width="6.125" style="331" customWidth="1"/>
    <col min="4917" max="4917" width="5.75" style="331" customWidth="1"/>
    <col min="4918" max="4918" width="7.125" style="331" customWidth="1"/>
    <col min="4919" max="4919" width="6.875" style="331" customWidth="1"/>
    <col min="4920" max="5122" width="6.25" style="331"/>
    <col min="5123" max="5123" width="5.625" style="331" customWidth="1"/>
    <col min="5124" max="5124" width="20.5" style="331" customWidth="1"/>
    <col min="5125" max="5125" width="4.5" style="331" customWidth="1"/>
    <col min="5126" max="5126" width="9.75" style="331" customWidth="1"/>
    <col min="5127" max="5127" width="10.875" style="331" customWidth="1"/>
    <col min="5128" max="5156" width="0" style="331" hidden="1" customWidth="1"/>
    <col min="5157" max="5157" width="8.375" style="331" customWidth="1"/>
    <col min="5158" max="5158" width="0" style="331" hidden="1" customWidth="1"/>
    <col min="5159" max="5159" width="9.25" style="331" customWidth="1"/>
    <col min="5160" max="5160" width="9.75" style="331" customWidth="1"/>
    <col min="5161" max="5161" width="11.125" style="331" customWidth="1"/>
    <col min="5162" max="5162" width="3.625" style="331" customWidth="1"/>
    <col min="5163" max="5163" width="8.375" style="331" customWidth="1"/>
    <col min="5164" max="5164" width="10.25" style="331" customWidth="1"/>
    <col min="5165" max="5171" width="0" style="331" hidden="1" customWidth="1"/>
    <col min="5172" max="5172" width="6.125" style="331" customWidth="1"/>
    <col min="5173" max="5173" width="5.75" style="331" customWidth="1"/>
    <col min="5174" max="5174" width="7.125" style="331" customWidth="1"/>
    <col min="5175" max="5175" width="6.875" style="331" customWidth="1"/>
    <col min="5176" max="5378" width="6.25" style="331"/>
    <col min="5379" max="5379" width="5.625" style="331" customWidth="1"/>
    <col min="5380" max="5380" width="20.5" style="331" customWidth="1"/>
    <col min="5381" max="5381" width="4.5" style="331" customWidth="1"/>
    <col min="5382" max="5382" width="9.75" style="331" customWidth="1"/>
    <col min="5383" max="5383" width="10.875" style="331" customWidth="1"/>
    <col min="5384" max="5412" width="0" style="331" hidden="1" customWidth="1"/>
    <col min="5413" max="5413" width="8.375" style="331" customWidth="1"/>
    <col min="5414" max="5414" width="0" style="331" hidden="1" customWidth="1"/>
    <col min="5415" max="5415" width="9.25" style="331" customWidth="1"/>
    <col min="5416" max="5416" width="9.75" style="331" customWidth="1"/>
    <col min="5417" max="5417" width="11.125" style="331" customWidth="1"/>
    <col min="5418" max="5418" width="3.625" style="331" customWidth="1"/>
    <col min="5419" max="5419" width="8.375" style="331" customWidth="1"/>
    <col min="5420" max="5420" width="10.25" style="331" customWidth="1"/>
    <col min="5421" max="5427" width="0" style="331" hidden="1" customWidth="1"/>
    <col min="5428" max="5428" width="6.125" style="331" customWidth="1"/>
    <col min="5429" max="5429" width="5.75" style="331" customWidth="1"/>
    <col min="5430" max="5430" width="7.125" style="331" customWidth="1"/>
    <col min="5431" max="5431" width="6.875" style="331" customWidth="1"/>
    <col min="5432" max="5634" width="6.25" style="331"/>
    <col min="5635" max="5635" width="5.625" style="331" customWidth="1"/>
    <col min="5636" max="5636" width="20.5" style="331" customWidth="1"/>
    <col min="5637" max="5637" width="4.5" style="331" customWidth="1"/>
    <col min="5638" max="5638" width="9.75" style="331" customWidth="1"/>
    <col min="5639" max="5639" width="10.875" style="331" customWidth="1"/>
    <col min="5640" max="5668" width="0" style="331" hidden="1" customWidth="1"/>
    <col min="5669" max="5669" width="8.375" style="331" customWidth="1"/>
    <col min="5670" max="5670" width="0" style="331" hidden="1" customWidth="1"/>
    <col min="5671" max="5671" width="9.25" style="331" customWidth="1"/>
    <col min="5672" max="5672" width="9.75" style="331" customWidth="1"/>
    <col min="5673" max="5673" width="11.125" style="331" customWidth="1"/>
    <col min="5674" max="5674" width="3.625" style="331" customWidth="1"/>
    <col min="5675" max="5675" width="8.375" style="331" customWidth="1"/>
    <col min="5676" max="5676" width="10.25" style="331" customWidth="1"/>
    <col min="5677" max="5683" width="0" style="331" hidden="1" customWidth="1"/>
    <col min="5684" max="5684" width="6.125" style="331" customWidth="1"/>
    <col min="5685" max="5685" width="5.75" style="331" customWidth="1"/>
    <col min="5686" max="5686" width="7.125" style="331" customWidth="1"/>
    <col min="5687" max="5687" width="6.875" style="331" customWidth="1"/>
    <col min="5688" max="5890" width="6.25" style="331"/>
    <col min="5891" max="5891" width="5.625" style="331" customWidth="1"/>
    <col min="5892" max="5892" width="20.5" style="331" customWidth="1"/>
    <col min="5893" max="5893" width="4.5" style="331" customWidth="1"/>
    <col min="5894" max="5894" width="9.75" style="331" customWidth="1"/>
    <col min="5895" max="5895" width="10.875" style="331" customWidth="1"/>
    <col min="5896" max="5924" width="0" style="331" hidden="1" customWidth="1"/>
    <col min="5925" max="5925" width="8.375" style="331" customWidth="1"/>
    <col min="5926" max="5926" width="0" style="331" hidden="1" customWidth="1"/>
    <col min="5927" max="5927" width="9.25" style="331" customWidth="1"/>
    <col min="5928" max="5928" width="9.75" style="331" customWidth="1"/>
    <col min="5929" max="5929" width="11.125" style="331" customWidth="1"/>
    <col min="5930" max="5930" width="3.625" style="331" customWidth="1"/>
    <col min="5931" max="5931" width="8.375" style="331" customWidth="1"/>
    <col min="5932" max="5932" width="10.25" style="331" customWidth="1"/>
    <col min="5933" max="5939" width="0" style="331" hidden="1" customWidth="1"/>
    <col min="5940" max="5940" width="6.125" style="331" customWidth="1"/>
    <col min="5941" max="5941" width="5.75" style="331" customWidth="1"/>
    <col min="5942" max="5942" width="7.125" style="331" customWidth="1"/>
    <col min="5943" max="5943" width="6.875" style="331" customWidth="1"/>
    <col min="5944" max="6146" width="6.25" style="331"/>
    <col min="6147" max="6147" width="5.625" style="331" customWidth="1"/>
    <col min="6148" max="6148" width="20.5" style="331" customWidth="1"/>
    <col min="6149" max="6149" width="4.5" style="331" customWidth="1"/>
    <col min="6150" max="6150" width="9.75" style="331" customWidth="1"/>
    <col min="6151" max="6151" width="10.875" style="331" customWidth="1"/>
    <col min="6152" max="6180" width="0" style="331" hidden="1" customWidth="1"/>
    <col min="6181" max="6181" width="8.375" style="331" customWidth="1"/>
    <col min="6182" max="6182" width="0" style="331" hidden="1" customWidth="1"/>
    <col min="6183" max="6183" width="9.25" style="331" customWidth="1"/>
    <col min="6184" max="6184" width="9.75" style="331" customWidth="1"/>
    <col min="6185" max="6185" width="11.125" style="331" customWidth="1"/>
    <col min="6186" max="6186" width="3.625" style="331" customWidth="1"/>
    <col min="6187" max="6187" width="8.375" style="331" customWidth="1"/>
    <col min="6188" max="6188" width="10.25" style="331" customWidth="1"/>
    <col min="6189" max="6195" width="0" style="331" hidden="1" customWidth="1"/>
    <col min="6196" max="6196" width="6.125" style="331" customWidth="1"/>
    <col min="6197" max="6197" width="5.75" style="331" customWidth="1"/>
    <col min="6198" max="6198" width="7.125" style="331" customWidth="1"/>
    <col min="6199" max="6199" width="6.875" style="331" customWidth="1"/>
    <col min="6200" max="6402" width="6.25" style="331"/>
    <col min="6403" max="6403" width="5.625" style="331" customWidth="1"/>
    <col min="6404" max="6404" width="20.5" style="331" customWidth="1"/>
    <col min="6405" max="6405" width="4.5" style="331" customWidth="1"/>
    <col min="6406" max="6406" width="9.75" style="331" customWidth="1"/>
    <col min="6407" max="6407" width="10.875" style="331" customWidth="1"/>
    <col min="6408" max="6436" width="0" style="331" hidden="1" customWidth="1"/>
    <col min="6437" max="6437" width="8.375" style="331" customWidth="1"/>
    <col min="6438" max="6438" width="0" style="331" hidden="1" customWidth="1"/>
    <col min="6439" max="6439" width="9.25" style="331" customWidth="1"/>
    <col min="6440" max="6440" width="9.75" style="331" customWidth="1"/>
    <col min="6441" max="6441" width="11.125" style="331" customWidth="1"/>
    <col min="6442" max="6442" width="3.625" style="331" customWidth="1"/>
    <col min="6443" max="6443" width="8.375" style="331" customWidth="1"/>
    <col min="6444" max="6444" width="10.25" style="331" customWidth="1"/>
    <col min="6445" max="6451" width="0" style="331" hidden="1" customWidth="1"/>
    <col min="6452" max="6452" width="6.125" style="331" customWidth="1"/>
    <col min="6453" max="6453" width="5.75" style="331" customWidth="1"/>
    <col min="6454" max="6454" width="7.125" style="331" customWidth="1"/>
    <col min="6455" max="6455" width="6.875" style="331" customWidth="1"/>
    <col min="6456" max="6658" width="6.25" style="331"/>
    <col min="6659" max="6659" width="5.625" style="331" customWidth="1"/>
    <col min="6660" max="6660" width="20.5" style="331" customWidth="1"/>
    <col min="6661" max="6661" width="4.5" style="331" customWidth="1"/>
    <col min="6662" max="6662" width="9.75" style="331" customWidth="1"/>
    <col min="6663" max="6663" width="10.875" style="331" customWidth="1"/>
    <col min="6664" max="6692" width="0" style="331" hidden="1" customWidth="1"/>
    <col min="6693" max="6693" width="8.375" style="331" customWidth="1"/>
    <col min="6694" max="6694" width="0" style="331" hidden="1" customWidth="1"/>
    <col min="6695" max="6695" width="9.25" style="331" customWidth="1"/>
    <col min="6696" max="6696" width="9.75" style="331" customWidth="1"/>
    <col min="6697" max="6697" width="11.125" style="331" customWidth="1"/>
    <col min="6698" max="6698" width="3.625" style="331" customWidth="1"/>
    <col min="6699" max="6699" width="8.375" style="331" customWidth="1"/>
    <col min="6700" max="6700" width="10.25" style="331" customWidth="1"/>
    <col min="6701" max="6707" width="0" style="331" hidden="1" customWidth="1"/>
    <col min="6708" max="6708" width="6.125" style="331" customWidth="1"/>
    <col min="6709" max="6709" width="5.75" style="331" customWidth="1"/>
    <col min="6710" max="6710" width="7.125" style="331" customWidth="1"/>
    <col min="6711" max="6711" width="6.875" style="331" customWidth="1"/>
    <col min="6712" max="6914" width="6.25" style="331"/>
    <col min="6915" max="6915" width="5.625" style="331" customWidth="1"/>
    <col min="6916" max="6916" width="20.5" style="331" customWidth="1"/>
    <col min="6917" max="6917" width="4.5" style="331" customWidth="1"/>
    <col min="6918" max="6918" width="9.75" style="331" customWidth="1"/>
    <col min="6919" max="6919" width="10.875" style="331" customWidth="1"/>
    <col min="6920" max="6948" width="0" style="331" hidden="1" customWidth="1"/>
    <col min="6949" max="6949" width="8.375" style="331" customWidth="1"/>
    <col min="6950" max="6950" width="0" style="331" hidden="1" customWidth="1"/>
    <col min="6951" max="6951" width="9.25" style="331" customWidth="1"/>
    <col min="6952" max="6952" width="9.75" style="331" customWidth="1"/>
    <col min="6953" max="6953" width="11.125" style="331" customWidth="1"/>
    <col min="6954" max="6954" width="3.625" style="331" customWidth="1"/>
    <col min="6955" max="6955" width="8.375" style="331" customWidth="1"/>
    <col min="6956" max="6956" width="10.25" style="331" customWidth="1"/>
    <col min="6957" max="6963" width="0" style="331" hidden="1" customWidth="1"/>
    <col min="6964" max="6964" width="6.125" style="331" customWidth="1"/>
    <col min="6965" max="6965" width="5.75" style="331" customWidth="1"/>
    <col min="6966" max="6966" width="7.125" style="331" customWidth="1"/>
    <col min="6967" max="6967" width="6.875" style="331" customWidth="1"/>
    <col min="6968" max="7170" width="6.25" style="331"/>
    <col min="7171" max="7171" width="5.625" style="331" customWidth="1"/>
    <col min="7172" max="7172" width="20.5" style="331" customWidth="1"/>
    <col min="7173" max="7173" width="4.5" style="331" customWidth="1"/>
    <col min="7174" max="7174" width="9.75" style="331" customWidth="1"/>
    <col min="7175" max="7175" width="10.875" style="331" customWidth="1"/>
    <col min="7176" max="7204" width="0" style="331" hidden="1" customWidth="1"/>
    <col min="7205" max="7205" width="8.375" style="331" customWidth="1"/>
    <col min="7206" max="7206" width="0" style="331" hidden="1" customWidth="1"/>
    <col min="7207" max="7207" width="9.25" style="331" customWidth="1"/>
    <col min="7208" max="7208" width="9.75" style="331" customWidth="1"/>
    <col min="7209" max="7209" width="11.125" style="331" customWidth="1"/>
    <col min="7210" max="7210" width="3.625" style="331" customWidth="1"/>
    <col min="7211" max="7211" width="8.375" style="331" customWidth="1"/>
    <col min="7212" max="7212" width="10.25" style="331" customWidth="1"/>
    <col min="7213" max="7219" width="0" style="331" hidden="1" customWidth="1"/>
    <col min="7220" max="7220" width="6.125" style="331" customWidth="1"/>
    <col min="7221" max="7221" width="5.75" style="331" customWidth="1"/>
    <col min="7222" max="7222" width="7.125" style="331" customWidth="1"/>
    <col min="7223" max="7223" width="6.875" style="331" customWidth="1"/>
    <col min="7224" max="7426" width="6.25" style="331"/>
    <col min="7427" max="7427" width="5.625" style="331" customWidth="1"/>
    <col min="7428" max="7428" width="20.5" style="331" customWidth="1"/>
    <col min="7429" max="7429" width="4.5" style="331" customWidth="1"/>
    <col min="7430" max="7430" width="9.75" style="331" customWidth="1"/>
    <col min="7431" max="7431" width="10.875" style="331" customWidth="1"/>
    <col min="7432" max="7460" width="0" style="331" hidden="1" customWidth="1"/>
    <col min="7461" max="7461" width="8.375" style="331" customWidth="1"/>
    <col min="7462" max="7462" width="0" style="331" hidden="1" customWidth="1"/>
    <col min="7463" max="7463" width="9.25" style="331" customWidth="1"/>
    <col min="7464" max="7464" width="9.75" style="331" customWidth="1"/>
    <col min="7465" max="7465" width="11.125" style="331" customWidth="1"/>
    <col min="7466" max="7466" width="3.625" style="331" customWidth="1"/>
    <col min="7467" max="7467" width="8.375" style="331" customWidth="1"/>
    <col min="7468" max="7468" width="10.25" style="331" customWidth="1"/>
    <col min="7469" max="7475" width="0" style="331" hidden="1" customWidth="1"/>
    <col min="7476" max="7476" width="6.125" style="331" customWidth="1"/>
    <col min="7477" max="7477" width="5.75" style="331" customWidth="1"/>
    <col min="7478" max="7478" width="7.125" style="331" customWidth="1"/>
    <col min="7479" max="7479" width="6.875" style="331" customWidth="1"/>
    <col min="7480" max="7682" width="6.25" style="331"/>
    <col min="7683" max="7683" width="5.625" style="331" customWidth="1"/>
    <col min="7684" max="7684" width="20.5" style="331" customWidth="1"/>
    <col min="7685" max="7685" width="4.5" style="331" customWidth="1"/>
    <col min="7686" max="7686" width="9.75" style="331" customWidth="1"/>
    <col min="7687" max="7687" width="10.875" style="331" customWidth="1"/>
    <col min="7688" max="7716" width="0" style="331" hidden="1" customWidth="1"/>
    <col min="7717" max="7717" width="8.375" style="331" customWidth="1"/>
    <col min="7718" max="7718" width="0" style="331" hidden="1" customWidth="1"/>
    <col min="7719" max="7719" width="9.25" style="331" customWidth="1"/>
    <col min="7720" max="7720" width="9.75" style="331" customWidth="1"/>
    <col min="7721" max="7721" width="11.125" style="331" customWidth="1"/>
    <col min="7722" max="7722" width="3.625" style="331" customWidth="1"/>
    <col min="7723" max="7723" width="8.375" style="331" customWidth="1"/>
    <col min="7724" max="7724" width="10.25" style="331" customWidth="1"/>
    <col min="7725" max="7731" width="0" style="331" hidden="1" customWidth="1"/>
    <col min="7732" max="7732" width="6.125" style="331" customWidth="1"/>
    <col min="7733" max="7733" width="5.75" style="331" customWidth="1"/>
    <col min="7734" max="7734" width="7.125" style="331" customWidth="1"/>
    <col min="7735" max="7735" width="6.875" style="331" customWidth="1"/>
    <col min="7736" max="7938" width="6.25" style="331"/>
    <col min="7939" max="7939" width="5.625" style="331" customWidth="1"/>
    <col min="7940" max="7940" width="20.5" style="331" customWidth="1"/>
    <col min="7941" max="7941" width="4.5" style="331" customWidth="1"/>
    <col min="7942" max="7942" width="9.75" style="331" customWidth="1"/>
    <col min="7943" max="7943" width="10.875" style="331" customWidth="1"/>
    <col min="7944" max="7972" width="0" style="331" hidden="1" customWidth="1"/>
    <col min="7973" max="7973" width="8.375" style="331" customWidth="1"/>
    <col min="7974" max="7974" width="0" style="331" hidden="1" customWidth="1"/>
    <col min="7975" max="7975" width="9.25" style="331" customWidth="1"/>
    <col min="7976" max="7976" width="9.75" style="331" customWidth="1"/>
    <col min="7977" max="7977" width="11.125" style="331" customWidth="1"/>
    <col min="7978" max="7978" width="3.625" style="331" customWidth="1"/>
    <col min="7979" max="7979" width="8.375" style="331" customWidth="1"/>
    <col min="7980" max="7980" width="10.25" style="331" customWidth="1"/>
    <col min="7981" max="7987" width="0" style="331" hidden="1" customWidth="1"/>
    <col min="7988" max="7988" width="6.125" style="331" customWidth="1"/>
    <col min="7989" max="7989" width="5.75" style="331" customWidth="1"/>
    <col min="7990" max="7990" width="7.125" style="331" customWidth="1"/>
    <col min="7991" max="7991" width="6.875" style="331" customWidth="1"/>
    <col min="7992" max="8194" width="6.25" style="331"/>
    <col min="8195" max="8195" width="5.625" style="331" customWidth="1"/>
    <col min="8196" max="8196" width="20.5" style="331" customWidth="1"/>
    <col min="8197" max="8197" width="4.5" style="331" customWidth="1"/>
    <col min="8198" max="8198" width="9.75" style="331" customWidth="1"/>
    <col min="8199" max="8199" width="10.875" style="331" customWidth="1"/>
    <col min="8200" max="8228" width="0" style="331" hidden="1" customWidth="1"/>
    <col min="8229" max="8229" width="8.375" style="331" customWidth="1"/>
    <col min="8230" max="8230" width="0" style="331" hidden="1" customWidth="1"/>
    <col min="8231" max="8231" width="9.25" style="331" customWidth="1"/>
    <col min="8232" max="8232" width="9.75" style="331" customWidth="1"/>
    <col min="8233" max="8233" width="11.125" style="331" customWidth="1"/>
    <col min="8234" max="8234" width="3.625" style="331" customWidth="1"/>
    <col min="8235" max="8235" width="8.375" style="331" customWidth="1"/>
    <col min="8236" max="8236" width="10.25" style="331" customWidth="1"/>
    <col min="8237" max="8243" width="0" style="331" hidden="1" customWidth="1"/>
    <col min="8244" max="8244" width="6.125" style="331" customWidth="1"/>
    <col min="8245" max="8245" width="5.75" style="331" customWidth="1"/>
    <col min="8246" max="8246" width="7.125" style="331" customWidth="1"/>
    <col min="8247" max="8247" width="6.875" style="331" customWidth="1"/>
    <col min="8248" max="8450" width="6.25" style="331"/>
    <col min="8451" max="8451" width="5.625" style="331" customWidth="1"/>
    <col min="8452" max="8452" width="20.5" style="331" customWidth="1"/>
    <col min="8453" max="8453" width="4.5" style="331" customWidth="1"/>
    <col min="8454" max="8454" width="9.75" style="331" customWidth="1"/>
    <col min="8455" max="8455" width="10.875" style="331" customWidth="1"/>
    <col min="8456" max="8484" width="0" style="331" hidden="1" customWidth="1"/>
    <col min="8485" max="8485" width="8.375" style="331" customWidth="1"/>
    <col min="8486" max="8486" width="0" style="331" hidden="1" customWidth="1"/>
    <col min="8487" max="8487" width="9.25" style="331" customWidth="1"/>
    <col min="8488" max="8488" width="9.75" style="331" customWidth="1"/>
    <col min="8489" max="8489" width="11.125" style="331" customWidth="1"/>
    <col min="8490" max="8490" width="3.625" style="331" customWidth="1"/>
    <col min="8491" max="8491" width="8.375" style="331" customWidth="1"/>
    <col min="8492" max="8492" width="10.25" style="331" customWidth="1"/>
    <col min="8493" max="8499" width="0" style="331" hidden="1" customWidth="1"/>
    <col min="8500" max="8500" width="6.125" style="331" customWidth="1"/>
    <col min="8501" max="8501" width="5.75" style="331" customWidth="1"/>
    <col min="8502" max="8502" width="7.125" style="331" customWidth="1"/>
    <col min="8503" max="8503" width="6.875" style="331" customWidth="1"/>
    <col min="8504" max="8706" width="6.25" style="331"/>
    <col min="8707" max="8707" width="5.625" style="331" customWidth="1"/>
    <col min="8708" max="8708" width="20.5" style="331" customWidth="1"/>
    <col min="8709" max="8709" width="4.5" style="331" customWidth="1"/>
    <col min="8710" max="8710" width="9.75" style="331" customWidth="1"/>
    <col min="8711" max="8711" width="10.875" style="331" customWidth="1"/>
    <col min="8712" max="8740" width="0" style="331" hidden="1" customWidth="1"/>
    <col min="8741" max="8741" width="8.375" style="331" customWidth="1"/>
    <col min="8742" max="8742" width="0" style="331" hidden="1" customWidth="1"/>
    <col min="8743" max="8743" width="9.25" style="331" customWidth="1"/>
    <col min="8744" max="8744" width="9.75" style="331" customWidth="1"/>
    <col min="8745" max="8745" width="11.125" style="331" customWidth="1"/>
    <col min="8746" max="8746" width="3.625" style="331" customWidth="1"/>
    <col min="8747" max="8747" width="8.375" style="331" customWidth="1"/>
    <col min="8748" max="8748" width="10.25" style="331" customWidth="1"/>
    <col min="8749" max="8755" width="0" style="331" hidden="1" customWidth="1"/>
    <col min="8756" max="8756" width="6.125" style="331" customWidth="1"/>
    <col min="8757" max="8757" width="5.75" style="331" customWidth="1"/>
    <col min="8758" max="8758" width="7.125" style="331" customWidth="1"/>
    <col min="8759" max="8759" width="6.875" style="331" customWidth="1"/>
    <col min="8760" max="8962" width="6.25" style="331"/>
    <col min="8963" max="8963" width="5.625" style="331" customWidth="1"/>
    <col min="8964" max="8964" width="20.5" style="331" customWidth="1"/>
    <col min="8965" max="8965" width="4.5" style="331" customWidth="1"/>
    <col min="8966" max="8966" width="9.75" style="331" customWidth="1"/>
    <col min="8967" max="8967" width="10.875" style="331" customWidth="1"/>
    <col min="8968" max="8996" width="0" style="331" hidden="1" customWidth="1"/>
    <col min="8997" max="8997" width="8.375" style="331" customWidth="1"/>
    <col min="8998" max="8998" width="0" style="331" hidden="1" customWidth="1"/>
    <col min="8999" max="8999" width="9.25" style="331" customWidth="1"/>
    <col min="9000" max="9000" width="9.75" style="331" customWidth="1"/>
    <col min="9001" max="9001" width="11.125" style="331" customWidth="1"/>
    <col min="9002" max="9002" width="3.625" style="331" customWidth="1"/>
    <col min="9003" max="9003" width="8.375" style="331" customWidth="1"/>
    <col min="9004" max="9004" width="10.25" style="331" customWidth="1"/>
    <col min="9005" max="9011" width="0" style="331" hidden="1" customWidth="1"/>
    <col min="9012" max="9012" width="6.125" style="331" customWidth="1"/>
    <col min="9013" max="9013" width="5.75" style="331" customWidth="1"/>
    <col min="9014" max="9014" width="7.125" style="331" customWidth="1"/>
    <col min="9015" max="9015" width="6.875" style="331" customWidth="1"/>
    <col min="9016" max="9218" width="6.25" style="331"/>
    <col min="9219" max="9219" width="5.625" style="331" customWidth="1"/>
    <col min="9220" max="9220" width="20.5" style="331" customWidth="1"/>
    <col min="9221" max="9221" width="4.5" style="331" customWidth="1"/>
    <col min="9222" max="9222" width="9.75" style="331" customWidth="1"/>
    <col min="9223" max="9223" width="10.875" style="331" customWidth="1"/>
    <col min="9224" max="9252" width="0" style="331" hidden="1" customWidth="1"/>
    <col min="9253" max="9253" width="8.375" style="331" customWidth="1"/>
    <col min="9254" max="9254" width="0" style="331" hidden="1" customWidth="1"/>
    <col min="9255" max="9255" width="9.25" style="331" customWidth="1"/>
    <col min="9256" max="9256" width="9.75" style="331" customWidth="1"/>
    <col min="9257" max="9257" width="11.125" style="331" customWidth="1"/>
    <col min="9258" max="9258" width="3.625" style="331" customWidth="1"/>
    <col min="9259" max="9259" width="8.375" style="331" customWidth="1"/>
    <col min="9260" max="9260" width="10.25" style="331" customWidth="1"/>
    <col min="9261" max="9267" width="0" style="331" hidden="1" customWidth="1"/>
    <col min="9268" max="9268" width="6.125" style="331" customWidth="1"/>
    <col min="9269" max="9269" width="5.75" style="331" customWidth="1"/>
    <col min="9270" max="9270" width="7.125" style="331" customWidth="1"/>
    <col min="9271" max="9271" width="6.875" style="331" customWidth="1"/>
    <col min="9272" max="9474" width="6.25" style="331"/>
    <col min="9475" max="9475" width="5.625" style="331" customWidth="1"/>
    <col min="9476" max="9476" width="20.5" style="331" customWidth="1"/>
    <col min="9477" max="9477" width="4.5" style="331" customWidth="1"/>
    <col min="9478" max="9478" width="9.75" style="331" customWidth="1"/>
    <col min="9479" max="9479" width="10.875" style="331" customWidth="1"/>
    <col min="9480" max="9508" width="0" style="331" hidden="1" customWidth="1"/>
    <col min="9509" max="9509" width="8.375" style="331" customWidth="1"/>
    <col min="9510" max="9510" width="0" style="331" hidden="1" customWidth="1"/>
    <col min="9511" max="9511" width="9.25" style="331" customWidth="1"/>
    <col min="9512" max="9512" width="9.75" style="331" customWidth="1"/>
    <col min="9513" max="9513" width="11.125" style="331" customWidth="1"/>
    <col min="9514" max="9514" width="3.625" style="331" customWidth="1"/>
    <col min="9515" max="9515" width="8.375" style="331" customWidth="1"/>
    <col min="9516" max="9516" width="10.25" style="331" customWidth="1"/>
    <col min="9517" max="9523" width="0" style="331" hidden="1" customWidth="1"/>
    <col min="9524" max="9524" width="6.125" style="331" customWidth="1"/>
    <col min="9525" max="9525" width="5.75" style="331" customWidth="1"/>
    <col min="9526" max="9526" width="7.125" style="331" customWidth="1"/>
    <col min="9527" max="9527" width="6.875" style="331" customWidth="1"/>
    <col min="9528" max="9730" width="6.25" style="331"/>
    <col min="9731" max="9731" width="5.625" style="331" customWidth="1"/>
    <col min="9732" max="9732" width="20.5" style="331" customWidth="1"/>
    <col min="9733" max="9733" width="4.5" style="331" customWidth="1"/>
    <col min="9734" max="9734" width="9.75" style="331" customWidth="1"/>
    <col min="9735" max="9735" width="10.875" style="331" customWidth="1"/>
    <col min="9736" max="9764" width="0" style="331" hidden="1" customWidth="1"/>
    <col min="9765" max="9765" width="8.375" style="331" customWidth="1"/>
    <col min="9766" max="9766" width="0" style="331" hidden="1" customWidth="1"/>
    <col min="9767" max="9767" width="9.25" style="331" customWidth="1"/>
    <col min="9768" max="9768" width="9.75" style="331" customWidth="1"/>
    <col min="9769" max="9769" width="11.125" style="331" customWidth="1"/>
    <col min="9770" max="9770" width="3.625" style="331" customWidth="1"/>
    <col min="9771" max="9771" width="8.375" style="331" customWidth="1"/>
    <col min="9772" max="9772" width="10.25" style="331" customWidth="1"/>
    <col min="9773" max="9779" width="0" style="331" hidden="1" customWidth="1"/>
    <col min="9780" max="9780" width="6.125" style="331" customWidth="1"/>
    <col min="9781" max="9781" width="5.75" style="331" customWidth="1"/>
    <col min="9782" max="9782" width="7.125" style="331" customWidth="1"/>
    <col min="9783" max="9783" width="6.875" style="331" customWidth="1"/>
    <col min="9784" max="9986" width="6.25" style="331"/>
    <col min="9987" max="9987" width="5.625" style="331" customWidth="1"/>
    <col min="9988" max="9988" width="20.5" style="331" customWidth="1"/>
    <col min="9989" max="9989" width="4.5" style="331" customWidth="1"/>
    <col min="9990" max="9990" width="9.75" style="331" customWidth="1"/>
    <col min="9991" max="9991" width="10.875" style="331" customWidth="1"/>
    <col min="9992" max="10020" width="0" style="331" hidden="1" customWidth="1"/>
    <col min="10021" max="10021" width="8.375" style="331" customWidth="1"/>
    <col min="10022" max="10022" width="0" style="331" hidden="1" customWidth="1"/>
    <col min="10023" max="10023" width="9.25" style="331" customWidth="1"/>
    <col min="10024" max="10024" width="9.75" style="331" customWidth="1"/>
    <col min="10025" max="10025" width="11.125" style="331" customWidth="1"/>
    <col min="10026" max="10026" width="3.625" style="331" customWidth="1"/>
    <col min="10027" max="10027" width="8.375" style="331" customWidth="1"/>
    <col min="10028" max="10028" width="10.25" style="331" customWidth="1"/>
    <col min="10029" max="10035" width="0" style="331" hidden="1" customWidth="1"/>
    <col min="10036" max="10036" width="6.125" style="331" customWidth="1"/>
    <col min="10037" max="10037" width="5.75" style="331" customWidth="1"/>
    <col min="10038" max="10038" width="7.125" style="331" customWidth="1"/>
    <col min="10039" max="10039" width="6.875" style="331" customWidth="1"/>
    <col min="10040" max="10242" width="6.25" style="331"/>
    <col min="10243" max="10243" width="5.625" style="331" customWidth="1"/>
    <col min="10244" max="10244" width="20.5" style="331" customWidth="1"/>
    <col min="10245" max="10245" width="4.5" style="331" customWidth="1"/>
    <col min="10246" max="10246" width="9.75" style="331" customWidth="1"/>
    <col min="10247" max="10247" width="10.875" style="331" customWidth="1"/>
    <col min="10248" max="10276" width="0" style="331" hidden="1" customWidth="1"/>
    <col min="10277" max="10277" width="8.375" style="331" customWidth="1"/>
    <col min="10278" max="10278" width="0" style="331" hidden="1" customWidth="1"/>
    <col min="10279" max="10279" width="9.25" style="331" customWidth="1"/>
    <col min="10280" max="10280" width="9.75" style="331" customWidth="1"/>
    <col min="10281" max="10281" width="11.125" style="331" customWidth="1"/>
    <col min="10282" max="10282" width="3.625" style="331" customWidth="1"/>
    <col min="10283" max="10283" width="8.375" style="331" customWidth="1"/>
    <col min="10284" max="10284" width="10.25" style="331" customWidth="1"/>
    <col min="10285" max="10291" width="0" style="331" hidden="1" customWidth="1"/>
    <col min="10292" max="10292" width="6.125" style="331" customWidth="1"/>
    <col min="10293" max="10293" width="5.75" style="331" customWidth="1"/>
    <col min="10294" max="10294" width="7.125" style="331" customWidth="1"/>
    <col min="10295" max="10295" width="6.875" style="331" customWidth="1"/>
    <col min="10296" max="10498" width="6.25" style="331"/>
    <col min="10499" max="10499" width="5.625" style="331" customWidth="1"/>
    <col min="10500" max="10500" width="20.5" style="331" customWidth="1"/>
    <col min="10501" max="10501" width="4.5" style="331" customWidth="1"/>
    <col min="10502" max="10502" width="9.75" style="331" customWidth="1"/>
    <col min="10503" max="10503" width="10.875" style="331" customWidth="1"/>
    <col min="10504" max="10532" width="0" style="331" hidden="1" customWidth="1"/>
    <col min="10533" max="10533" width="8.375" style="331" customWidth="1"/>
    <col min="10534" max="10534" width="0" style="331" hidden="1" customWidth="1"/>
    <col min="10535" max="10535" width="9.25" style="331" customWidth="1"/>
    <col min="10536" max="10536" width="9.75" style="331" customWidth="1"/>
    <col min="10537" max="10537" width="11.125" style="331" customWidth="1"/>
    <col min="10538" max="10538" width="3.625" style="331" customWidth="1"/>
    <col min="10539" max="10539" width="8.375" style="331" customWidth="1"/>
    <col min="10540" max="10540" width="10.25" style="331" customWidth="1"/>
    <col min="10541" max="10547" width="0" style="331" hidden="1" customWidth="1"/>
    <col min="10548" max="10548" width="6.125" style="331" customWidth="1"/>
    <col min="10549" max="10549" width="5.75" style="331" customWidth="1"/>
    <col min="10550" max="10550" width="7.125" style="331" customWidth="1"/>
    <col min="10551" max="10551" width="6.875" style="331" customWidth="1"/>
    <col min="10552" max="10754" width="6.25" style="331"/>
    <col min="10755" max="10755" width="5.625" style="331" customWidth="1"/>
    <col min="10756" max="10756" width="20.5" style="331" customWidth="1"/>
    <col min="10757" max="10757" width="4.5" style="331" customWidth="1"/>
    <col min="10758" max="10758" width="9.75" style="331" customWidth="1"/>
    <col min="10759" max="10759" width="10.875" style="331" customWidth="1"/>
    <col min="10760" max="10788" width="0" style="331" hidden="1" customWidth="1"/>
    <col min="10789" max="10789" width="8.375" style="331" customWidth="1"/>
    <col min="10790" max="10790" width="0" style="331" hidden="1" customWidth="1"/>
    <col min="10791" max="10791" width="9.25" style="331" customWidth="1"/>
    <col min="10792" max="10792" width="9.75" style="331" customWidth="1"/>
    <col min="10793" max="10793" width="11.125" style="331" customWidth="1"/>
    <col min="10794" max="10794" width="3.625" style="331" customWidth="1"/>
    <col min="10795" max="10795" width="8.375" style="331" customWidth="1"/>
    <col min="10796" max="10796" width="10.25" style="331" customWidth="1"/>
    <col min="10797" max="10803" width="0" style="331" hidden="1" customWidth="1"/>
    <col min="10804" max="10804" width="6.125" style="331" customWidth="1"/>
    <col min="10805" max="10805" width="5.75" style="331" customWidth="1"/>
    <col min="10806" max="10806" width="7.125" style="331" customWidth="1"/>
    <col min="10807" max="10807" width="6.875" style="331" customWidth="1"/>
    <col min="10808" max="11010" width="6.25" style="331"/>
    <col min="11011" max="11011" width="5.625" style="331" customWidth="1"/>
    <col min="11012" max="11012" width="20.5" style="331" customWidth="1"/>
    <col min="11013" max="11013" width="4.5" style="331" customWidth="1"/>
    <col min="11014" max="11014" width="9.75" style="331" customWidth="1"/>
    <col min="11015" max="11015" width="10.875" style="331" customWidth="1"/>
    <col min="11016" max="11044" width="0" style="331" hidden="1" customWidth="1"/>
    <col min="11045" max="11045" width="8.375" style="331" customWidth="1"/>
    <col min="11046" max="11046" width="0" style="331" hidden="1" customWidth="1"/>
    <col min="11047" max="11047" width="9.25" style="331" customWidth="1"/>
    <col min="11048" max="11048" width="9.75" style="331" customWidth="1"/>
    <col min="11049" max="11049" width="11.125" style="331" customWidth="1"/>
    <col min="11050" max="11050" width="3.625" style="331" customWidth="1"/>
    <col min="11051" max="11051" width="8.375" style="331" customWidth="1"/>
    <col min="11052" max="11052" width="10.25" style="331" customWidth="1"/>
    <col min="11053" max="11059" width="0" style="331" hidden="1" customWidth="1"/>
    <col min="11060" max="11060" width="6.125" style="331" customWidth="1"/>
    <col min="11061" max="11061" width="5.75" style="331" customWidth="1"/>
    <col min="11062" max="11062" width="7.125" style="331" customWidth="1"/>
    <col min="11063" max="11063" width="6.875" style="331" customWidth="1"/>
    <col min="11064" max="11266" width="6.25" style="331"/>
    <col min="11267" max="11267" width="5.625" style="331" customWidth="1"/>
    <col min="11268" max="11268" width="20.5" style="331" customWidth="1"/>
    <col min="11269" max="11269" width="4.5" style="331" customWidth="1"/>
    <col min="11270" max="11270" width="9.75" style="331" customWidth="1"/>
    <col min="11271" max="11271" width="10.875" style="331" customWidth="1"/>
    <col min="11272" max="11300" width="0" style="331" hidden="1" customWidth="1"/>
    <col min="11301" max="11301" width="8.375" style="331" customWidth="1"/>
    <col min="11302" max="11302" width="0" style="331" hidden="1" customWidth="1"/>
    <col min="11303" max="11303" width="9.25" style="331" customWidth="1"/>
    <col min="11304" max="11304" width="9.75" style="331" customWidth="1"/>
    <col min="11305" max="11305" width="11.125" style="331" customWidth="1"/>
    <col min="11306" max="11306" width="3.625" style="331" customWidth="1"/>
    <col min="11307" max="11307" width="8.375" style="331" customWidth="1"/>
    <col min="11308" max="11308" width="10.25" style="331" customWidth="1"/>
    <col min="11309" max="11315" width="0" style="331" hidden="1" customWidth="1"/>
    <col min="11316" max="11316" width="6.125" style="331" customWidth="1"/>
    <col min="11317" max="11317" width="5.75" style="331" customWidth="1"/>
    <col min="11318" max="11318" width="7.125" style="331" customWidth="1"/>
    <col min="11319" max="11319" width="6.875" style="331" customWidth="1"/>
    <col min="11320" max="11522" width="6.25" style="331"/>
    <col min="11523" max="11523" width="5.625" style="331" customWidth="1"/>
    <col min="11524" max="11524" width="20.5" style="331" customWidth="1"/>
    <col min="11525" max="11525" width="4.5" style="331" customWidth="1"/>
    <col min="11526" max="11526" width="9.75" style="331" customWidth="1"/>
    <col min="11527" max="11527" width="10.875" style="331" customWidth="1"/>
    <col min="11528" max="11556" width="0" style="331" hidden="1" customWidth="1"/>
    <col min="11557" max="11557" width="8.375" style="331" customWidth="1"/>
    <col min="11558" max="11558" width="0" style="331" hidden="1" customWidth="1"/>
    <col min="11559" max="11559" width="9.25" style="331" customWidth="1"/>
    <col min="11560" max="11560" width="9.75" style="331" customWidth="1"/>
    <col min="11561" max="11561" width="11.125" style="331" customWidth="1"/>
    <col min="11562" max="11562" width="3.625" style="331" customWidth="1"/>
    <col min="11563" max="11563" width="8.375" style="331" customWidth="1"/>
    <col min="11564" max="11564" width="10.25" style="331" customWidth="1"/>
    <col min="11565" max="11571" width="0" style="331" hidden="1" customWidth="1"/>
    <col min="11572" max="11572" width="6.125" style="331" customWidth="1"/>
    <col min="11573" max="11573" width="5.75" style="331" customWidth="1"/>
    <col min="11574" max="11574" width="7.125" style="331" customWidth="1"/>
    <col min="11575" max="11575" width="6.875" style="331" customWidth="1"/>
    <col min="11576" max="11778" width="6.25" style="331"/>
    <col min="11779" max="11779" width="5.625" style="331" customWidth="1"/>
    <col min="11780" max="11780" width="20.5" style="331" customWidth="1"/>
    <col min="11781" max="11781" width="4.5" style="331" customWidth="1"/>
    <col min="11782" max="11782" width="9.75" style="331" customWidth="1"/>
    <col min="11783" max="11783" width="10.875" style="331" customWidth="1"/>
    <col min="11784" max="11812" width="0" style="331" hidden="1" customWidth="1"/>
    <col min="11813" max="11813" width="8.375" style="331" customWidth="1"/>
    <col min="11814" max="11814" width="0" style="331" hidden="1" customWidth="1"/>
    <col min="11815" max="11815" width="9.25" style="331" customWidth="1"/>
    <col min="11816" max="11816" width="9.75" style="331" customWidth="1"/>
    <col min="11817" max="11817" width="11.125" style="331" customWidth="1"/>
    <col min="11818" max="11818" width="3.625" style="331" customWidth="1"/>
    <col min="11819" max="11819" width="8.375" style="331" customWidth="1"/>
    <col min="11820" max="11820" width="10.25" style="331" customWidth="1"/>
    <col min="11821" max="11827" width="0" style="331" hidden="1" customWidth="1"/>
    <col min="11828" max="11828" width="6.125" style="331" customWidth="1"/>
    <col min="11829" max="11829" width="5.75" style="331" customWidth="1"/>
    <col min="11830" max="11830" width="7.125" style="331" customWidth="1"/>
    <col min="11831" max="11831" width="6.875" style="331" customWidth="1"/>
    <col min="11832" max="12034" width="6.25" style="331"/>
    <col min="12035" max="12035" width="5.625" style="331" customWidth="1"/>
    <col min="12036" max="12036" width="20.5" style="331" customWidth="1"/>
    <col min="12037" max="12037" width="4.5" style="331" customWidth="1"/>
    <col min="12038" max="12038" width="9.75" style="331" customWidth="1"/>
    <col min="12039" max="12039" width="10.875" style="331" customWidth="1"/>
    <col min="12040" max="12068" width="0" style="331" hidden="1" customWidth="1"/>
    <col min="12069" max="12069" width="8.375" style="331" customWidth="1"/>
    <col min="12070" max="12070" width="0" style="331" hidden="1" customWidth="1"/>
    <col min="12071" max="12071" width="9.25" style="331" customWidth="1"/>
    <col min="12072" max="12072" width="9.75" style="331" customWidth="1"/>
    <col min="12073" max="12073" width="11.125" style="331" customWidth="1"/>
    <col min="12074" max="12074" width="3.625" style="331" customWidth="1"/>
    <col min="12075" max="12075" width="8.375" style="331" customWidth="1"/>
    <col min="12076" max="12076" width="10.25" style="331" customWidth="1"/>
    <col min="12077" max="12083" width="0" style="331" hidden="1" customWidth="1"/>
    <col min="12084" max="12084" width="6.125" style="331" customWidth="1"/>
    <col min="12085" max="12085" width="5.75" style="331" customWidth="1"/>
    <col min="12086" max="12086" width="7.125" style="331" customWidth="1"/>
    <col min="12087" max="12087" width="6.875" style="331" customWidth="1"/>
    <col min="12088" max="12290" width="6.25" style="331"/>
    <col min="12291" max="12291" width="5.625" style="331" customWidth="1"/>
    <col min="12292" max="12292" width="20.5" style="331" customWidth="1"/>
    <col min="12293" max="12293" width="4.5" style="331" customWidth="1"/>
    <col min="12294" max="12294" width="9.75" style="331" customWidth="1"/>
    <col min="12295" max="12295" width="10.875" style="331" customWidth="1"/>
    <col min="12296" max="12324" width="0" style="331" hidden="1" customWidth="1"/>
    <col min="12325" max="12325" width="8.375" style="331" customWidth="1"/>
    <col min="12326" max="12326" width="0" style="331" hidden="1" customWidth="1"/>
    <col min="12327" max="12327" width="9.25" style="331" customWidth="1"/>
    <col min="12328" max="12328" width="9.75" style="331" customWidth="1"/>
    <col min="12329" max="12329" width="11.125" style="331" customWidth="1"/>
    <col min="12330" max="12330" width="3.625" style="331" customWidth="1"/>
    <col min="12331" max="12331" width="8.375" style="331" customWidth="1"/>
    <col min="12332" max="12332" width="10.25" style="331" customWidth="1"/>
    <col min="12333" max="12339" width="0" style="331" hidden="1" customWidth="1"/>
    <col min="12340" max="12340" width="6.125" style="331" customWidth="1"/>
    <col min="12341" max="12341" width="5.75" style="331" customWidth="1"/>
    <col min="12342" max="12342" width="7.125" style="331" customWidth="1"/>
    <col min="12343" max="12343" width="6.875" style="331" customWidth="1"/>
    <col min="12344" max="12546" width="6.25" style="331"/>
    <col min="12547" max="12547" width="5.625" style="331" customWidth="1"/>
    <col min="12548" max="12548" width="20.5" style="331" customWidth="1"/>
    <col min="12549" max="12549" width="4.5" style="331" customWidth="1"/>
    <col min="12550" max="12550" width="9.75" style="331" customWidth="1"/>
    <col min="12551" max="12551" width="10.875" style="331" customWidth="1"/>
    <col min="12552" max="12580" width="0" style="331" hidden="1" customWidth="1"/>
    <col min="12581" max="12581" width="8.375" style="331" customWidth="1"/>
    <col min="12582" max="12582" width="0" style="331" hidden="1" customWidth="1"/>
    <col min="12583" max="12583" width="9.25" style="331" customWidth="1"/>
    <col min="12584" max="12584" width="9.75" style="331" customWidth="1"/>
    <col min="12585" max="12585" width="11.125" style="331" customWidth="1"/>
    <col min="12586" max="12586" width="3.625" style="331" customWidth="1"/>
    <col min="12587" max="12587" width="8.375" style="331" customWidth="1"/>
    <col min="12588" max="12588" width="10.25" style="331" customWidth="1"/>
    <col min="12589" max="12595" width="0" style="331" hidden="1" customWidth="1"/>
    <col min="12596" max="12596" width="6.125" style="331" customWidth="1"/>
    <col min="12597" max="12597" width="5.75" style="331" customWidth="1"/>
    <col min="12598" max="12598" width="7.125" style="331" customWidth="1"/>
    <col min="12599" max="12599" width="6.875" style="331" customWidth="1"/>
    <col min="12600" max="12802" width="6.25" style="331"/>
    <col min="12803" max="12803" width="5.625" style="331" customWidth="1"/>
    <col min="12804" max="12804" width="20.5" style="331" customWidth="1"/>
    <col min="12805" max="12805" width="4.5" style="331" customWidth="1"/>
    <col min="12806" max="12806" width="9.75" style="331" customWidth="1"/>
    <col min="12807" max="12807" width="10.875" style="331" customWidth="1"/>
    <col min="12808" max="12836" width="0" style="331" hidden="1" customWidth="1"/>
    <col min="12837" max="12837" width="8.375" style="331" customWidth="1"/>
    <col min="12838" max="12838" width="0" style="331" hidden="1" customWidth="1"/>
    <col min="12839" max="12839" width="9.25" style="331" customWidth="1"/>
    <col min="12840" max="12840" width="9.75" style="331" customWidth="1"/>
    <col min="12841" max="12841" width="11.125" style="331" customWidth="1"/>
    <col min="12842" max="12842" width="3.625" style="331" customWidth="1"/>
    <col min="12843" max="12843" width="8.375" style="331" customWidth="1"/>
    <col min="12844" max="12844" width="10.25" style="331" customWidth="1"/>
    <col min="12845" max="12851" width="0" style="331" hidden="1" customWidth="1"/>
    <col min="12852" max="12852" width="6.125" style="331" customWidth="1"/>
    <col min="12853" max="12853" width="5.75" style="331" customWidth="1"/>
    <col min="12854" max="12854" width="7.125" style="331" customWidth="1"/>
    <col min="12855" max="12855" width="6.875" style="331" customWidth="1"/>
    <col min="12856" max="13058" width="6.25" style="331"/>
    <col min="13059" max="13059" width="5.625" style="331" customWidth="1"/>
    <col min="13060" max="13060" width="20.5" style="331" customWidth="1"/>
    <col min="13061" max="13061" width="4.5" style="331" customWidth="1"/>
    <col min="13062" max="13062" width="9.75" style="331" customWidth="1"/>
    <col min="13063" max="13063" width="10.875" style="331" customWidth="1"/>
    <col min="13064" max="13092" width="0" style="331" hidden="1" customWidth="1"/>
    <col min="13093" max="13093" width="8.375" style="331" customWidth="1"/>
    <col min="13094" max="13094" width="0" style="331" hidden="1" customWidth="1"/>
    <col min="13095" max="13095" width="9.25" style="331" customWidth="1"/>
    <col min="13096" max="13096" width="9.75" style="331" customWidth="1"/>
    <col min="13097" max="13097" width="11.125" style="331" customWidth="1"/>
    <col min="13098" max="13098" width="3.625" style="331" customWidth="1"/>
    <col min="13099" max="13099" width="8.375" style="331" customWidth="1"/>
    <col min="13100" max="13100" width="10.25" style="331" customWidth="1"/>
    <col min="13101" max="13107" width="0" style="331" hidden="1" customWidth="1"/>
    <col min="13108" max="13108" width="6.125" style="331" customWidth="1"/>
    <col min="13109" max="13109" width="5.75" style="331" customWidth="1"/>
    <col min="13110" max="13110" width="7.125" style="331" customWidth="1"/>
    <col min="13111" max="13111" width="6.875" style="331" customWidth="1"/>
    <col min="13112" max="13314" width="6.25" style="331"/>
    <col min="13315" max="13315" width="5.625" style="331" customWidth="1"/>
    <col min="13316" max="13316" width="20.5" style="331" customWidth="1"/>
    <col min="13317" max="13317" width="4.5" style="331" customWidth="1"/>
    <col min="13318" max="13318" width="9.75" style="331" customWidth="1"/>
    <col min="13319" max="13319" width="10.875" style="331" customWidth="1"/>
    <col min="13320" max="13348" width="0" style="331" hidden="1" customWidth="1"/>
    <col min="13349" max="13349" width="8.375" style="331" customWidth="1"/>
    <col min="13350" max="13350" width="0" style="331" hidden="1" customWidth="1"/>
    <col min="13351" max="13351" width="9.25" style="331" customWidth="1"/>
    <col min="13352" max="13352" width="9.75" style="331" customWidth="1"/>
    <col min="13353" max="13353" width="11.125" style="331" customWidth="1"/>
    <col min="13354" max="13354" width="3.625" style="331" customWidth="1"/>
    <col min="13355" max="13355" width="8.375" style="331" customWidth="1"/>
    <col min="13356" max="13356" width="10.25" style="331" customWidth="1"/>
    <col min="13357" max="13363" width="0" style="331" hidden="1" customWidth="1"/>
    <col min="13364" max="13364" width="6.125" style="331" customWidth="1"/>
    <col min="13365" max="13365" width="5.75" style="331" customWidth="1"/>
    <col min="13366" max="13366" width="7.125" style="331" customWidth="1"/>
    <col min="13367" max="13367" width="6.875" style="331" customWidth="1"/>
    <col min="13368" max="13570" width="6.25" style="331"/>
    <col min="13571" max="13571" width="5.625" style="331" customWidth="1"/>
    <col min="13572" max="13572" width="20.5" style="331" customWidth="1"/>
    <col min="13573" max="13573" width="4.5" style="331" customWidth="1"/>
    <col min="13574" max="13574" width="9.75" style="331" customWidth="1"/>
    <col min="13575" max="13575" width="10.875" style="331" customWidth="1"/>
    <col min="13576" max="13604" width="0" style="331" hidden="1" customWidth="1"/>
    <col min="13605" max="13605" width="8.375" style="331" customWidth="1"/>
    <col min="13606" max="13606" width="0" style="331" hidden="1" customWidth="1"/>
    <col min="13607" max="13607" width="9.25" style="331" customWidth="1"/>
    <col min="13608" max="13608" width="9.75" style="331" customWidth="1"/>
    <col min="13609" max="13609" width="11.125" style="331" customWidth="1"/>
    <col min="13610" max="13610" width="3.625" style="331" customWidth="1"/>
    <col min="13611" max="13611" width="8.375" style="331" customWidth="1"/>
    <col min="13612" max="13612" width="10.25" style="331" customWidth="1"/>
    <col min="13613" max="13619" width="0" style="331" hidden="1" customWidth="1"/>
    <col min="13620" max="13620" width="6.125" style="331" customWidth="1"/>
    <col min="13621" max="13621" width="5.75" style="331" customWidth="1"/>
    <col min="13622" max="13622" width="7.125" style="331" customWidth="1"/>
    <col min="13623" max="13623" width="6.875" style="331" customWidth="1"/>
    <col min="13624" max="13826" width="6.25" style="331"/>
    <col min="13827" max="13827" width="5.625" style="331" customWidth="1"/>
    <col min="13828" max="13828" width="20.5" style="331" customWidth="1"/>
    <col min="13829" max="13829" width="4.5" style="331" customWidth="1"/>
    <col min="13830" max="13830" width="9.75" style="331" customWidth="1"/>
    <col min="13831" max="13831" width="10.875" style="331" customWidth="1"/>
    <col min="13832" max="13860" width="0" style="331" hidden="1" customWidth="1"/>
    <col min="13861" max="13861" width="8.375" style="331" customWidth="1"/>
    <col min="13862" max="13862" width="0" style="331" hidden="1" customWidth="1"/>
    <col min="13863" max="13863" width="9.25" style="331" customWidth="1"/>
    <col min="13864" max="13864" width="9.75" style="331" customWidth="1"/>
    <col min="13865" max="13865" width="11.125" style="331" customWidth="1"/>
    <col min="13866" max="13866" width="3.625" style="331" customWidth="1"/>
    <col min="13867" max="13867" width="8.375" style="331" customWidth="1"/>
    <col min="13868" max="13868" width="10.25" style="331" customWidth="1"/>
    <col min="13869" max="13875" width="0" style="331" hidden="1" customWidth="1"/>
    <col min="13876" max="13876" width="6.125" style="331" customWidth="1"/>
    <col min="13877" max="13877" width="5.75" style="331" customWidth="1"/>
    <col min="13878" max="13878" width="7.125" style="331" customWidth="1"/>
    <col min="13879" max="13879" width="6.875" style="331" customWidth="1"/>
    <col min="13880" max="14082" width="6.25" style="331"/>
    <col min="14083" max="14083" width="5.625" style="331" customWidth="1"/>
    <col min="14084" max="14084" width="20.5" style="331" customWidth="1"/>
    <col min="14085" max="14085" width="4.5" style="331" customWidth="1"/>
    <col min="14086" max="14086" width="9.75" style="331" customWidth="1"/>
    <col min="14087" max="14087" width="10.875" style="331" customWidth="1"/>
    <col min="14088" max="14116" width="0" style="331" hidden="1" customWidth="1"/>
    <col min="14117" max="14117" width="8.375" style="331" customWidth="1"/>
    <col min="14118" max="14118" width="0" style="331" hidden="1" customWidth="1"/>
    <col min="14119" max="14119" width="9.25" style="331" customWidth="1"/>
    <col min="14120" max="14120" width="9.75" style="331" customWidth="1"/>
    <col min="14121" max="14121" width="11.125" style="331" customWidth="1"/>
    <col min="14122" max="14122" width="3.625" style="331" customWidth="1"/>
    <col min="14123" max="14123" width="8.375" style="331" customWidth="1"/>
    <col min="14124" max="14124" width="10.25" style="331" customWidth="1"/>
    <col min="14125" max="14131" width="0" style="331" hidden="1" customWidth="1"/>
    <col min="14132" max="14132" width="6.125" style="331" customWidth="1"/>
    <col min="14133" max="14133" width="5.75" style="331" customWidth="1"/>
    <col min="14134" max="14134" width="7.125" style="331" customWidth="1"/>
    <col min="14135" max="14135" width="6.875" style="331" customWidth="1"/>
    <col min="14136" max="14338" width="6.25" style="331"/>
    <col min="14339" max="14339" width="5.625" style="331" customWidth="1"/>
    <col min="14340" max="14340" width="20.5" style="331" customWidth="1"/>
    <col min="14341" max="14341" width="4.5" style="331" customWidth="1"/>
    <col min="14342" max="14342" width="9.75" style="331" customWidth="1"/>
    <col min="14343" max="14343" width="10.875" style="331" customWidth="1"/>
    <col min="14344" max="14372" width="0" style="331" hidden="1" customWidth="1"/>
    <col min="14373" max="14373" width="8.375" style="331" customWidth="1"/>
    <col min="14374" max="14374" width="0" style="331" hidden="1" customWidth="1"/>
    <col min="14375" max="14375" width="9.25" style="331" customWidth="1"/>
    <col min="14376" max="14376" width="9.75" style="331" customWidth="1"/>
    <col min="14377" max="14377" width="11.125" style="331" customWidth="1"/>
    <col min="14378" max="14378" width="3.625" style="331" customWidth="1"/>
    <col min="14379" max="14379" width="8.375" style="331" customWidth="1"/>
    <col min="14380" max="14380" width="10.25" style="331" customWidth="1"/>
    <col min="14381" max="14387" width="0" style="331" hidden="1" customWidth="1"/>
    <col min="14388" max="14388" width="6.125" style="331" customWidth="1"/>
    <col min="14389" max="14389" width="5.75" style="331" customWidth="1"/>
    <col min="14390" max="14390" width="7.125" style="331" customWidth="1"/>
    <col min="14391" max="14391" width="6.875" style="331" customWidth="1"/>
    <col min="14392" max="14594" width="6.25" style="331"/>
    <col min="14595" max="14595" width="5.625" style="331" customWidth="1"/>
    <col min="14596" max="14596" width="20.5" style="331" customWidth="1"/>
    <col min="14597" max="14597" width="4.5" style="331" customWidth="1"/>
    <col min="14598" max="14598" width="9.75" style="331" customWidth="1"/>
    <col min="14599" max="14599" width="10.875" style="331" customWidth="1"/>
    <col min="14600" max="14628" width="0" style="331" hidden="1" customWidth="1"/>
    <col min="14629" max="14629" width="8.375" style="331" customWidth="1"/>
    <col min="14630" max="14630" width="0" style="331" hidden="1" customWidth="1"/>
    <col min="14631" max="14631" width="9.25" style="331" customWidth="1"/>
    <col min="14632" max="14632" width="9.75" style="331" customWidth="1"/>
    <col min="14633" max="14633" width="11.125" style="331" customWidth="1"/>
    <col min="14634" max="14634" width="3.625" style="331" customWidth="1"/>
    <col min="14635" max="14635" width="8.375" style="331" customWidth="1"/>
    <col min="14636" max="14636" width="10.25" style="331" customWidth="1"/>
    <col min="14637" max="14643" width="0" style="331" hidden="1" customWidth="1"/>
    <col min="14644" max="14644" width="6.125" style="331" customWidth="1"/>
    <col min="14645" max="14645" width="5.75" style="331" customWidth="1"/>
    <col min="14646" max="14646" width="7.125" style="331" customWidth="1"/>
    <col min="14647" max="14647" width="6.875" style="331" customWidth="1"/>
    <col min="14648" max="14850" width="6.25" style="331"/>
    <col min="14851" max="14851" width="5.625" style="331" customWidth="1"/>
    <col min="14852" max="14852" width="20.5" style="331" customWidth="1"/>
    <col min="14853" max="14853" width="4.5" style="331" customWidth="1"/>
    <col min="14854" max="14854" width="9.75" style="331" customWidth="1"/>
    <col min="14855" max="14855" width="10.875" style="331" customWidth="1"/>
    <col min="14856" max="14884" width="0" style="331" hidden="1" customWidth="1"/>
    <col min="14885" max="14885" width="8.375" style="331" customWidth="1"/>
    <col min="14886" max="14886" width="0" style="331" hidden="1" customWidth="1"/>
    <col min="14887" max="14887" width="9.25" style="331" customWidth="1"/>
    <col min="14888" max="14888" width="9.75" style="331" customWidth="1"/>
    <col min="14889" max="14889" width="11.125" style="331" customWidth="1"/>
    <col min="14890" max="14890" width="3.625" style="331" customWidth="1"/>
    <col min="14891" max="14891" width="8.375" style="331" customWidth="1"/>
    <col min="14892" max="14892" width="10.25" style="331" customWidth="1"/>
    <col min="14893" max="14899" width="0" style="331" hidden="1" customWidth="1"/>
    <col min="14900" max="14900" width="6.125" style="331" customWidth="1"/>
    <col min="14901" max="14901" width="5.75" style="331" customWidth="1"/>
    <col min="14902" max="14902" width="7.125" style="331" customWidth="1"/>
    <col min="14903" max="14903" width="6.875" style="331" customWidth="1"/>
    <col min="14904" max="15106" width="6.25" style="331"/>
    <col min="15107" max="15107" width="5.625" style="331" customWidth="1"/>
    <col min="15108" max="15108" width="20.5" style="331" customWidth="1"/>
    <col min="15109" max="15109" width="4.5" style="331" customWidth="1"/>
    <col min="15110" max="15110" width="9.75" style="331" customWidth="1"/>
    <col min="15111" max="15111" width="10.875" style="331" customWidth="1"/>
    <col min="15112" max="15140" width="0" style="331" hidden="1" customWidth="1"/>
    <col min="15141" max="15141" width="8.375" style="331" customWidth="1"/>
    <col min="15142" max="15142" width="0" style="331" hidden="1" customWidth="1"/>
    <col min="15143" max="15143" width="9.25" style="331" customWidth="1"/>
    <col min="15144" max="15144" width="9.75" style="331" customWidth="1"/>
    <col min="15145" max="15145" width="11.125" style="331" customWidth="1"/>
    <col min="15146" max="15146" width="3.625" style="331" customWidth="1"/>
    <col min="15147" max="15147" width="8.375" style="331" customWidth="1"/>
    <col min="15148" max="15148" width="10.25" style="331" customWidth="1"/>
    <col min="15149" max="15155" width="0" style="331" hidden="1" customWidth="1"/>
    <col min="15156" max="15156" width="6.125" style="331" customWidth="1"/>
    <col min="15157" max="15157" width="5.75" style="331" customWidth="1"/>
    <col min="15158" max="15158" width="7.125" style="331" customWidth="1"/>
    <col min="15159" max="15159" width="6.875" style="331" customWidth="1"/>
    <col min="15160" max="15362" width="6.25" style="331"/>
    <col min="15363" max="15363" width="5.625" style="331" customWidth="1"/>
    <col min="15364" max="15364" width="20.5" style="331" customWidth="1"/>
    <col min="15365" max="15365" width="4.5" style="331" customWidth="1"/>
    <col min="15366" max="15366" width="9.75" style="331" customWidth="1"/>
    <col min="15367" max="15367" width="10.875" style="331" customWidth="1"/>
    <col min="15368" max="15396" width="0" style="331" hidden="1" customWidth="1"/>
    <col min="15397" max="15397" width="8.375" style="331" customWidth="1"/>
    <col min="15398" max="15398" width="0" style="331" hidden="1" customWidth="1"/>
    <col min="15399" max="15399" width="9.25" style="331" customWidth="1"/>
    <col min="15400" max="15400" width="9.75" style="331" customWidth="1"/>
    <col min="15401" max="15401" width="11.125" style="331" customWidth="1"/>
    <col min="15402" max="15402" width="3.625" style="331" customWidth="1"/>
    <col min="15403" max="15403" width="8.375" style="331" customWidth="1"/>
    <col min="15404" max="15404" width="10.25" style="331" customWidth="1"/>
    <col min="15405" max="15411" width="0" style="331" hidden="1" customWidth="1"/>
    <col min="15412" max="15412" width="6.125" style="331" customWidth="1"/>
    <col min="15413" max="15413" width="5.75" style="331" customWidth="1"/>
    <col min="15414" max="15414" width="7.125" style="331" customWidth="1"/>
    <col min="15415" max="15415" width="6.875" style="331" customWidth="1"/>
    <col min="15416" max="15618" width="6.25" style="331"/>
    <col min="15619" max="15619" width="5.625" style="331" customWidth="1"/>
    <col min="15620" max="15620" width="20.5" style="331" customWidth="1"/>
    <col min="15621" max="15621" width="4.5" style="331" customWidth="1"/>
    <col min="15622" max="15622" width="9.75" style="331" customWidth="1"/>
    <col min="15623" max="15623" width="10.875" style="331" customWidth="1"/>
    <col min="15624" max="15652" width="0" style="331" hidden="1" customWidth="1"/>
    <col min="15653" max="15653" width="8.375" style="331" customWidth="1"/>
    <col min="15654" max="15654" width="0" style="331" hidden="1" customWidth="1"/>
    <col min="15655" max="15655" width="9.25" style="331" customWidth="1"/>
    <col min="15656" max="15656" width="9.75" style="331" customWidth="1"/>
    <col min="15657" max="15657" width="11.125" style="331" customWidth="1"/>
    <col min="15658" max="15658" width="3.625" style="331" customWidth="1"/>
    <col min="15659" max="15659" width="8.375" style="331" customWidth="1"/>
    <col min="15660" max="15660" width="10.25" style="331" customWidth="1"/>
    <col min="15661" max="15667" width="0" style="331" hidden="1" customWidth="1"/>
    <col min="15668" max="15668" width="6.125" style="331" customWidth="1"/>
    <col min="15669" max="15669" width="5.75" style="331" customWidth="1"/>
    <col min="15670" max="15670" width="7.125" style="331" customWidth="1"/>
    <col min="15671" max="15671" width="6.875" style="331" customWidth="1"/>
    <col min="15672" max="15874" width="6.25" style="331"/>
    <col min="15875" max="15875" width="5.625" style="331" customWidth="1"/>
    <col min="15876" max="15876" width="20.5" style="331" customWidth="1"/>
    <col min="15877" max="15877" width="4.5" style="331" customWidth="1"/>
    <col min="15878" max="15878" width="9.75" style="331" customWidth="1"/>
    <col min="15879" max="15879" width="10.875" style="331" customWidth="1"/>
    <col min="15880" max="15908" width="0" style="331" hidden="1" customWidth="1"/>
    <col min="15909" max="15909" width="8.375" style="331" customWidth="1"/>
    <col min="15910" max="15910" width="0" style="331" hidden="1" customWidth="1"/>
    <col min="15911" max="15911" width="9.25" style="331" customWidth="1"/>
    <col min="15912" max="15912" width="9.75" style="331" customWidth="1"/>
    <col min="15913" max="15913" width="11.125" style="331" customWidth="1"/>
    <col min="15914" max="15914" width="3.625" style="331" customWidth="1"/>
    <col min="15915" max="15915" width="8.375" style="331" customWidth="1"/>
    <col min="15916" max="15916" width="10.25" style="331" customWidth="1"/>
    <col min="15917" max="15923" width="0" style="331" hidden="1" customWidth="1"/>
    <col min="15924" max="15924" width="6.125" style="331" customWidth="1"/>
    <col min="15925" max="15925" width="5.75" style="331" customWidth="1"/>
    <col min="15926" max="15926" width="7.125" style="331" customWidth="1"/>
    <col min="15927" max="15927" width="6.875" style="331" customWidth="1"/>
    <col min="15928" max="16130" width="6.25" style="331"/>
    <col min="16131" max="16131" width="5.625" style="331" customWidth="1"/>
    <col min="16132" max="16132" width="20.5" style="331" customWidth="1"/>
    <col min="16133" max="16133" width="4.5" style="331" customWidth="1"/>
    <col min="16134" max="16134" width="9.75" style="331" customWidth="1"/>
    <col min="16135" max="16135" width="10.875" style="331" customWidth="1"/>
    <col min="16136" max="16164" width="0" style="331" hidden="1" customWidth="1"/>
    <col min="16165" max="16165" width="8.375" style="331" customWidth="1"/>
    <col min="16166" max="16166" width="0" style="331" hidden="1" customWidth="1"/>
    <col min="16167" max="16167" width="9.25" style="331" customWidth="1"/>
    <col min="16168" max="16168" width="9.75" style="331" customWidth="1"/>
    <col min="16169" max="16169" width="11.125" style="331" customWidth="1"/>
    <col min="16170" max="16170" width="3.625" style="331" customWidth="1"/>
    <col min="16171" max="16171" width="8.375" style="331" customWidth="1"/>
    <col min="16172" max="16172" width="10.25" style="331" customWidth="1"/>
    <col min="16173" max="16179" width="0" style="331" hidden="1" customWidth="1"/>
    <col min="16180" max="16180" width="6.125" style="331" customWidth="1"/>
    <col min="16181" max="16181" width="5.75" style="331" customWidth="1"/>
    <col min="16182" max="16182" width="7.125" style="331" customWidth="1"/>
    <col min="16183" max="16183" width="6.875" style="331" customWidth="1"/>
    <col min="16184" max="16384" width="6.25" style="331"/>
  </cols>
  <sheetData>
    <row r="1" spans="1:55" ht="15" customHeight="1">
      <c r="A1" s="343" t="s">
        <v>512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</row>
    <row r="2" spans="1:55" ht="15" customHeight="1">
      <c r="A2" s="343" t="s">
        <v>513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</row>
    <row r="3" spans="1:55" ht="15" customHeight="1">
      <c r="A3" s="592" t="s">
        <v>514</v>
      </c>
      <c r="B3" s="592"/>
      <c r="C3" s="592"/>
      <c r="D3" s="385"/>
      <c r="E3" s="385"/>
      <c r="F3" s="343" t="s">
        <v>515</v>
      </c>
      <c r="G3" s="343"/>
      <c r="H3" s="343"/>
      <c r="I3" s="343"/>
      <c r="J3" s="374" t="s">
        <v>516</v>
      </c>
      <c r="K3" s="374"/>
      <c r="L3" s="331" t="s">
        <v>517</v>
      </c>
    </row>
    <row r="5" spans="1:55" s="391" customFormat="1" ht="15" customHeight="1">
      <c r="A5" s="390" t="s">
        <v>169</v>
      </c>
      <c r="B5" s="390" t="s">
        <v>518</v>
      </c>
      <c r="C5" s="390" t="s">
        <v>519</v>
      </c>
      <c r="D5" s="390"/>
      <c r="E5" s="390"/>
      <c r="F5" s="550" t="s">
        <v>520</v>
      </c>
      <c r="G5" s="390" t="s">
        <v>521</v>
      </c>
      <c r="H5" s="390" t="s">
        <v>522</v>
      </c>
      <c r="I5" s="390" t="s">
        <v>523</v>
      </c>
      <c r="J5" s="390" t="s">
        <v>524</v>
      </c>
      <c r="K5" s="390" t="s">
        <v>525</v>
      </c>
      <c r="L5" s="390" t="s">
        <v>526</v>
      </c>
      <c r="M5" s="390" t="s">
        <v>527</v>
      </c>
      <c r="O5" s="390" t="s">
        <v>528</v>
      </c>
      <c r="P5" s="390" t="s">
        <v>529</v>
      </c>
      <c r="Q5" s="390" t="s">
        <v>530</v>
      </c>
      <c r="R5" s="390" t="s">
        <v>531</v>
      </c>
      <c r="S5" s="390" t="s">
        <v>532</v>
      </c>
      <c r="T5" s="390" t="s">
        <v>533</v>
      </c>
      <c r="U5" s="390" t="s">
        <v>534</v>
      </c>
      <c r="V5" s="390" t="s">
        <v>535</v>
      </c>
      <c r="W5" s="390" t="s">
        <v>536</v>
      </c>
      <c r="X5" s="390" t="s">
        <v>537</v>
      </c>
      <c r="Z5" s="390" t="s">
        <v>538</v>
      </c>
      <c r="AA5" s="390" t="s">
        <v>539</v>
      </c>
      <c r="AC5" s="390" t="s">
        <v>540</v>
      </c>
      <c r="AD5" s="390" t="s">
        <v>541</v>
      </c>
      <c r="AE5" s="390" t="s">
        <v>542</v>
      </c>
      <c r="AF5" s="390" t="s">
        <v>543</v>
      </c>
      <c r="AG5" s="390" t="s">
        <v>544</v>
      </c>
      <c r="AH5" s="390" t="s">
        <v>545</v>
      </c>
      <c r="AI5" s="390" t="s">
        <v>546</v>
      </c>
      <c r="AJ5" s="390" t="s">
        <v>547</v>
      </c>
      <c r="AK5" s="390" t="s">
        <v>548</v>
      </c>
      <c r="AM5" s="390" t="s">
        <v>549</v>
      </c>
      <c r="AN5" s="390" t="s">
        <v>550</v>
      </c>
      <c r="AO5" s="390" t="s">
        <v>551</v>
      </c>
      <c r="AQ5" s="390" t="s">
        <v>552</v>
      </c>
      <c r="AR5" s="390" t="s">
        <v>553</v>
      </c>
      <c r="AS5" s="390" t="s">
        <v>554</v>
      </c>
      <c r="AT5" s="390" t="s">
        <v>555</v>
      </c>
      <c r="AU5" s="390" t="s">
        <v>556</v>
      </c>
      <c r="AV5" s="390" t="s">
        <v>557</v>
      </c>
      <c r="AW5" s="390" t="s">
        <v>558</v>
      </c>
      <c r="AX5" s="390" t="s">
        <v>559</v>
      </c>
      <c r="AY5" s="390" t="s">
        <v>560</v>
      </c>
      <c r="AZ5" s="390" t="s">
        <v>561</v>
      </c>
      <c r="BA5" s="390" t="s">
        <v>562</v>
      </c>
      <c r="BB5" s="390" t="s">
        <v>563</v>
      </c>
      <c r="BC5" s="390" t="s">
        <v>564</v>
      </c>
    </row>
    <row r="6" spans="1:55" s="376" customFormat="1" ht="15" customHeight="1">
      <c r="A6" s="377" t="s">
        <v>565</v>
      </c>
      <c r="B6" s="378"/>
      <c r="C6" s="375"/>
      <c r="D6" s="375"/>
      <c r="E6" s="375"/>
      <c r="F6" s="378"/>
      <c r="G6" s="375"/>
      <c r="H6" s="375"/>
      <c r="I6" s="375"/>
      <c r="J6" s="375"/>
      <c r="K6" s="375"/>
      <c r="L6" s="375"/>
      <c r="M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Z6" s="375"/>
      <c r="AA6" s="375"/>
      <c r="AC6" s="375"/>
      <c r="AD6" s="375"/>
      <c r="AE6" s="375"/>
      <c r="AF6" s="375"/>
      <c r="AG6" s="375"/>
      <c r="AH6" s="375"/>
      <c r="AI6" s="375"/>
      <c r="AJ6" s="375"/>
      <c r="AK6" s="375"/>
      <c r="AM6" s="375"/>
      <c r="AN6" s="375"/>
      <c r="AO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</row>
    <row r="7" spans="1:55" ht="15" customHeight="1">
      <c r="A7" s="379"/>
      <c r="B7" s="143"/>
      <c r="C7" s="143"/>
      <c r="D7" s="143"/>
      <c r="E7" s="143"/>
      <c r="F7" s="380"/>
      <c r="G7" s="380"/>
      <c r="H7" s="380"/>
      <c r="I7" s="380"/>
      <c r="J7" s="380"/>
      <c r="K7" s="380"/>
      <c r="L7" s="380"/>
      <c r="M7" s="380"/>
      <c r="N7" s="333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33"/>
      <c r="Z7" s="380"/>
      <c r="AA7" s="380"/>
      <c r="AB7" s="333"/>
      <c r="AC7" s="380"/>
      <c r="AD7" s="380"/>
      <c r="AE7" s="380"/>
      <c r="AF7" s="380"/>
      <c r="AG7" s="380"/>
      <c r="AH7" s="380"/>
      <c r="AI7" s="380"/>
      <c r="AJ7" s="380"/>
      <c r="AK7" s="380"/>
      <c r="AL7" s="333"/>
      <c r="AM7" s="380"/>
      <c r="AN7" s="380"/>
      <c r="AO7" s="380"/>
      <c r="AP7" s="333"/>
      <c r="AQ7" s="380"/>
      <c r="AR7" s="380"/>
      <c r="AS7" s="380"/>
      <c r="AT7" s="380"/>
      <c r="AU7" s="380"/>
      <c r="AV7" s="380"/>
      <c r="AW7" s="380"/>
      <c r="AX7" s="380"/>
      <c r="AY7" s="380"/>
      <c r="AZ7" s="380"/>
      <c r="BA7" s="380"/>
      <c r="BB7" s="380"/>
      <c r="BC7" s="379"/>
    </row>
    <row r="8" spans="1:55" ht="15" customHeight="1">
      <c r="A8" s="379"/>
      <c r="B8" s="143"/>
      <c r="C8" s="143"/>
      <c r="D8" s="143"/>
      <c r="E8" s="143"/>
      <c r="F8" s="380"/>
      <c r="G8" s="380"/>
      <c r="H8" s="380"/>
      <c r="I8" s="380"/>
      <c r="J8" s="380"/>
      <c r="K8" s="380"/>
      <c r="L8" s="380"/>
      <c r="M8" s="380"/>
      <c r="N8" s="333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33"/>
      <c r="Z8" s="380"/>
      <c r="AA8" s="380"/>
      <c r="AB8" s="333"/>
      <c r="AC8" s="380"/>
      <c r="AD8" s="380"/>
      <c r="AE8" s="380"/>
      <c r="AF8" s="380"/>
      <c r="AG8" s="380"/>
      <c r="AH8" s="380"/>
      <c r="AI8" s="380"/>
      <c r="AJ8" s="380"/>
      <c r="AK8" s="380"/>
      <c r="AL8" s="333"/>
      <c r="AM8" s="380"/>
      <c r="AN8" s="380"/>
      <c r="AO8" s="380"/>
      <c r="AP8" s="333"/>
      <c r="AQ8" s="380"/>
      <c r="AR8" s="380"/>
      <c r="AS8" s="380"/>
      <c r="AT8" s="380"/>
      <c r="AU8" s="380"/>
      <c r="AV8" s="380"/>
      <c r="AW8" s="380"/>
      <c r="AX8" s="380"/>
      <c r="AY8" s="380"/>
      <c r="AZ8" s="380"/>
      <c r="BA8" s="380"/>
      <c r="BB8" s="380"/>
      <c r="BC8" s="379"/>
    </row>
    <row r="9" spans="1:55" ht="15" customHeight="1">
      <c r="A9" s="379"/>
      <c r="B9" s="143"/>
      <c r="C9" s="143"/>
      <c r="D9" s="143"/>
      <c r="E9" s="143"/>
      <c r="F9" s="380"/>
      <c r="G9" s="380"/>
      <c r="H9" s="380"/>
      <c r="I9" s="380"/>
      <c r="J9" s="380"/>
      <c r="K9" s="380"/>
      <c r="L9" s="380"/>
      <c r="M9" s="380"/>
      <c r="N9" s="333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33"/>
      <c r="Z9" s="380"/>
      <c r="AA9" s="380"/>
      <c r="AB9" s="333"/>
      <c r="AC9" s="380"/>
      <c r="AD9" s="380"/>
      <c r="AE9" s="380"/>
      <c r="AF9" s="380"/>
      <c r="AG9" s="380"/>
      <c r="AH9" s="380"/>
      <c r="AI9" s="380"/>
      <c r="AJ9" s="380"/>
      <c r="AK9" s="380"/>
      <c r="AL9" s="333"/>
      <c r="AM9" s="380"/>
      <c r="AN9" s="380"/>
      <c r="AO9" s="380"/>
      <c r="AP9" s="333"/>
      <c r="AQ9" s="380"/>
      <c r="AR9" s="380"/>
      <c r="AS9" s="380"/>
      <c r="AT9" s="380"/>
      <c r="AU9" s="380"/>
      <c r="AV9" s="380"/>
      <c r="AW9" s="380"/>
      <c r="AX9" s="380"/>
      <c r="AY9" s="380"/>
      <c r="AZ9" s="380"/>
      <c r="BA9" s="380"/>
      <c r="BB9" s="380"/>
      <c r="BC9" s="379"/>
    </row>
    <row r="10" spans="1:55" ht="15" customHeight="1">
      <c r="A10" s="379"/>
      <c r="B10" s="143"/>
      <c r="C10" s="143"/>
      <c r="D10" s="143"/>
      <c r="E10" s="143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380"/>
      <c r="AZ10" s="380"/>
      <c r="BA10" s="380"/>
      <c r="BB10" s="380"/>
      <c r="BC10" s="379"/>
    </row>
    <row r="11" spans="1:55" ht="15" customHeight="1">
      <c r="A11" s="379"/>
      <c r="B11" s="143"/>
      <c r="C11" s="143"/>
      <c r="D11" s="143"/>
      <c r="E11" s="143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79"/>
    </row>
    <row r="12" spans="1:55" ht="15" customHeight="1">
      <c r="A12" s="379"/>
      <c r="B12" s="143"/>
      <c r="C12" s="143"/>
      <c r="D12" s="143"/>
      <c r="E12" s="143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0"/>
      <c r="BA12" s="380"/>
      <c r="BB12" s="380"/>
      <c r="BC12" s="379"/>
    </row>
    <row r="13" spans="1:55" s="389" customFormat="1" ht="15" customHeight="1">
      <c r="A13" s="386"/>
      <c r="B13" s="387" t="s">
        <v>566</v>
      </c>
      <c r="C13" s="387"/>
      <c r="D13" s="387"/>
      <c r="E13" s="387"/>
      <c r="F13" s="388">
        <f>SUM(F7:F12)</f>
        <v>0</v>
      </c>
      <c r="G13" s="388">
        <f t="shared" ref="G13:BB13" si="0">SUM(G7:G12)</f>
        <v>0</v>
      </c>
      <c r="H13" s="388">
        <f t="shared" si="0"/>
        <v>0</v>
      </c>
      <c r="I13" s="388">
        <f t="shared" si="0"/>
        <v>0</v>
      </c>
      <c r="J13" s="388">
        <f t="shared" si="0"/>
        <v>0</v>
      </c>
      <c r="K13" s="388">
        <f t="shared" si="0"/>
        <v>0</v>
      </c>
      <c r="L13" s="388">
        <f t="shared" si="0"/>
        <v>0</v>
      </c>
      <c r="M13" s="388">
        <f t="shared" si="0"/>
        <v>0</v>
      </c>
      <c r="N13" s="388">
        <f t="shared" si="0"/>
        <v>0</v>
      </c>
      <c r="O13" s="388">
        <f t="shared" si="0"/>
        <v>0</v>
      </c>
      <c r="P13" s="388">
        <f t="shared" si="0"/>
        <v>0</v>
      </c>
      <c r="Q13" s="388">
        <f t="shared" si="0"/>
        <v>0</v>
      </c>
      <c r="R13" s="388">
        <f t="shared" si="0"/>
        <v>0</v>
      </c>
      <c r="S13" s="388">
        <f t="shared" si="0"/>
        <v>0</v>
      </c>
      <c r="T13" s="388">
        <f t="shared" si="0"/>
        <v>0</v>
      </c>
      <c r="U13" s="388">
        <f t="shared" si="0"/>
        <v>0</v>
      </c>
      <c r="V13" s="388">
        <f t="shared" si="0"/>
        <v>0</v>
      </c>
      <c r="W13" s="388">
        <f t="shared" si="0"/>
        <v>0</v>
      </c>
      <c r="X13" s="388">
        <f t="shared" si="0"/>
        <v>0</v>
      </c>
      <c r="Y13" s="388">
        <f t="shared" si="0"/>
        <v>0</v>
      </c>
      <c r="Z13" s="388">
        <f t="shared" si="0"/>
        <v>0</v>
      </c>
      <c r="AA13" s="388">
        <f t="shared" si="0"/>
        <v>0</v>
      </c>
      <c r="AB13" s="388">
        <f t="shared" si="0"/>
        <v>0</v>
      </c>
      <c r="AC13" s="388">
        <f t="shared" si="0"/>
        <v>0</v>
      </c>
      <c r="AD13" s="388">
        <f t="shared" si="0"/>
        <v>0</v>
      </c>
      <c r="AE13" s="388">
        <f t="shared" si="0"/>
        <v>0</v>
      </c>
      <c r="AF13" s="388">
        <f t="shared" si="0"/>
        <v>0</v>
      </c>
      <c r="AG13" s="388">
        <f t="shared" si="0"/>
        <v>0</v>
      </c>
      <c r="AH13" s="388">
        <f t="shared" si="0"/>
        <v>0</v>
      </c>
      <c r="AI13" s="388">
        <f t="shared" si="0"/>
        <v>0</v>
      </c>
      <c r="AJ13" s="388">
        <f t="shared" si="0"/>
        <v>0</v>
      </c>
      <c r="AK13" s="388">
        <f t="shared" si="0"/>
        <v>0</v>
      </c>
      <c r="AL13" s="388">
        <f t="shared" si="0"/>
        <v>0</v>
      </c>
      <c r="AM13" s="388">
        <f t="shared" si="0"/>
        <v>0</v>
      </c>
      <c r="AN13" s="388">
        <f t="shared" si="0"/>
        <v>0</v>
      </c>
      <c r="AO13" s="388">
        <f t="shared" si="0"/>
        <v>0</v>
      </c>
      <c r="AP13" s="388">
        <f t="shared" si="0"/>
        <v>0</v>
      </c>
      <c r="AQ13" s="388">
        <f t="shared" si="0"/>
        <v>0</v>
      </c>
      <c r="AR13" s="388">
        <f t="shared" si="0"/>
        <v>0</v>
      </c>
      <c r="AS13" s="388">
        <f t="shared" si="0"/>
        <v>0</v>
      </c>
      <c r="AT13" s="388">
        <f t="shared" si="0"/>
        <v>0</v>
      </c>
      <c r="AU13" s="388">
        <f t="shared" si="0"/>
        <v>0</v>
      </c>
      <c r="AV13" s="388">
        <f t="shared" si="0"/>
        <v>0</v>
      </c>
      <c r="AW13" s="388">
        <f t="shared" si="0"/>
        <v>0</v>
      </c>
      <c r="AX13" s="388">
        <f t="shared" si="0"/>
        <v>0</v>
      </c>
      <c r="AY13" s="388">
        <f t="shared" si="0"/>
        <v>0</v>
      </c>
      <c r="AZ13" s="388">
        <f t="shared" si="0"/>
        <v>0</v>
      </c>
      <c r="BA13" s="388"/>
      <c r="BB13" s="388">
        <f t="shared" si="0"/>
        <v>0</v>
      </c>
      <c r="BC13" s="386"/>
    </row>
    <row r="15" spans="1:55" s="381" customFormat="1" ht="15" customHeight="1">
      <c r="C15" s="381" t="s">
        <v>567</v>
      </c>
      <c r="G15" s="382"/>
      <c r="H15" s="383"/>
      <c r="I15" s="383"/>
      <c r="AZ15" s="382">
        <v>0</v>
      </c>
      <c r="BB15" s="382">
        <v>0</v>
      </c>
    </row>
    <row r="17" spans="2:44" ht="15" customHeight="1">
      <c r="B17" s="331" t="s">
        <v>568</v>
      </c>
      <c r="G17" s="344"/>
    </row>
    <row r="18" spans="2:44" ht="15" customHeight="1">
      <c r="AJ18" s="344"/>
      <c r="AQ18" s="344"/>
      <c r="AR18" s="344"/>
    </row>
    <row r="19" spans="2:44" ht="15" customHeight="1">
      <c r="AK19" s="344"/>
      <c r="AM19" s="344"/>
      <c r="AQ19" s="344"/>
      <c r="AR19" s="344"/>
    </row>
    <row r="20" spans="2:44" ht="15" customHeight="1">
      <c r="G20" s="344"/>
      <c r="AM20" s="344"/>
      <c r="AN20" s="344"/>
    </row>
    <row r="22" spans="2:44" ht="15" customHeight="1">
      <c r="AM22" s="344"/>
    </row>
  </sheetData>
  <mergeCells count="1">
    <mergeCell ref="A3:C3"/>
  </mergeCells>
  <pageMargins left="0" right="0" top="0" bottom="0" header="0.3" footer="0.3"/>
  <pageSetup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1"/>
  <sheetViews>
    <sheetView topLeftCell="L1" zoomScaleNormal="100" workbookViewId="0">
      <selection activeCell="K23" sqref="K23"/>
    </sheetView>
  </sheetViews>
  <sheetFormatPr defaultColWidth="9" defaultRowHeight="15" customHeight="1"/>
  <cols>
    <col min="1" max="1" width="5.875" style="225" customWidth="1"/>
    <col min="2" max="2" width="14.25" style="225" customWidth="1"/>
    <col min="3" max="3" width="4.5" style="225" customWidth="1"/>
    <col min="4" max="4" width="9.25" style="226" customWidth="1"/>
    <col min="5" max="5" width="11.875" style="226" customWidth="1"/>
    <col min="6" max="6" width="6.625" style="225" hidden="1" customWidth="1"/>
    <col min="7" max="7" width="6.75" style="225" hidden="1" customWidth="1"/>
    <col min="8" max="9" width="11.875" style="225" hidden="1" customWidth="1"/>
    <col min="10" max="10" width="9.5" style="225" customWidth="1"/>
    <col min="11" max="11" width="10.125" style="225" customWidth="1"/>
    <col min="12" max="12" width="7.875" style="225" customWidth="1"/>
    <col min="13" max="13" width="9.375" style="225" customWidth="1"/>
    <col min="14" max="16" width="11.875" style="225" hidden="1" customWidth="1"/>
    <col min="17" max="17" width="8.625" style="225" customWidth="1"/>
    <col min="18" max="18" width="9" style="225" customWidth="1"/>
    <col min="19" max="19" width="8" style="225" customWidth="1"/>
    <col min="20" max="20" width="9" style="225" customWidth="1"/>
    <col min="21" max="28" width="11.875" style="225" hidden="1" customWidth="1"/>
    <col min="29" max="30" width="11.875" style="407" customWidth="1"/>
    <col min="31" max="39" width="11.875" style="225" hidden="1" customWidth="1"/>
    <col min="40" max="40" width="9.375" style="225" customWidth="1"/>
    <col min="41" max="41" width="9.75" style="225" customWidth="1"/>
    <col min="42" max="42" width="11.875" style="225" hidden="1" customWidth="1"/>
    <col min="43" max="44" width="9.125" style="225" customWidth="1"/>
    <col min="45" max="51" width="11.875" style="225" hidden="1" customWidth="1"/>
    <col min="52" max="52" width="8.5" style="225" customWidth="1"/>
    <col min="53" max="53" width="6.5" style="225" customWidth="1"/>
    <col min="54" max="54" width="10.25" style="225" customWidth="1"/>
    <col min="55" max="55" width="8.875" style="289" customWidth="1"/>
    <col min="56" max="57" width="11.875" style="225" customWidth="1"/>
    <col min="58" max="256" width="9" style="225"/>
    <col min="257" max="257" width="6.25" style="225" customWidth="1"/>
    <col min="258" max="258" width="21.25" style="225" customWidth="1"/>
    <col min="259" max="259" width="4.5" style="225" customWidth="1"/>
    <col min="260" max="260" width="9" style="225"/>
    <col min="261" max="261" width="10.75" style="225" customWidth="1"/>
    <col min="262" max="265" width="9" style="225" customWidth="1"/>
    <col min="266" max="266" width="10.375" style="225" customWidth="1"/>
    <col min="267" max="267" width="11" style="225" customWidth="1"/>
    <col min="268" max="270" width="9" style="225" customWidth="1"/>
    <col min="271" max="271" width="9" style="225"/>
    <col min="272" max="272" width="9.75" style="225" customWidth="1"/>
    <col min="273" max="274" width="9" style="225" customWidth="1"/>
    <col min="275" max="275" width="9" style="225"/>
    <col min="276" max="276" width="9.75" style="225" customWidth="1"/>
    <col min="277" max="284" width="9" style="225" customWidth="1"/>
    <col min="285" max="285" width="9.875" style="225" customWidth="1"/>
    <col min="286" max="286" width="11.75" style="225" customWidth="1"/>
    <col min="287" max="292" width="9" style="225" customWidth="1"/>
    <col min="293" max="293" width="9" style="225"/>
    <col min="294" max="294" width="9" style="225" customWidth="1"/>
    <col min="295" max="295" width="11" style="225" customWidth="1"/>
    <col min="296" max="298" width="9" style="225" customWidth="1"/>
    <col min="299" max="299" width="9" style="225"/>
    <col min="300" max="300" width="10.25" style="225" customWidth="1"/>
    <col min="301" max="307" width="9" style="225" customWidth="1"/>
    <col min="308" max="309" width="9" style="225"/>
    <col min="310" max="310" width="11.25" style="225" customWidth="1"/>
    <col min="311" max="512" width="9" style="225"/>
    <col min="513" max="513" width="6.25" style="225" customWidth="1"/>
    <col min="514" max="514" width="21.25" style="225" customWidth="1"/>
    <col min="515" max="515" width="4.5" style="225" customWidth="1"/>
    <col min="516" max="516" width="9" style="225"/>
    <col min="517" max="517" width="10.75" style="225" customWidth="1"/>
    <col min="518" max="521" width="9" style="225" customWidth="1"/>
    <col min="522" max="522" width="10.375" style="225" customWidth="1"/>
    <col min="523" max="523" width="11" style="225" customWidth="1"/>
    <col min="524" max="526" width="9" style="225" customWidth="1"/>
    <col min="527" max="527" width="9" style="225"/>
    <col min="528" max="528" width="9.75" style="225" customWidth="1"/>
    <col min="529" max="530" width="9" style="225" customWidth="1"/>
    <col min="531" max="531" width="9" style="225"/>
    <col min="532" max="532" width="9.75" style="225" customWidth="1"/>
    <col min="533" max="540" width="9" style="225" customWidth="1"/>
    <col min="541" max="541" width="9.875" style="225" customWidth="1"/>
    <col min="542" max="542" width="11.75" style="225" customWidth="1"/>
    <col min="543" max="548" width="9" style="225" customWidth="1"/>
    <col min="549" max="549" width="9" style="225"/>
    <col min="550" max="550" width="9" style="225" customWidth="1"/>
    <col min="551" max="551" width="11" style="225" customWidth="1"/>
    <col min="552" max="554" width="9" style="225" customWidth="1"/>
    <col min="555" max="555" width="9" style="225"/>
    <col min="556" max="556" width="10.25" style="225" customWidth="1"/>
    <col min="557" max="563" width="9" style="225" customWidth="1"/>
    <col min="564" max="565" width="9" style="225"/>
    <col min="566" max="566" width="11.25" style="225" customWidth="1"/>
    <col min="567" max="768" width="9" style="225"/>
    <col min="769" max="769" width="6.25" style="225" customWidth="1"/>
    <col min="770" max="770" width="21.25" style="225" customWidth="1"/>
    <col min="771" max="771" width="4.5" style="225" customWidth="1"/>
    <col min="772" max="772" width="9" style="225"/>
    <col min="773" max="773" width="10.75" style="225" customWidth="1"/>
    <col min="774" max="777" width="9" style="225" customWidth="1"/>
    <col min="778" max="778" width="10.375" style="225" customWidth="1"/>
    <col min="779" max="779" width="11" style="225" customWidth="1"/>
    <col min="780" max="782" width="9" style="225" customWidth="1"/>
    <col min="783" max="783" width="9" style="225"/>
    <col min="784" max="784" width="9.75" style="225" customWidth="1"/>
    <col min="785" max="786" width="9" style="225" customWidth="1"/>
    <col min="787" max="787" width="9" style="225"/>
    <col min="788" max="788" width="9.75" style="225" customWidth="1"/>
    <col min="789" max="796" width="9" style="225" customWidth="1"/>
    <col min="797" max="797" width="9.875" style="225" customWidth="1"/>
    <col min="798" max="798" width="11.75" style="225" customWidth="1"/>
    <col min="799" max="804" width="9" style="225" customWidth="1"/>
    <col min="805" max="805" width="9" style="225"/>
    <col min="806" max="806" width="9" style="225" customWidth="1"/>
    <col min="807" max="807" width="11" style="225" customWidth="1"/>
    <col min="808" max="810" width="9" style="225" customWidth="1"/>
    <col min="811" max="811" width="9" style="225"/>
    <col min="812" max="812" width="10.25" style="225" customWidth="1"/>
    <col min="813" max="819" width="9" style="225" customWidth="1"/>
    <col min="820" max="821" width="9" style="225"/>
    <col min="822" max="822" width="11.25" style="225" customWidth="1"/>
    <col min="823" max="1024" width="9" style="225"/>
    <col min="1025" max="1025" width="6.25" style="225" customWidth="1"/>
    <col min="1026" max="1026" width="21.25" style="225" customWidth="1"/>
    <col min="1027" max="1027" width="4.5" style="225" customWidth="1"/>
    <col min="1028" max="1028" width="9" style="225"/>
    <col min="1029" max="1029" width="10.75" style="225" customWidth="1"/>
    <col min="1030" max="1033" width="9" style="225" customWidth="1"/>
    <col min="1034" max="1034" width="10.375" style="225" customWidth="1"/>
    <col min="1035" max="1035" width="11" style="225" customWidth="1"/>
    <col min="1036" max="1038" width="9" style="225" customWidth="1"/>
    <col min="1039" max="1039" width="9" style="225"/>
    <col min="1040" max="1040" width="9.75" style="225" customWidth="1"/>
    <col min="1041" max="1042" width="9" style="225" customWidth="1"/>
    <col min="1043" max="1043" width="9" style="225"/>
    <col min="1044" max="1044" width="9.75" style="225" customWidth="1"/>
    <col min="1045" max="1052" width="9" style="225" customWidth="1"/>
    <col min="1053" max="1053" width="9.875" style="225" customWidth="1"/>
    <col min="1054" max="1054" width="11.75" style="225" customWidth="1"/>
    <col min="1055" max="1060" width="9" style="225" customWidth="1"/>
    <col min="1061" max="1061" width="9" style="225"/>
    <col min="1062" max="1062" width="9" style="225" customWidth="1"/>
    <col min="1063" max="1063" width="11" style="225" customWidth="1"/>
    <col min="1064" max="1066" width="9" style="225" customWidth="1"/>
    <col min="1067" max="1067" width="9" style="225"/>
    <col min="1068" max="1068" width="10.25" style="225" customWidth="1"/>
    <col min="1069" max="1075" width="9" style="225" customWidth="1"/>
    <col min="1076" max="1077" width="9" style="225"/>
    <col min="1078" max="1078" width="11.25" style="225" customWidth="1"/>
    <col min="1079" max="1280" width="9" style="225"/>
    <col min="1281" max="1281" width="6.25" style="225" customWidth="1"/>
    <col min="1282" max="1282" width="21.25" style="225" customWidth="1"/>
    <col min="1283" max="1283" width="4.5" style="225" customWidth="1"/>
    <col min="1284" max="1284" width="9" style="225"/>
    <col min="1285" max="1285" width="10.75" style="225" customWidth="1"/>
    <col min="1286" max="1289" width="9" style="225" customWidth="1"/>
    <col min="1290" max="1290" width="10.375" style="225" customWidth="1"/>
    <col min="1291" max="1291" width="11" style="225" customWidth="1"/>
    <col min="1292" max="1294" width="9" style="225" customWidth="1"/>
    <col min="1295" max="1295" width="9" style="225"/>
    <col min="1296" max="1296" width="9.75" style="225" customWidth="1"/>
    <col min="1297" max="1298" width="9" style="225" customWidth="1"/>
    <col min="1299" max="1299" width="9" style="225"/>
    <col min="1300" max="1300" width="9.75" style="225" customWidth="1"/>
    <col min="1301" max="1308" width="9" style="225" customWidth="1"/>
    <col min="1309" max="1309" width="9.875" style="225" customWidth="1"/>
    <col min="1310" max="1310" width="11.75" style="225" customWidth="1"/>
    <col min="1311" max="1316" width="9" style="225" customWidth="1"/>
    <col min="1317" max="1317" width="9" style="225"/>
    <col min="1318" max="1318" width="9" style="225" customWidth="1"/>
    <col min="1319" max="1319" width="11" style="225" customWidth="1"/>
    <col min="1320" max="1322" width="9" style="225" customWidth="1"/>
    <col min="1323" max="1323" width="9" style="225"/>
    <col min="1324" max="1324" width="10.25" style="225" customWidth="1"/>
    <col min="1325" max="1331" width="9" style="225" customWidth="1"/>
    <col min="1332" max="1333" width="9" style="225"/>
    <col min="1334" max="1334" width="11.25" style="225" customWidth="1"/>
    <col min="1335" max="1536" width="9" style="225"/>
    <col min="1537" max="1537" width="6.25" style="225" customWidth="1"/>
    <col min="1538" max="1538" width="21.25" style="225" customWidth="1"/>
    <col min="1539" max="1539" width="4.5" style="225" customWidth="1"/>
    <col min="1540" max="1540" width="9" style="225"/>
    <col min="1541" max="1541" width="10.75" style="225" customWidth="1"/>
    <col min="1542" max="1545" width="9" style="225" customWidth="1"/>
    <col min="1546" max="1546" width="10.375" style="225" customWidth="1"/>
    <col min="1547" max="1547" width="11" style="225" customWidth="1"/>
    <col min="1548" max="1550" width="9" style="225" customWidth="1"/>
    <col min="1551" max="1551" width="9" style="225"/>
    <col min="1552" max="1552" width="9.75" style="225" customWidth="1"/>
    <col min="1553" max="1554" width="9" style="225" customWidth="1"/>
    <col min="1555" max="1555" width="9" style="225"/>
    <col min="1556" max="1556" width="9.75" style="225" customWidth="1"/>
    <col min="1557" max="1564" width="9" style="225" customWidth="1"/>
    <col min="1565" max="1565" width="9.875" style="225" customWidth="1"/>
    <col min="1566" max="1566" width="11.75" style="225" customWidth="1"/>
    <col min="1567" max="1572" width="9" style="225" customWidth="1"/>
    <col min="1573" max="1573" width="9" style="225"/>
    <col min="1574" max="1574" width="9" style="225" customWidth="1"/>
    <col min="1575" max="1575" width="11" style="225" customWidth="1"/>
    <col min="1576" max="1578" width="9" style="225" customWidth="1"/>
    <col min="1579" max="1579" width="9" style="225"/>
    <col min="1580" max="1580" width="10.25" style="225" customWidth="1"/>
    <col min="1581" max="1587" width="9" style="225" customWidth="1"/>
    <col min="1588" max="1589" width="9" style="225"/>
    <col min="1590" max="1590" width="11.25" style="225" customWidth="1"/>
    <col min="1591" max="1792" width="9" style="225"/>
    <col min="1793" max="1793" width="6.25" style="225" customWidth="1"/>
    <col min="1794" max="1794" width="21.25" style="225" customWidth="1"/>
    <col min="1795" max="1795" width="4.5" style="225" customWidth="1"/>
    <col min="1796" max="1796" width="9" style="225"/>
    <col min="1797" max="1797" width="10.75" style="225" customWidth="1"/>
    <col min="1798" max="1801" width="9" style="225" customWidth="1"/>
    <col min="1802" max="1802" width="10.375" style="225" customWidth="1"/>
    <col min="1803" max="1803" width="11" style="225" customWidth="1"/>
    <col min="1804" max="1806" width="9" style="225" customWidth="1"/>
    <col min="1807" max="1807" width="9" style="225"/>
    <col min="1808" max="1808" width="9.75" style="225" customWidth="1"/>
    <col min="1809" max="1810" width="9" style="225" customWidth="1"/>
    <col min="1811" max="1811" width="9" style="225"/>
    <col min="1812" max="1812" width="9.75" style="225" customWidth="1"/>
    <col min="1813" max="1820" width="9" style="225" customWidth="1"/>
    <col min="1821" max="1821" width="9.875" style="225" customWidth="1"/>
    <col min="1822" max="1822" width="11.75" style="225" customWidth="1"/>
    <col min="1823" max="1828" width="9" style="225" customWidth="1"/>
    <col min="1829" max="1829" width="9" style="225"/>
    <col min="1830" max="1830" width="9" style="225" customWidth="1"/>
    <col min="1831" max="1831" width="11" style="225" customWidth="1"/>
    <col min="1832" max="1834" width="9" style="225" customWidth="1"/>
    <col min="1835" max="1835" width="9" style="225"/>
    <col min="1836" max="1836" width="10.25" style="225" customWidth="1"/>
    <col min="1837" max="1843" width="9" style="225" customWidth="1"/>
    <col min="1844" max="1845" width="9" style="225"/>
    <col min="1846" max="1846" width="11.25" style="225" customWidth="1"/>
    <col min="1847" max="2048" width="9" style="225"/>
    <col min="2049" max="2049" width="6.25" style="225" customWidth="1"/>
    <col min="2050" max="2050" width="21.25" style="225" customWidth="1"/>
    <col min="2051" max="2051" width="4.5" style="225" customWidth="1"/>
    <col min="2052" max="2052" width="9" style="225"/>
    <col min="2053" max="2053" width="10.75" style="225" customWidth="1"/>
    <col min="2054" max="2057" width="9" style="225" customWidth="1"/>
    <col min="2058" max="2058" width="10.375" style="225" customWidth="1"/>
    <col min="2059" max="2059" width="11" style="225" customWidth="1"/>
    <col min="2060" max="2062" width="9" style="225" customWidth="1"/>
    <col min="2063" max="2063" width="9" style="225"/>
    <col min="2064" max="2064" width="9.75" style="225" customWidth="1"/>
    <col min="2065" max="2066" width="9" style="225" customWidth="1"/>
    <col min="2067" max="2067" width="9" style="225"/>
    <col min="2068" max="2068" width="9.75" style="225" customWidth="1"/>
    <col min="2069" max="2076" width="9" style="225" customWidth="1"/>
    <col min="2077" max="2077" width="9.875" style="225" customWidth="1"/>
    <col min="2078" max="2078" width="11.75" style="225" customWidth="1"/>
    <col min="2079" max="2084" width="9" style="225" customWidth="1"/>
    <col min="2085" max="2085" width="9" style="225"/>
    <col min="2086" max="2086" width="9" style="225" customWidth="1"/>
    <col min="2087" max="2087" width="11" style="225" customWidth="1"/>
    <col min="2088" max="2090" width="9" style="225" customWidth="1"/>
    <col min="2091" max="2091" width="9" style="225"/>
    <col min="2092" max="2092" width="10.25" style="225" customWidth="1"/>
    <col min="2093" max="2099" width="9" style="225" customWidth="1"/>
    <col min="2100" max="2101" width="9" style="225"/>
    <col min="2102" max="2102" width="11.25" style="225" customWidth="1"/>
    <col min="2103" max="2304" width="9" style="225"/>
    <col min="2305" max="2305" width="6.25" style="225" customWidth="1"/>
    <col min="2306" max="2306" width="21.25" style="225" customWidth="1"/>
    <col min="2307" max="2307" width="4.5" style="225" customWidth="1"/>
    <col min="2308" max="2308" width="9" style="225"/>
    <col min="2309" max="2309" width="10.75" style="225" customWidth="1"/>
    <col min="2310" max="2313" width="9" style="225" customWidth="1"/>
    <col min="2314" max="2314" width="10.375" style="225" customWidth="1"/>
    <col min="2315" max="2315" width="11" style="225" customWidth="1"/>
    <col min="2316" max="2318" width="9" style="225" customWidth="1"/>
    <col min="2319" max="2319" width="9" style="225"/>
    <col min="2320" max="2320" width="9.75" style="225" customWidth="1"/>
    <col min="2321" max="2322" width="9" style="225" customWidth="1"/>
    <col min="2323" max="2323" width="9" style="225"/>
    <col min="2324" max="2324" width="9.75" style="225" customWidth="1"/>
    <col min="2325" max="2332" width="9" style="225" customWidth="1"/>
    <col min="2333" max="2333" width="9.875" style="225" customWidth="1"/>
    <col min="2334" max="2334" width="11.75" style="225" customWidth="1"/>
    <col min="2335" max="2340" width="9" style="225" customWidth="1"/>
    <col min="2341" max="2341" width="9" style="225"/>
    <col min="2342" max="2342" width="9" style="225" customWidth="1"/>
    <col min="2343" max="2343" width="11" style="225" customWidth="1"/>
    <col min="2344" max="2346" width="9" style="225" customWidth="1"/>
    <col min="2347" max="2347" width="9" style="225"/>
    <col min="2348" max="2348" width="10.25" style="225" customWidth="1"/>
    <col min="2349" max="2355" width="9" style="225" customWidth="1"/>
    <col min="2356" max="2357" width="9" style="225"/>
    <col min="2358" max="2358" width="11.25" style="225" customWidth="1"/>
    <col min="2359" max="2560" width="9" style="225"/>
    <col min="2561" max="2561" width="6.25" style="225" customWidth="1"/>
    <col min="2562" max="2562" width="21.25" style="225" customWidth="1"/>
    <col min="2563" max="2563" width="4.5" style="225" customWidth="1"/>
    <col min="2564" max="2564" width="9" style="225"/>
    <col min="2565" max="2565" width="10.75" style="225" customWidth="1"/>
    <col min="2566" max="2569" width="9" style="225" customWidth="1"/>
    <col min="2570" max="2570" width="10.375" style="225" customWidth="1"/>
    <col min="2571" max="2571" width="11" style="225" customWidth="1"/>
    <col min="2572" max="2574" width="9" style="225" customWidth="1"/>
    <col min="2575" max="2575" width="9" style="225"/>
    <col min="2576" max="2576" width="9.75" style="225" customWidth="1"/>
    <col min="2577" max="2578" width="9" style="225" customWidth="1"/>
    <col min="2579" max="2579" width="9" style="225"/>
    <col min="2580" max="2580" width="9.75" style="225" customWidth="1"/>
    <col min="2581" max="2588" width="9" style="225" customWidth="1"/>
    <col min="2589" max="2589" width="9.875" style="225" customWidth="1"/>
    <col min="2590" max="2590" width="11.75" style="225" customWidth="1"/>
    <col min="2591" max="2596" width="9" style="225" customWidth="1"/>
    <col min="2597" max="2597" width="9" style="225"/>
    <col min="2598" max="2598" width="9" style="225" customWidth="1"/>
    <col min="2599" max="2599" width="11" style="225" customWidth="1"/>
    <col min="2600" max="2602" width="9" style="225" customWidth="1"/>
    <col min="2603" max="2603" width="9" style="225"/>
    <col min="2604" max="2604" width="10.25" style="225" customWidth="1"/>
    <col min="2605" max="2611" width="9" style="225" customWidth="1"/>
    <col min="2612" max="2613" width="9" style="225"/>
    <col min="2614" max="2614" width="11.25" style="225" customWidth="1"/>
    <col min="2615" max="2816" width="9" style="225"/>
    <col min="2817" max="2817" width="6.25" style="225" customWidth="1"/>
    <col min="2818" max="2818" width="21.25" style="225" customWidth="1"/>
    <col min="2819" max="2819" width="4.5" style="225" customWidth="1"/>
    <col min="2820" max="2820" width="9" style="225"/>
    <col min="2821" max="2821" width="10.75" style="225" customWidth="1"/>
    <col min="2822" max="2825" width="9" style="225" customWidth="1"/>
    <col min="2826" max="2826" width="10.375" style="225" customWidth="1"/>
    <col min="2827" max="2827" width="11" style="225" customWidth="1"/>
    <col min="2828" max="2830" width="9" style="225" customWidth="1"/>
    <col min="2831" max="2831" width="9" style="225"/>
    <col min="2832" max="2832" width="9.75" style="225" customWidth="1"/>
    <col min="2833" max="2834" width="9" style="225" customWidth="1"/>
    <col min="2835" max="2835" width="9" style="225"/>
    <col min="2836" max="2836" width="9.75" style="225" customWidth="1"/>
    <col min="2837" max="2844" width="9" style="225" customWidth="1"/>
    <col min="2845" max="2845" width="9.875" style="225" customWidth="1"/>
    <col min="2846" max="2846" width="11.75" style="225" customWidth="1"/>
    <col min="2847" max="2852" width="9" style="225" customWidth="1"/>
    <col min="2853" max="2853" width="9" style="225"/>
    <col min="2854" max="2854" width="9" style="225" customWidth="1"/>
    <col min="2855" max="2855" width="11" style="225" customWidth="1"/>
    <col min="2856" max="2858" width="9" style="225" customWidth="1"/>
    <col min="2859" max="2859" width="9" style="225"/>
    <col min="2860" max="2860" width="10.25" style="225" customWidth="1"/>
    <col min="2861" max="2867" width="9" style="225" customWidth="1"/>
    <col min="2868" max="2869" width="9" style="225"/>
    <col min="2870" max="2870" width="11.25" style="225" customWidth="1"/>
    <col min="2871" max="3072" width="9" style="225"/>
    <col min="3073" max="3073" width="6.25" style="225" customWidth="1"/>
    <col min="3074" max="3074" width="21.25" style="225" customWidth="1"/>
    <col min="3075" max="3075" width="4.5" style="225" customWidth="1"/>
    <col min="3076" max="3076" width="9" style="225"/>
    <col min="3077" max="3077" width="10.75" style="225" customWidth="1"/>
    <col min="3078" max="3081" width="9" style="225" customWidth="1"/>
    <col min="3082" max="3082" width="10.375" style="225" customWidth="1"/>
    <col min="3083" max="3083" width="11" style="225" customWidth="1"/>
    <col min="3084" max="3086" width="9" style="225" customWidth="1"/>
    <col min="3087" max="3087" width="9" style="225"/>
    <col min="3088" max="3088" width="9.75" style="225" customWidth="1"/>
    <col min="3089" max="3090" width="9" style="225" customWidth="1"/>
    <col min="3091" max="3091" width="9" style="225"/>
    <col min="3092" max="3092" width="9.75" style="225" customWidth="1"/>
    <col min="3093" max="3100" width="9" style="225" customWidth="1"/>
    <col min="3101" max="3101" width="9.875" style="225" customWidth="1"/>
    <col min="3102" max="3102" width="11.75" style="225" customWidth="1"/>
    <col min="3103" max="3108" width="9" style="225" customWidth="1"/>
    <col min="3109" max="3109" width="9" style="225"/>
    <col min="3110" max="3110" width="9" style="225" customWidth="1"/>
    <col min="3111" max="3111" width="11" style="225" customWidth="1"/>
    <col min="3112" max="3114" width="9" style="225" customWidth="1"/>
    <col min="3115" max="3115" width="9" style="225"/>
    <col min="3116" max="3116" width="10.25" style="225" customWidth="1"/>
    <col min="3117" max="3123" width="9" style="225" customWidth="1"/>
    <col min="3124" max="3125" width="9" style="225"/>
    <col min="3126" max="3126" width="11.25" style="225" customWidth="1"/>
    <col min="3127" max="3328" width="9" style="225"/>
    <col min="3329" max="3329" width="6.25" style="225" customWidth="1"/>
    <col min="3330" max="3330" width="21.25" style="225" customWidth="1"/>
    <col min="3331" max="3331" width="4.5" style="225" customWidth="1"/>
    <col min="3332" max="3332" width="9" style="225"/>
    <col min="3333" max="3333" width="10.75" style="225" customWidth="1"/>
    <col min="3334" max="3337" width="9" style="225" customWidth="1"/>
    <col min="3338" max="3338" width="10.375" style="225" customWidth="1"/>
    <col min="3339" max="3339" width="11" style="225" customWidth="1"/>
    <col min="3340" max="3342" width="9" style="225" customWidth="1"/>
    <col min="3343" max="3343" width="9" style="225"/>
    <col min="3344" max="3344" width="9.75" style="225" customWidth="1"/>
    <col min="3345" max="3346" width="9" style="225" customWidth="1"/>
    <col min="3347" max="3347" width="9" style="225"/>
    <col min="3348" max="3348" width="9.75" style="225" customWidth="1"/>
    <col min="3349" max="3356" width="9" style="225" customWidth="1"/>
    <col min="3357" max="3357" width="9.875" style="225" customWidth="1"/>
    <col min="3358" max="3358" width="11.75" style="225" customWidth="1"/>
    <col min="3359" max="3364" width="9" style="225" customWidth="1"/>
    <col min="3365" max="3365" width="9" style="225"/>
    <col min="3366" max="3366" width="9" style="225" customWidth="1"/>
    <col min="3367" max="3367" width="11" style="225" customWidth="1"/>
    <col min="3368" max="3370" width="9" style="225" customWidth="1"/>
    <col min="3371" max="3371" width="9" style="225"/>
    <col min="3372" max="3372" width="10.25" style="225" customWidth="1"/>
    <col min="3373" max="3379" width="9" style="225" customWidth="1"/>
    <col min="3380" max="3381" width="9" style="225"/>
    <col min="3382" max="3382" width="11.25" style="225" customWidth="1"/>
    <col min="3383" max="3584" width="9" style="225"/>
    <col min="3585" max="3585" width="6.25" style="225" customWidth="1"/>
    <col min="3586" max="3586" width="21.25" style="225" customWidth="1"/>
    <col min="3587" max="3587" width="4.5" style="225" customWidth="1"/>
    <col min="3588" max="3588" width="9" style="225"/>
    <col min="3589" max="3589" width="10.75" style="225" customWidth="1"/>
    <col min="3590" max="3593" width="9" style="225" customWidth="1"/>
    <col min="3594" max="3594" width="10.375" style="225" customWidth="1"/>
    <col min="3595" max="3595" width="11" style="225" customWidth="1"/>
    <col min="3596" max="3598" width="9" style="225" customWidth="1"/>
    <col min="3599" max="3599" width="9" style="225"/>
    <col min="3600" max="3600" width="9.75" style="225" customWidth="1"/>
    <col min="3601" max="3602" width="9" style="225" customWidth="1"/>
    <col min="3603" max="3603" width="9" style="225"/>
    <col min="3604" max="3604" width="9.75" style="225" customWidth="1"/>
    <col min="3605" max="3612" width="9" style="225" customWidth="1"/>
    <col min="3613" max="3613" width="9.875" style="225" customWidth="1"/>
    <col min="3614" max="3614" width="11.75" style="225" customWidth="1"/>
    <col min="3615" max="3620" width="9" style="225" customWidth="1"/>
    <col min="3621" max="3621" width="9" style="225"/>
    <col min="3622" max="3622" width="9" style="225" customWidth="1"/>
    <col min="3623" max="3623" width="11" style="225" customWidth="1"/>
    <col min="3624" max="3626" width="9" style="225" customWidth="1"/>
    <col min="3627" max="3627" width="9" style="225"/>
    <col min="3628" max="3628" width="10.25" style="225" customWidth="1"/>
    <col min="3629" max="3635" width="9" style="225" customWidth="1"/>
    <col min="3636" max="3637" width="9" style="225"/>
    <col min="3638" max="3638" width="11.25" style="225" customWidth="1"/>
    <col min="3639" max="3840" width="9" style="225"/>
    <col min="3841" max="3841" width="6.25" style="225" customWidth="1"/>
    <col min="3842" max="3842" width="21.25" style="225" customWidth="1"/>
    <col min="3843" max="3843" width="4.5" style="225" customWidth="1"/>
    <col min="3844" max="3844" width="9" style="225"/>
    <col min="3845" max="3845" width="10.75" style="225" customWidth="1"/>
    <col min="3846" max="3849" width="9" style="225" customWidth="1"/>
    <col min="3850" max="3850" width="10.375" style="225" customWidth="1"/>
    <col min="3851" max="3851" width="11" style="225" customWidth="1"/>
    <col min="3852" max="3854" width="9" style="225" customWidth="1"/>
    <col min="3855" max="3855" width="9" style="225"/>
    <col min="3856" max="3856" width="9.75" style="225" customWidth="1"/>
    <col min="3857" max="3858" width="9" style="225" customWidth="1"/>
    <col min="3859" max="3859" width="9" style="225"/>
    <col min="3860" max="3860" width="9.75" style="225" customWidth="1"/>
    <col min="3861" max="3868" width="9" style="225" customWidth="1"/>
    <col min="3869" max="3869" width="9.875" style="225" customWidth="1"/>
    <col min="3870" max="3870" width="11.75" style="225" customWidth="1"/>
    <col min="3871" max="3876" width="9" style="225" customWidth="1"/>
    <col min="3877" max="3877" width="9" style="225"/>
    <col min="3878" max="3878" width="9" style="225" customWidth="1"/>
    <col min="3879" max="3879" width="11" style="225" customWidth="1"/>
    <col min="3880" max="3882" width="9" style="225" customWidth="1"/>
    <col min="3883" max="3883" width="9" style="225"/>
    <col min="3884" max="3884" width="10.25" style="225" customWidth="1"/>
    <col min="3885" max="3891" width="9" style="225" customWidth="1"/>
    <col min="3892" max="3893" width="9" style="225"/>
    <col min="3894" max="3894" width="11.25" style="225" customWidth="1"/>
    <col min="3895" max="4096" width="9" style="225"/>
    <col min="4097" max="4097" width="6.25" style="225" customWidth="1"/>
    <col min="4098" max="4098" width="21.25" style="225" customWidth="1"/>
    <col min="4099" max="4099" width="4.5" style="225" customWidth="1"/>
    <col min="4100" max="4100" width="9" style="225"/>
    <col min="4101" max="4101" width="10.75" style="225" customWidth="1"/>
    <col min="4102" max="4105" width="9" style="225" customWidth="1"/>
    <col min="4106" max="4106" width="10.375" style="225" customWidth="1"/>
    <col min="4107" max="4107" width="11" style="225" customWidth="1"/>
    <col min="4108" max="4110" width="9" style="225" customWidth="1"/>
    <col min="4111" max="4111" width="9" style="225"/>
    <col min="4112" max="4112" width="9.75" style="225" customWidth="1"/>
    <col min="4113" max="4114" width="9" style="225" customWidth="1"/>
    <col min="4115" max="4115" width="9" style="225"/>
    <col min="4116" max="4116" width="9.75" style="225" customWidth="1"/>
    <col min="4117" max="4124" width="9" style="225" customWidth="1"/>
    <col min="4125" max="4125" width="9.875" style="225" customWidth="1"/>
    <col min="4126" max="4126" width="11.75" style="225" customWidth="1"/>
    <col min="4127" max="4132" width="9" style="225" customWidth="1"/>
    <col min="4133" max="4133" width="9" style="225"/>
    <col min="4134" max="4134" width="9" style="225" customWidth="1"/>
    <col min="4135" max="4135" width="11" style="225" customWidth="1"/>
    <col min="4136" max="4138" width="9" style="225" customWidth="1"/>
    <col min="4139" max="4139" width="9" style="225"/>
    <col min="4140" max="4140" width="10.25" style="225" customWidth="1"/>
    <col min="4141" max="4147" width="9" style="225" customWidth="1"/>
    <col min="4148" max="4149" width="9" style="225"/>
    <col min="4150" max="4150" width="11.25" style="225" customWidth="1"/>
    <col min="4151" max="4352" width="9" style="225"/>
    <col min="4353" max="4353" width="6.25" style="225" customWidth="1"/>
    <col min="4354" max="4354" width="21.25" style="225" customWidth="1"/>
    <col min="4355" max="4355" width="4.5" style="225" customWidth="1"/>
    <col min="4356" max="4356" width="9" style="225"/>
    <col min="4357" max="4357" width="10.75" style="225" customWidth="1"/>
    <col min="4358" max="4361" width="9" style="225" customWidth="1"/>
    <col min="4362" max="4362" width="10.375" style="225" customWidth="1"/>
    <col min="4363" max="4363" width="11" style="225" customWidth="1"/>
    <col min="4364" max="4366" width="9" style="225" customWidth="1"/>
    <col min="4367" max="4367" width="9" style="225"/>
    <col min="4368" max="4368" width="9.75" style="225" customWidth="1"/>
    <col min="4369" max="4370" width="9" style="225" customWidth="1"/>
    <col min="4371" max="4371" width="9" style="225"/>
    <col min="4372" max="4372" width="9.75" style="225" customWidth="1"/>
    <col min="4373" max="4380" width="9" style="225" customWidth="1"/>
    <col min="4381" max="4381" width="9.875" style="225" customWidth="1"/>
    <col min="4382" max="4382" width="11.75" style="225" customWidth="1"/>
    <col min="4383" max="4388" width="9" style="225" customWidth="1"/>
    <col min="4389" max="4389" width="9" style="225"/>
    <col min="4390" max="4390" width="9" style="225" customWidth="1"/>
    <col min="4391" max="4391" width="11" style="225" customWidth="1"/>
    <col min="4392" max="4394" width="9" style="225" customWidth="1"/>
    <col min="4395" max="4395" width="9" style="225"/>
    <col min="4396" max="4396" width="10.25" style="225" customWidth="1"/>
    <col min="4397" max="4403" width="9" style="225" customWidth="1"/>
    <col min="4404" max="4405" width="9" style="225"/>
    <col min="4406" max="4406" width="11.25" style="225" customWidth="1"/>
    <col min="4407" max="4608" width="9" style="225"/>
    <col min="4609" max="4609" width="6.25" style="225" customWidth="1"/>
    <col min="4610" max="4610" width="21.25" style="225" customWidth="1"/>
    <col min="4611" max="4611" width="4.5" style="225" customWidth="1"/>
    <col min="4612" max="4612" width="9" style="225"/>
    <col min="4613" max="4613" width="10.75" style="225" customWidth="1"/>
    <col min="4614" max="4617" width="9" style="225" customWidth="1"/>
    <col min="4618" max="4618" width="10.375" style="225" customWidth="1"/>
    <col min="4619" max="4619" width="11" style="225" customWidth="1"/>
    <col min="4620" max="4622" width="9" style="225" customWidth="1"/>
    <col min="4623" max="4623" width="9" style="225"/>
    <col min="4624" max="4624" width="9.75" style="225" customWidth="1"/>
    <col min="4625" max="4626" width="9" style="225" customWidth="1"/>
    <col min="4627" max="4627" width="9" style="225"/>
    <col min="4628" max="4628" width="9.75" style="225" customWidth="1"/>
    <col min="4629" max="4636" width="9" style="225" customWidth="1"/>
    <col min="4637" max="4637" width="9.875" style="225" customWidth="1"/>
    <col min="4638" max="4638" width="11.75" style="225" customWidth="1"/>
    <col min="4639" max="4644" width="9" style="225" customWidth="1"/>
    <col min="4645" max="4645" width="9" style="225"/>
    <col min="4646" max="4646" width="9" style="225" customWidth="1"/>
    <col min="4647" max="4647" width="11" style="225" customWidth="1"/>
    <col min="4648" max="4650" width="9" style="225" customWidth="1"/>
    <col min="4651" max="4651" width="9" style="225"/>
    <col min="4652" max="4652" width="10.25" style="225" customWidth="1"/>
    <col min="4653" max="4659" width="9" style="225" customWidth="1"/>
    <col min="4660" max="4661" width="9" style="225"/>
    <col min="4662" max="4662" width="11.25" style="225" customWidth="1"/>
    <col min="4663" max="4864" width="9" style="225"/>
    <col min="4865" max="4865" width="6.25" style="225" customWidth="1"/>
    <col min="4866" max="4866" width="21.25" style="225" customWidth="1"/>
    <col min="4867" max="4867" width="4.5" style="225" customWidth="1"/>
    <col min="4868" max="4868" width="9" style="225"/>
    <col min="4869" max="4869" width="10.75" style="225" customWidth="1"/>
    <col min="4870" max="4873" width="9" style="225" customWidth="1"/>
    <col min="4874" max="4874" width="10.375" style="225" customWidth="1"/>
    <col min="4875" max="4875" width="11" style="225" customWidth="1"/>
    <col min="4876" max="4878" width="9" style="225" customWidth="1"/>
    <col min="4879" max="4879" width="9" style="225"/>
    <col min="4880" max="4880" width="9.75" style="225" customWidth="1"/>
    <col min="4881" max="4882" width="9" style="225" customWidth="1"/>
    <col min="4883" max="4883" width="9" style="225"/>
    <col min="4884" max="4884" width="9.75" style="225" customWidth="1"/>
    <col min="4885" max="4892" width="9" style="225" customWidth="1"/>
    <col min="4893" max="4893" width="9.875" style="225" customWidth="1"/>
    <col min="4894" max="4894" width="11.75" style="225" customWidth="1"/>
    <col min="4895" max="4900" width="9" style="225" customWidth="1"/>
    <col min="4901" max="4901" width="9" style="225"/>
    <col min="4902" max="4902" width="9" style="225" customWidth="1"/>
    <col min="4903" max="4903" width="11" style="225" customWidth="1"/>
    <col min="4904" max="4906" width="9" style="225" customWidth="1"/>
    <col min="4907" max="4907" width="9" style="225"/>
    <col min="4908" max="4908" width="10.25" style="225" customWidth="1"/>
    <col min="4909" max="4915" width="9" style="225" customWidth="1"/>
    <col min="4916" max="4917" width="9" style="225"/>
    <col min="4918" max="4918" width="11.25" style="225" customWidth="1"/>
    <col min="4919" max="5120" width="9" style="225"/>
    <col min="5121" max="5121" width="6.25" style="225" customWidth="1"/>
    <col min="5122" max="5122" width="21.25" style="225" customWidth="1"/>
    <col min="5123" max="5123" width="4.5" style="225" customWidth="1"/>
    <col min="5124" max="5124" width="9" style="225"/>
    <col min="5125" max="5125" width="10.75" style="225" customWidth="1"/>
    <col min="5126" max="5129" width="9" style="225" customWidth="1"/>
    <col min="5130" max="5130" width="10.375" style="225" customWidth="1"/>
    <col min="5131" max="5131" width="11" style="225" customWidth="1"/>
    <col min="5132" max="5134" width="9" style="225" customWidth="1"/>
    <col min="5135" max="5135" width="9" style="225"/>
    <col min="5136" max="5136" width="9.75" style="225" customWidth="1"/>
    <col min="5137" max="5138" width="9" style="225" customWidth="1"/>
    <col min="5139" max="5139" width="9" style="225"/>
    <col min="5140" max="5140" width="9.75" style="225" customWidth="1"/>
    <col min="5141" max="5148" width="9" style="225" customWidth="1"/>
    <col min="5149" max="5149" width="9.875" style="225" customWidth="1"/>
    <col min="5150" max="5150" width="11.75" style="225" customWidth="1"/>
    <col min="5151" max="5156" width="9" style="225" customWidth="1"/>
    <col min="5157" max="5157" width="9" style="225"/>
    <col min="5158" max="5158" width="9" style="225" customWidth="1"/>
    <col min="5159" max="5159" width="11" style="225" customWidth="1"/>
    <col min="5160" max="5162" width="9" style="225" customWidth="1"/>
    <col min="5163" max="5163" width="9" style="225"/>
    <col min="5164" max="5164" width="10.25" style="225" customWidth="1"/>
    <col min="5165" max="5171" width="9" style="225" customWidth="1"/>
    <col min="5172" max="5173" width="9" style="225"/>
    <col min="5174" max="5174" width="11.25" style="225" customWidth="1"/>
    <col min="5175" max="5376" width="9" style="225"/>
    <col min="5377" max="5377" width="6.25" style="225" customWidth="1"/>
    <col min="5378" max="5378" width="21.25" style="225" customWidth="1"/>
    <col min="5379" max="5379" width="4.5" style="225" customWidth="1"/>
    <col min="5380" max="5380" width="9" style="225"/>
    <col min="5381" max="5381" width="10.75" style="225" customWidth="1"/>
    <col min="5382" max="5385" width="9" style="225" customWidth="1"/>
    <col min="5386" max="5386" width="10.375" style="225" customWidth="1"/>
    <col min="5387" max="5387" width="11" style="225" customWidth="1"/>
    <col min="5388" max="5390" width="9" style="225" customWidth="1"/>
    <col min="5391" max="5391" width="9" style="225"/>
    <col min="5392" max="5392" width="9.75" style="225" customWidth="1"/>
    <col min="5393" max="5394" width="9" style="225" customWidth="1"/>
    <col min="5395" max="5395" width="9" style="225"/>
    <col min="5396" max="5396" width="9.75" style="225" customWidth="1"/>
    <col min="5397" max="5404" width="9" style="225" customWidth="1"/>
    <col min="5405" max="5405" width="9.875" style="225" customWidth="1"/>
    <col min="5406" max="5406" width="11.75" style="225" customWidth="1"/>
    <col min="5407" max="5412" width="9" style="225" customWidth="1"/>
    <col min="5413" max="5413" width="9" style="225"/>
    <col min="5414" max="5414" width="9" style="225" customWidth="1"/>
    <col min="5415" max="5415" width="11" style="225" customWidth="1"/>
    <col min="5416" max="5418" width="9" style="225" customWidth="1"/>
    <col min="5419" max="5419" width="9" style="225"/>
    <col min="5420" max="5420" width="10.25" style="225" customWidth="1"/>
    <col min="5421" max="5427" width="9" style="225" customWidth="1"/>
    <col min="5428" max="5429" width="9" style="225"/>
    <col min="5430" max="5430" width="11.25" style="225" customWidth="1"/>
    <col min="5431" max="5632" width="9" style="225"/>
    <col min="5633" max="5633" width="6.25" style="225" customWidth="1"/>
    <col min="5634" max="5634" width="21.25" style="225" customWidth="1"/>
    <col min="5635" max="5635" width="4.5" style="225" customWidth="1"/>
    <col min="5636" max="5636" width="9" style="225"/>
    <col min="5637" max="5637" width="10.75" style="225" customWidth="1"/>
    <col min="5638" max="5641" width="9" style="225" customWidth="1"/>
    <col min="5642" max="5642" width="10.375" style="225" customWidth="1"/>
    <col min="5643" max="5643" width="11" style="225" customWidth="1"/>
    <col min="5644" max="5646" width="9" style="225" customWidth="1"/>
    <col min="5647" max="5647" width="9" style="225"/>
    <col min="5648" max="5648" width="9.75" style="225" customWidth="1"/>
    <col min="5649" max="5650" width="9" style="225" customWidth="1"/>
    <col min="5651" max="5651" width="9" style="225"/>
    <col min="5652" max="5652" width="9.75" style="225" customWidth="1"/>
    <col min="5653" max="5660" width="9" style="225" customWidth="1"/>
    <col min="5661" max="5661" width="9.875" style="225" customWidth="1"/>
    <col min="5662" max="5662" width="11.75" style="225" customWidth="1"/>
    <col min="5663" max="5668" width="9" style="225" customWidth="1"/>
    <col min="5669" max="5669" width="9" style="225"/>
    <col min="5670" max="5670" width="9" style="225" customWidth="1"/>
    <col min="5671" max="5671" width="11" style="225" customWidth="1"/>
    <col min="5672" max="5674" width="9" style="225" customWidth="1"/>
    <col min="5675" max="5675" width="9" style="225"/>
    <col min="5676" max="5676" width="10.25" style="225" customWidth="1"/>
    <col min="5677" max="5683" width="9" style="225" customWidth="1"/>
    <col min="5684" max="5685" width="9" style="225"/>
    <col min="5686" max="5686" width="11.25" style="225" customWidth="1"/>
    <col min="5687" max="5888" width="9" style="225"/>
    <col min="5889" max="5889" width="6.25" style="225" customWidth="1"/>
    <col min="5890" max="5890" width="21.25" style="225" customWidth="1"/>
    <col min="5891" max="5891" width="4.5" style="225" customWidth="1"/>
    <col min="5892" max="5892" width="9" style="225"/>
    <col min="5893" max="5893" width="10.75" style="225" customWidth="1"/>
    <col min="5894" max="5897" width="9" style="225" customWidth="1"/>
    <col min="5898" max="5898" width="10.375" style="225" customWidth="1"/>
    <col min="5899" max="5899" width="11" style="225" customWidth="1"/>
    <col min="5900" max="5902" width="9" style="225" customWidth="1"/>
    <col min="5903" max="5903" width="9" style="225"/>
    <col min="5904" max="5904" width="9.75" style="225" customWidth="1"/>
    <col min="5905" max="5906" width="9" style="225" customWidth="1"/>
    <col min="5907" max="5907" width="9" style="225"/>
    <col min="5908" max="5908" width="9.75" style="225" customWidth="1"/>
    <col min="5909" max="5916" width="9" style="225" customWidth="1"/>
    <col min="5917" max="5917" width="9.875" style="225" customWidth="1"/>
    <col min="5918" max="5918" width="11.75" style="225" customWidth="1"/>
    <col min="5919" max="5924" width="9" style="225" customWidth="1"/>
    <col min="5925" max="5925" width="9" style="225"/>
    <col min="5926" max="5926" width="9" style="225" customWidth="1"/>
    <col min="5927" max="5927" width="11" style="225" customWidth="1"/>
    <col min="5928" max="5930" width="9" style="225" customWidth="1"/>
    <col min="5931" max="5931" width="9" style="225"/>
    <col min="5932" max="5932" width="10.25" style="225" customWidth="1"/>
    <col min="5933" max="5939" width="9" style="225" customWidth="1"/>
    <col min="5940" max="5941" width="9" style="225"/>
    <col min="5942" max="5942" width="11.25" style="225" customWidth="1"/>
    <col min="5943" max="6144" width="9" style="225"/>
    <col min="6145" max="6145" width="6.25" style="225" customWidth="1"/>
    <col min="6146" max="6146" width="21.25" style="225" customWidth="1"/>
    <col min="6147" max="6147" width="4.5" style="225" customWidth="1"/>
    <col min="6148" max="6148" width="9" style="225"/>
    <col min="6149" max="6149" width="10.75" style="225" customWidth="1"/>
    <col min="6150" max="6153" width="9" style="225" customWidth="1"/>
    <col min="6154" max="6154" width="10.375" style="225" customWidth="1"/>
    <col min="6155" max="6155" width="11" style="225" customWidth="1"/>
    <col min="6156" max="6158" width="9" style="225" customWidth="1"/>
    <col min="6159" max="6159" width="9" style="225"/>
    <col min="6160" max="6160" width="9.75" style="225" customWidth="1"/>
    <col min="6161" max="6162" width="9" style="225" customWidth="1"/>
    <col min="6163" max="6163" width="9" style="225"/>
    <col min="6164" max="6164" width="9.75" style="225" customWidth="1"/>
    <col min="6165" max="6172" width="9" style="225" customWidth="1"/>
    <col min="6173" max="6173" width="9.875" style="225" customWidth="1"/>
    <col min="6174" max="6174" width="11.75" style="225" customWidth="1"/>
    <col min="6175" max="6180" width="9" style="225" customWidth="1"/>
    <col min="6181" max="6181" width="9" style="225"/>
    <col min="6182" max="6182" width="9" style="225" customWidth="1"/>
    <col min="6183" max="6183" width="11" style="225" customWidth="1"/>
    <col min="6184" max="6186" width="9" style="225" customWidth="1"/>
    <col min="6187" max="6187" width="9" style="225"/>
    <col min="6188" max="6188" width="10.25" style="225" customWidth="1"/>
    <col min="6189" max="6195" width="9" style="225" customWidth="1"/>
    <col min="6196" max="6197" width="9" style="225"/>
    <col min="6198" max="6198" width="11.25" style="225" customWidth="1"/>
    <col min="6199" max="6400" width="9" style="225"/>
    <col min="6401" max="6401" width="6.25" style="225" customWidth="1"/>
    <col min="6402" max="6402" width="21.25" style="225" customWidth="1"/>
    <col min="6403" max="6403" width="4.5" style="225" customWidth="1"/>
    <col min="6404" max="6404" width="9" style="225"/>
    <col min="6405" max="6405" width="10.75" style="225" customWidth="1"/>
    <col min="6406" max="6409" width="9" style="225" customWidth="1"/>
    <col min="6410" max="6410" width="10.375" style="225" customWidth="1"/>
    <col min="6411" max="6411" width="11" style="225" customWidth="1"/>
    <col min="6412" max="6414" width="9" style="225" customWidth="1"/>
    <col min="6415" max="6415" width="9" style="225"/>
    <col min="6416" max="6416" width="9.75" style="225" customWidth="1"/>
    <col min="6417" max="6418" width="9" style="225" customWidth="1"/>
    <col min="6419" max="6419" width="9" style="225"/>
    <col min="6420" max="6420" width="9.75" style="225" customWidth="1"/>
    <col min="6421" max="6428" width="9" style="225" customWidth="1"/>
    <col min="6429" max="6429" width="9.875" style="225" customWidth="1"/>
    <col min="6430" max="6430" width="11.75" style="225" customWidth="1"/>
    <col min="6431" max="6436" width="9" style="225" customWidth="1"/>
    <col min="6437" max="6437" width="9" style="225"/>
    <col min="6438" max="6438" width="9" style="225" customWidth="1"/>
    <col min="6439" max="6439" width="11" style="225" customWidth="1"/>
    <col min="6440" max="6442" width="9" style="225" customWidth="1"/>
    <col min="6443" max="6443" width="9" style="225"/>
    <col min="6444" max="6444" width="10.25" style="225" customWidth="1"/>
    <col min="6445" max="6451" width="9" style="225" customWidth="1"/>
    <col min="6452" max="6453" width="9" style="225"/>
    <col min="6454" max="6454" width="11.25" style="225" customWidth="1"/>
    <col min="6455" max="6656" width="9" style="225"/>
    <col min="6657" max="6657" width="6.25" style="225" customWidth="1"/>
    <col min="6658" max="6658" width="21.25" style="225" customWidth="1"/>
    <col min="6659" max="6659" width="4.5" style="225" customWidth="1"/>
    <col min="6660" max="6660" width="9" style="225"/>
    <col min="6661" max="6661" width="10.75" style="225" customWidth="1"/>
    <col min="6662" max="6665" width="9" style="225" customWidth="1"/>
    <col min="6666" max="6666" width="10.375" style="225" customWidth="1"/>
    <col min="6667" max="6667" width="11" style="225" customWidth="1"/>
    <col min="6668" max="6670" width="9" style="225" customWidth="1"/>
    <col min="6671" max="6671" width="9" style="225"/>
    <col min="6672" max="6672" width="9.75" style="225" customWidth="1"/>
    <col min="6673" max="6674" width="9" style="225" customWidth="1"/>
    <col min="6675" max="6675" width="9" style="225"/>
    <col min="6676" max="6676" width="9.75" style="225" customWidth="1"/>
    <col min="6677" max="6684" width="9" style="225" customWidth="1"/>
    <col min="6685" max="6685" width="9.875" style="225" customWidth="1"/>
    <col min="6686" max="6686" width="11.75" style="225" customWidth="1"/>
    <col min="6687" max="6692" width="9" style="225" customWidth="1"/>
    <col min="6693" max="6693" width="9" style="225"/>
    <col min="6694" max="6694" width="9" style="225" customWidth="1"/>
    <col min="6695" max="6695" width="11" style="225" customWidth="1"/>
    <col min="6696" max="6698" width="9" style="225" customWidth="1"/>
    <col min="6699" max="6699" width="9" style="225"/>
    <col min="6700" max="6700" width="10.25" style="225" customWidth="1"/>
    <col min="6701" max="6707" width="9" style="225" customWidth="1"/>
    <col min="6708" max="6709" width="9" style="225"/>
    <col min="6710" max="6710" width="11.25" style="225" customWidth="1"/>
    <col min="6711" max="6912" width="9" style="225"/>
    <col min="6913" max="6913" width="6.25" style="225" customWidth="1"/>
    <col min="6914" max="6914" width="21.25" style="225" customWidth="1"/>
    <col min="6915" max="6915" width="4.5" style="225" customWidth="1"/>
    <col min="6916" max="6916" width="9" style="225"/>
    <col min="6917" max="6917" width="10.75" style="225" customWidth="1"/>
    <col min="6918" max="6921" width="9" style="225" customWidth="1"/>
    <col min="6922" max="6922" width="10.375" style="225" customWidth="1"/>
    <col min="6923" max="6923" width="11" style="225" customWidth="1"/>
    <col min="6924" max="6926" width="9" style="225" customWidth="1"/>
    <col min="6927" max="6927" width="9" style="225"/>
    <col min="6928" max="6928" width="9.75" style="225" customWidth="1"/>
    <col min="6929" max="6930" width="9" style="225" customWidth="1"/>
    <col min="6931" max="6931" width="9" style="225"/>
    <col min="6932" max="6932" width="9.75" style="225" customWidth="1"/>
    <col min="6933" max="6940" width="9" style="225" customWidth="1"/>
    <col min="6941" max="6941" width="9.875" style="225" customWidth="1"/>
    <col min="6942" max="6942" width="11.75" style="225" customWidth="1"/>
    <col min="6943" max="6948" width="9" style="225" customWidth="1"/>
    <col min="6949" max="6949" width="9" style="225"/>
    <col min="6950" max="6950" width="9" style="225" customWidth="1"/>
    <col min="6951" max="6951" width="11" style="225" customWidth="1"/>
    <col min="6952" max="6954" width="9" style="225" customWidth="1"/>
    <col min="6955" max="6955" width="9" style="225"/>
    <col min="6956" max="6956" width="10.25" style="225" customWidth="1"/>
    <col min="6957" max="6963" width="9" style="225" customWidth="1"/>
    <col min="6964" max="6965" width="9" style="225"/>
    <col min="6966" max="6966" width="11.25" style="225" customWidth="1"/>
    <col min="6967" max="7168" width="9" style="225"/>
    <col min="7169" max="7169" width="6.25" style="225" customWidth="1"/>
    <col min="7170" max="7170" width="21.25" style="225" customWidth="1"/>
    <col min="7171" max="7171" width="4.5" style="225" customWidth="1"/>
    <col min="7172" max="7172" width="9" style="225"/>
    <col min="7173" max="7173" width="10.75" style="225" customWidth="1"/>
    <col min="7174" max="7177" width="9" style="225" customWidth="1"/>
    <col min="7178" max="7178" width="10.375" style="225" customWidth="1"/>
    <col min="7179" max="7179" width="11" style="225" customWidth="1"/>
    <col min="7180" max="7182" width="9" style="225" customWidth="1"/>
    <col min="7183" max="7183" width="9" style="225"/>
    <col min="7184" max="7184" width="9.75" style="225" customWidth="1"/>
    <col min="7185" max="7186" width="9" style="225" customWidth="1"/>
    <col min="7187" max="7187" width="9" style="225"/>
    <col min="7188" max="7188" width="9.75" style="225" customWidth="1"/>
    <col min="7189" max="7196" width="9" style="225" customWidth="1"/>
    <col min="7197" max="7197" width="9.875" style="225" customWidth="1"/>
    <col min="7198" max="7198" width="11.75" style="225" customWidth="1"/>
    <col min="7199" max="7204" width="9" style="225" customWidth="1"/>
    <col min="7205" max="7205" width="9" style="225"/>
    <col min="7206" max="7206" width="9" style="225" customWidth="1"/>
    <col min="7207" max="7207" width="11" style="225" customWidth="1"/>
    <col min="7208" max="7210" width="9" style="225" customWidth="1"/>
    <col min="7211" max="7211" width="9" style="225"/>
    <col min="7212" max="7212" width="10.25" style="225" customWidth="1"/>
    <col min="7213" max="7219" width="9" style="225" customWidth="1"/>
    <col min="7220" max="7221" width="9" style="225"/>
    <col min="7222" max="7222" width="11.25" style="225" customWidth="1"/>
    <col min="7223" max="7424" width="9" style="225"/>
    <col min="7425" max="7425" width="6.25" style="225" customWidth="1"/>
    <col min="7426" max="7426" width="21.25" style="225" customWidth="1"/>
    <col min="7427" max="7427" width="4.5" style="225" customWidth="1"/>
    <col min="7428" max="7428" width="9" style="225"/>
    <col min="7429" max="7429" width="10.75" style="225" customWidth="1"/>
    <col min="7430" max="7433" width="9" style="225" customWidth="1"/>
    <col min="7434" max="7434" width="10.375" style="225" customWidth="1"/>
    <col min="7435" max="7435" width="11" style="225" customWidth="1"/>
    <col min="7436" max="7438" width="9" style="225" customWidth="1"/>
    <col min="7439" max="7439" width="9" style="225"/>
    <col min="7440" max="7440" width="9.75" style="225" customWidth="1"/>
    <col min="7441" max="7442" width="9" style="225" customWidth="1"/>
    <col min="7443" max="7443" width="9" style="225"/>
    <col min="7444" max="7444" width="9.75" style="225" customWidth="1"/>
    <col min="7445" max="7452" width="9" style="225" customWidth="1"/>
    <col min="7453" max="7453" width="9.875" style="225" customWidth="1"/>
    <col min="7454" max="7454" width="11.75" style="225" customWidth="1"/>
    <col min="7455" max="7460" width="9" style="225" customWidth="1"/>
    <col min="7461" max="7461" width="9" style="225"/>
    <col min="7462" max="7462" width="9" style="225" customWidth="1"/>
    <col min="7463" max="7463" width="11" style="225" customWidth="1"/>
    <col min="7464" max="7466" width="9" style="225" customWidth="1"/>
    <col min="7467" max="7467" width="9" style="225"/>
    <col min="7468" max="7468" width="10.25" style="225" customWidth="1"/>
    <col min="7469" max="7475" width="9" style="225" customWidth="1"/>
    <col min="7476" max="7477" width="9" style="225"/>
    <col min="7478" max="7478" width="11.25" style="225" customWidth="1"/>
    <col min="7479" max="7680" width="9" style="225"/>
    <col min="7681" max="7681" width="6.25" style="225" customWidth="1"/>
    <col min="7682" max="7682" width="21.25" style="225" customWidth="1"/>
    <col min="7683" max="7683" width="4.5" style="225" customWidth="1"/>
    <col min="7684" max="7684" width="9" style="225"/>
    <col min="7685" max="7685" width="10.75" style="225" customWidth="1"/>
    <col min="7686" max="7689" width="9" style="225" customWidth="1"/>
    <col min="7690" max="7690" width="10.375" style="225" customWidth="1"/>
    <col min="7691" max="7691" width="11" style="225" customWidth="1"/>
    <col min="7692" max="7694" width="9" style="225" customWidth="1"/>
    <col min="7695" max="7695" width="9" style="225"/>
    <col min="7696" max="7696" width="9.75" style="225" customWidth="1"/>
    <col min="7697" max="7698" width="9" style="225" customWidth="1"/>
    <col min="7699" max="7699" width="9" style="225"/>
    <col min="7700" max="7700" width="9.75" style="225" customWidth="1"/>
    <col min="7701" max="7708" width="9" style="225" customWidth="1"/>
    <col min="7709" max="7709" width="9.875" style="225" customWidth="1"/>
    <col min="7710" max="7710" width="11.75" style="225" customWidth="1"/>
    <col min="7711" max="7716" width="9" style="225" customWidth="1"/>
    <col min="7717" max="7717" width="9" style="225"/>
    <col min="7718" max="7718" width="9" style="225" customWidth="1"/>
    <col min="7719" max="7719" width="11" style="225" customWidth="1"/>
    <col min="7720" max="7722" width="9" style="225" customWidth="1"/>
    <col min="7723" max="7723" width="9" style="225"/>
    <col min="7724" max="7724" width="10.25" style="225" customWidth="1"/>
    <col min="7725" max="7731" width="9" style="225" customWidth="1"/>
    <col min="7732" max="7733" width="9" style="225"/>
    <col min="7734" max="7734" width="11.25" style="225" customWidth="1"/>
    <col min="7735" max="7936" width="9" style="225"/>
    <col min="7937" max="7937" width="6.25" style="225" customWidth="1"/>
    <col min="7938" max="7938" width="21.25" style="225" customWidth="1"/>
    <col min="7939" max="7939" width="4.5" style="225" customWidth="1"/>
    <col min="7940" max="7940" width="9" style="225"/>
    <col min="7941" max="7941" width="10.75" style="225" customWidth="1"/>
    <col min="7942" max="7945" width="9" style="225" customWidth="1"/>
    <col min="7946" max="7946" width="10.375" style="225" customWidth="1"/>
    <col min="7947" max="7947" width="11" style="225" customWidth="1"/>
    <col min="7948" max="7950" width="9" style="225" customWidth="1"/>
    <col min="7951" max="7951" width="9" style="225"/>
    <col min="7952" max="7952" width="9.75" style="225" customWidth="1"/>
    <col min="7953" max="7954" width="9" style="225" customWidth="1"/>
    <col min="7955" max="7955" width="9" style="225"/>
    <col min="7956" max="7956" width="9.75" style="225" customWidth="1"/>
    <col min="7957" max="7964" width="9" style="225" customWidth="1"/>
    <col min="7965" max="7965" width="9.875" style="225" customWidth="1"/>
    <col min="7966" max="7966" width="11.75" style="225" customWidth="1"/>
    <col min="7967" max="7972" width="9" style="225" customWidth="1"/>
    <col min="7973" max="7973" width="9" style="225"/>
    <col min="7974" max="7974" width="9" style="225" customWidth="1"/>
    <col min="7975" max="7975" width="11" style="225" customWidth="1"/>
    <col min="7976" max="7978" width="9" style="225" customWidth="1"/>
    <col min="7979" max="7979" width="9" style="225"/>
    <col min="7980" max="7980" width="10.25" style="225" customWidth="1"/>
    <col min="7981" max="7987" width="9" style="225" customWidth="1"/>
    <col min="7988" max="7989" width="9" style="225"/>
    <col min="7990" max="7990" width="11.25" style="225" customWidth="1"/>
    <col min="7991" max="8192" width="9" style="225"/>
    <col min="8193" max="8193" width="6.25" style="225" customWidth="1"/>
    <col min="8194" max="8194" width="21.25" style="225" customWidth="1"/>
    <col min="8195" max="8195" width="4.5" style="225" customWidth="1"/>
    <col min="8196" max="8196" width="9" style="225"/>
    <col min="8197" max="8197" width="10.75" style="225" customWidth="1"/>
    <col min="8198" max="8201" width="9" style="225" customWidth="1"/>
    <col min="8202" max="8202" width="10.375" style="225" customWidth="1"/>
    <col min="8203" max="8203" width="11" style="225" customWidth="1"/>
    <col min="8204" max="8206" width="9" style="225" customWidth="1"/>
    <col min="8207" max="8207" width="9" style="225"/>
    <col min="8208" max="8208" width="9.75" style="225" customWidth="1"/>
    <col min="8209" max="8210" width="9" style="225" customWidth="1"/>
    <col min="8211" max="8211" width="9" style="225"/>
    <col min="8212" max="8212" width="9.75" style="225" customWidth="1"/>
    <col min="8213" max="8220" width="9" style="225" customWidth="1"/>
    <col min="8221" max="8221" width="9.875" style="225" customWidth="1"/>
    <col min="8222" max="8222" width="11.75" style="225" customWidth="1"/>
    <col min="8223" max="8228" width="9" style="225" customWidth="1"/>
    <col min="8229" max="8229" width="9" style="225"/>
    <col min="8230" max="8230" width="9" style="225" customWidth="1"/>
    <col min="8231" max="8231" width="11" style="225" customWidth="1"/>
    <col min="8232" max="8234" width="9" style="225" customWidth="1"/>
    <col min="8235" max="8235" width="9" style="225"/>
    <col min="8236" max="8236" width="10.25" style="225" customWidth="1"/>
    <col min="8237" max="8243" width="9" style="225" customWidth="1"/>
    <col min="8244" max="8245" width="9" style="225"/>
    <col min="8246" max="8246" width="11.25" style="225" customWidth="1"/>
    <col min="8247" max="8448" width="9" style="225"/>
    <col min="8449" max="8449" width="6.25" style="225" customWidth="1"/>
    <col min="8450" max="8450" width="21.25" style="225" customWidth="1"/>
    <col min="8451" max="8451" width="4.5" style="225" customWidth="1"/>
    <col min="8452" max="8452" width="9" style="225"/>
    <col min="8453" max="8453" width="10.75" style="225" customWidth="1"/>
    <col min="8454" max="8457" width="9" style="225" customWidth="1"/>
    <col min="8458" max="8458" width="10.375" style="225" customWidth="1"/>
    <col min="8459" max="8459" width="11" style="225" customWidth="1"/>
    <col min="8460" max="8462" width="9" style="225" customWidth="1"/>
    <col min="8463" max="8463" width="9" style="225"/>
    <col min="8464" max="8464" width="9.75" style="225" customWidth="1"/>
    <col min="8465" max="8466" width="9" style="225" customWidth="1"/>
    <col min="8467" max="8467" width="9" style="225"/>
    <col min="8468" max="8468" width="9.75" style="225" customWidth="1"/>
    <col min="8469" max="8476" width="9" style="225" customWidth="1"/>
    <col min="8477" max="8477" width="9.875" style="225" customWidth="1"/>
    <col min="8478" max="8478" width="11.75" style="225" customWidth="1"/>
    <col min="8479" max="8484" width="9" style="225" customWidth="1"/>
    <col min="8485" max="8485" width="9" style="225"/>
    <col min="8486" max="8486" width="9" style="225" customWidth="1"/>
    <col min="8487" max="8487" width="11" style="225" customWidth="1"/>
    <col min="8488" max="8490" width="9" style="225" customWidth="1"/>
    <col min="8491" max="8491" width="9" style="225"/>
    <col min="8492" max="8492" width="10.25" style="225" customWidth="1"/>
    <col min="8493" max="8499" width="9" style="225" customWidth="1"/>
    <col min="8500" max="8501" width="9" style="225"/>
    <col min="8502" max="8502" width="11.25" style="225" customWidth="1"/>
    <col min="8503" max="8704" width="9" style="225"/>
    <col min="8705" max="8705" width="6.25" style="225" customWidth="1"/>
    <col min="8706" max="8706" width="21.25" style="225" customWidth="1"/>
    <col min="8707" max="8707" width="4.5" style="225" customWidth="1"/>
    <col min="8708" max="8708" width="9" style="225"/>
    <col min="8709" max="8709" width="10.75" style="225" customWidth="1"/>
    <col min="8710" max="8713" width="9" style="225" customWidth="1"/>
    <col min="8714" max="8714" width="10.375" style="225" customWidth="1"/>
    <col min="8715" max="8715" width="11" style="225" customWidth="1"/>
    <col min="8716" max="8718" width="9" style="225" customWidth="1"/>
    <col min="8719" max="8719" width="9" style="225"/>
    <col min="8720" max="8720" width="9.75" style="225" customWidth="1"/>
    <col min="8721" max="8722" width="9" style="225" customWidth="1"/>
    <col min="8723" max="8723" width="9" style="225"/>
    <col min="8724" max="8724" width="9.75" style="225" customWidth="1"/>
    <col min="8725" max="8732" width="9" style="225" customWidth="1"/>
    <col min="8733" max="8733" width="9.875" style="225" customWidth="1"/>
    <col min="8734" max="8734" width="11.75" style="225" customWidth="1"/>
    <col min="8735" max="8740" width="9" style="225" customWidth="1"/>
    <col min="8741" max="8741" width="9" style="225"/>
    <col min="8742" max="8742" width="9" style="225" customWidth="1"/>
    <col min="8743" max="8743" width="11" style="225" customWidth="1"/>
    <col min="8744" max="8746" width="9" style="225" customWidth="1"/>
    <col min="8747" max="8747" width="9" style="225"/>
    <col min="8748" max="8748" width="10.25" style="225" customWidth="1"/>
    <col min="8749" max="8755" width="9" style="225" customWidth="1"/>
    <col min="8756" max="8757" width="9" style="225"/>
    <col min="8758" max="8758" width="11.25" style="225" customWidth="1"/>
    <col min="8759" max="8960" width="9" style="225"/>
    <col min="8961" max="8961" width="6.25" style="225" customWidth="1"/>
    <col min="8962" max="8962" width="21.25" style="225" customWidth="1"/>
    <col min="8963" max="8963" width="4.5" style="225" customWidth="1"/>
    <col min="8964" max="8964" width="9" style="225"/>
    <col min="8965" max="8965" width="10.75" style="225" customWidth="1"/>
    <col min="8966" max="8969" width="9" style="225" customWidth="1"/>
    <col min="8970" max="8970" width="10.375" style="225" customWidth="1"/>
    <col min="8971" max="8971" width="11" style="225" customWidth="1"/>
    <col min="8972" max="8974" width="9" style="225" customWidth="1"/>
    <col min="8975" max="8975" width="9" style="225"/>
    <col min="8976" max="8976" width="9.75" style="225" customWidth="1"/>
    <col min="8977" max="8978" width="9" style="225" customWidth="1"/>
    <col min="8979" max="8979" width="9" style="225"/>
    <col min="8980" max="8980" width="9.75" style="225" customWidth="1"/>
    <col min="8981" max="8988" width="9" style="225" customWidth="1"/>
    <col min="8989" max="8989" width="9.875" style="225" customWidth="1"/>
    <col min="8990" max="8990" width="11.75" style="225" customWidth="1"/>
    <col min="8991" max="8996" width="9" style="225" customWidth="1"/>
    <col min="8997" max="8997" width="9" style="225"/>
    <col min="8998" max="8998" width="9" style="225" customWidth="1"/>
    <col min="8999" max="8999" width="11" style="225" customWidth="1"/>
    <col min="9000" max="9002" width="9" style="225" customWidth="1"/>
    <col min="9003" max="9003" width="9" style="225"/>
    <col min="9004" max="9004" width="10.25" style="225" customWidth="1"/>
    <col min="9005" max="9011" width="9" style="225" customWidth="1"/>
    <col min="9012" max="9013" width="9" style="225"/>
    <col min="9014" max="9014" width="11.25" style="225" customWidth="1"/>
    <col min="9015" max="9216" width="9" style="225"/>
    <col min="9217" max="9217" width="6.25" style="225" customWidth="1"/>
    <col min="9218" max="9218" width="21.25" style="225" customWidth="1"/>
    <col min="9219" max="9219" width="4.5" style="225" customWidth="1"/>
    <col min="9220" max="9220" width="9" style="225"/>
    <col min="9221" max="9221" width="10.75" style="225" customWidth="1"/>
    <col min="9222" max="9225" width="9" style="225" customWidth="1"/>
    <col min="9226" max="9226" width="10.375" style="225" customWidth="1"/>
    <col min="9227" max="9227" width="11" style="225" customWidth="1"/>
    <col min="9228" max="9230" width="9" style="225" customWidth="1"/>
    <col min="9231" max="9231" width="9" style="225"/>
    <col min="9232" max="9232" width="9.75" style="225" customWidth="1"/>
    <col min="9233" max="9234" width="9" style="225" customWidth="1"/>
    <col min="9235" max="9235" width="9" style="225"/>
    <col min="9236" max="9236" width="9.75" style="225" customWidth="1"/>
    <col min="9237" max="9244" width="9" style="225" customWidth="1"/>
    <col min="9245" max="9245" width="9.875" style="225" customWidth="1"/>
    <col min="9246" max="9246" width="11.75" style="225" customWidth="1"/>
    <col min="9247" max="9252" width="9" style="225" customWidth="1"/>
    <col min="9253" max="9253" width="9" style="225"/>
    <col min="9254" max="9254" width="9" style="225" customWidth="1"/>
    <col min="9255" max="9255" width="11" style="225" customWidth="1"/>
    <col min="9256" max="9258" width="9" style="225" customWidth="1"/>
    <col min="9259" max="9259" width="9" style="225"/>
    <col min="9260" max="9260" width="10.25" style="225" customWidth="1"/>
    <col min="9261" max="9267" width="9" style="225" customWidth="1"/>
    <col min="9268" max="9269" width="9" style="225"/>
    <col min="9270" max="9270" width="11.25" style="225" customWidth="1"/>
    <col min="9271" max="9472" width="9" style="225"/>
    <col min="9473" max="9473" width="6.25" style="225" customWidth="1"/>
    <col min="9474" max="9474" width="21.25" style="225" customWidth="1"/>
    <col min="9475" max="9475" width="4.5" style="225" customWidth="1"/>
    <col min="9476" max="9476" width="9" style="225"/>
    <col min="9477" max="9477" width="10.75" style="225" customWidth="1"/>
    <col min="9478" max="9481" width="9" style="225" customWidth="1"/>
    <col min="9482" max="9482" width="10.375" style="225" customWidth="1"/>
    <col min="9483" max="9483" width="11" style="225" customWidth="1"/>
    <col min="9484" max="9486" width="9" style="225" customWidth="1"/>
    <col min="9487" max="9487" width="9" style="225"/>
    <col min="9488" max="9488" width="9.75" style="225" customWidth="1"/>
    <col min="9489" max="9490" width="9" style="225" customWidth="1"/>
    <col min="9491" max="9491" width="9" style="225"/>
    <col min="9492" max="9492" width="9.75" style="225" customWidth="1"/>
    <col min="9493" max="9500" width="9" style="225" customWidth="1"/>
    <col min="9501" max="9501" width="9.875" style="225" customWidth="1"/>
    <col min="9502" max="9502" width="11.75" style="225" customWidth="1"/>
    <col min="9503" max="9508" width="9" style="225" customWidth="1"/>
    <col min="9509" max="9509" width="9" style="225"/>
    <col min="9510" max="9510" width="9" style="225" customWidth="1"/>
    <col min="9511" max="9511" width="11" style="225" customWidth="1"/>
    <col min="9512" max="9514" width="9" style="225" customWidth="1"/>
    <col min="9515" max="9515" width="9" style="225"/>
    <col min="9516" max="9516" width="10.25" style="225" customWidth="1"/>
    <col min="9517" max="9523" width="9" style="225" customWidth="1"/>
    <col min="9524" max="9525" width="9" style="225"/>
    <col min="9526" max="9526" width="11.25" style="225" customWidth="1"/>
    <col min="9527" max="9728" width="9" style="225"/>
    <col min="9729" max="9729" width="6.25" style="225" customWidth="1"/>
    <col min="9730" max="9730" width="21.25" style="225" customWidth="1"/>
    <col min="9731" max="9731" width="4.5" style="225" customWidth="1"/>
    <col min="9732" max="9732" width="9" style="225"/>
    <col min="9733" max="9733" width="10.75" style="225" customWidth="1"/>
    <col min="9734" max="9737" width="9" style="225" customWidth="1"/>
    <col min="9738" max="9738" width="10.375" style="225" customWidth="1"/>
    <col min="9739" max="9739" width="11" style="225" customWidth="1"/>
    <col min="9740" max="9742" width="9" style="225" customWidth="1"/>
    <col min="9743" max="9743" width="9" style="225"/>
    <col min="9744" max="9744" width="9.75" style="225" customWidth="1"/>
    <col min="9745" max="9746" width="9" style="225" customWidth="1"/>
    <col min="9747" max="9747" width="9" style="225"/>
    <col min="9748" max="9748" width="9.75" style="225" customWidth="1"/>
    <col min="9749" max="9756" width="9" style="225" customWidth="1"/>
    <col min="9757" max="9757" width="9.875" style="225" customWidth="1"/>
    <col min="9758" max="9758" width="11.75" style="225" customWidth="1"/>
    <col min="9759" max="9764" width="9" style="225" customWidth="1"/>
    <col min="9765" max="9765" width="9" style="225"/>
    <col min="9766" max="9766" width="9" style="225" customWidth="1"/>
    <col min="9767" max="9767" width="11" style="225" customWidth="1"/>
    <col min="9768" max="9770" width="9" style="225" customWidth="1"/>
    <col min="9771" max="9771" width="9" style="225"/>
    <col min="9772" max="9772" width="10.25" style="225" customWidth="1"/>
    <col min="9773" max="9779" width="9" style="225" customWidth="1"/>
    <col min="9780" max="9781" width="9" style="225"/>
    <col min="9782" max="9782" width="11.25" style="225" customWidth="1"/>
    <col min="9783" max="9984" width="9" style="225"/>
    <col min="9985" max="9985" width="6.25" style="225" customWidth="1"/>
    <col min="9986" max="9986" width="21.25" style="225" customWidth="1"/>
    <col min="9987" max="9987" width="4.5" style="225" customWidth="1"/>
    <col min="9988" max="9988" width="9" style="225"/>
    <col min="9989" max="9989" width="10.75" style="225" customWidth="1"/>
    <col min="9990" max="9993" width="9" style="225" customWidth="1"/>
    <col min="9994" max="9994" width="10.375" style="225" customWidth="1"/>
    <col min="9995" max="9995" width="11" style="225" customWidth="1"/>
    <col min="9996" max="9998" width="9" style="225" customWidth="1"/>
    <col min="9999" max="9999" width="9" style="225"/>
    <col min="10000" max="10000" width="9.75" style="225" customWidth="1"/>
    <col min="10001" max="10002" width="9" style="225" customWidth="1"/>
    <col min="10003" max="10003" width="9" style="225"/>
    <col min="10004" max="10004" width="9.75" style="225" customWidth="1"/>
    <col min="10005" max="10012" width="9" style="225" customWidth="1"/>
    <col min="10013" max="10013" width="9.875" style="225" customWidth="1"/>
    <col min="10014" max="10014" width="11.75" style="225" customWidth="1"/>
    <col min="10015" max="10020" width="9" style="225" customWidth="1"/>
    <col min="10021" max="10021" width="9" style="225"/>
    <col min="10022" max="10022" width="9" style="225" customWidth="1"/>
    <col min="10023" max="10023" width="11" style="225" customWidth="1"/>
    <col min="10024" max="10026" width="9" style="225" customWidth="1"/>
    <col min="10027" max="10027" width="9" style="225"/>
    <col min="10028" max="10028" width="10.25" style="225" customWidth="1"/>
    <col min="10029" max="10035" width="9" style="225" customWidth="1"/>
    <col min="10036" max="10037" width="9" style="225"/>
    <col min="10038" max="10038" width="11.25" style="225" customWidth="1"/>
    <col min="10039" max="10240" width="9" style="225"/>
    <col min="10241" max="10241" width="6.25" style="225" customWidth="1"/>
    <col min="10242" max="10242" width="21.25" style="225" customWidth="1"/>
    <col min="10243" max="10243" width="4.5" style="225" customWidth="1"/>
    <col min="10244" max="10244" width="9" style="225"/>
    <col min="10245" max="10245" width="10.75" style="225" customWidth="1"/>
    <col min="10246" max="10249" width="9" style="225" customWidth="1"/>
    <col min="10250" max="10250" width="10.375" style="225" customWidth="1"/>
    <col min="10251" max="10251" width="11" style="225" customWidth="1"/>
    <col min="10252" max="10254" width="9" style="225" customWidth="1"/>
    <col min="10255" max="10255" width="9" style="225"/>
    <col min="10256" max="10256" width="9.75" style="225" customWidth="1"/>
    <col min="10257" max="10258" width="9" style="225" customWidth="1"/>
    <col min="10259" max="10259" width="9" style="225"/>
    <col min="10260" max="10260" width="9.75" style="225" customWidth="1"/>
    <col min="10261" max="10268" width="9" style="225" customWidth="1"/>
    <col min="10269" max="10269" width="9.875" style="225" customWidth="1"/>
    <col min="10270" max="10270" width="11.75" style="225" customWidth="1"/>
    <col min="10271" max="10276" width="9" style="225" customWidth="1"/>
    <col min="10277" max="10277" width="9" style="225"/>
    <col min="10278" max="10278" width="9" style="225" customWidth="1"/>
    <col min="10279" max="10279" width="11" style="225" customWidth="1"/>
    <col min="10280" max="10282" width="9" style="225" customWidth="1"/>
    <col min="10283" max="10283" width="9" style="225"/>
    <col min="10284" max="10284" width="10.25" style="225" customWidth="1"/>
    <col min="10285" max="10291" width="9" style="225" customWidth="1"/>
    <col min="10292" max="10293" width="9" style="225"/>
    <col min="10294" max="10294" width="11.25" style="225" customWidth="1"/>
    <col min="10295" max="10496" width="9" style="225"/>
    <col min="10497" max="10497" width="6.25" style="225" customWidth="1"/>
    <col min="10498" max="10498" width="21.25" style="225" customWidth="1"/>
    <col min="10499" max="10499" width="4.5" style="225" customWidth="1"/>
    <col min="10500" max="10500" width="9" style="225"/>
    <col min="10501" max="10501" width="10.75" style="225" customWidth="1"/>
    <col min="10502" max="10505" width="9" style="225" customWidth="1"/>
    <col min="10506" max="10506" width="10.375" style="225" customWidth="1"/>
    <col min="10507" max="10507" width="11" style="225" customWidth="1"/>
    <col min="10508" max="10510" width="9" style="225" customWidth="1"/>
    <col min="10511" max="10511" width="9" style="225"/>
    <col min="10512" max="10512" width="9.75" style="225" customWidth="1"/>
    <col min="10513" max="10514" width="9" style="225" customWidth="1"/>
    <col min="10515" max="10515" width="9" style="225"/>
    <col min="10516" max="10516" width="9.75" style="225" customWidth="1"/>
    <col min="10517" max="10524" width="9" style="225" customWidth="1"/>
    <col min="10525" max="10525" width="9.875" style="225" customWidth="1"/>
    <col min="10526" max="10526" width="11.75" style="225" customWidth="1"/>
    <col min="10527" max="10532" width="9" style="225" customWidth="1"/>
    <col min="10533" max="10533" width="9" style="225"/>
    <col min="10534" max="10534" width="9" style="225" customWidth="1"/>
    <col min="10535" max="10535" width="11" style="225" customWidth="1"/>
    <col min="10536" max="10538" width="9" style="225" customWidth="1"/>
    <col min="10539" max="10539" width="9" style="225"/>
    <col min="10540" max="10540" width="10.25" style="225" customWidth="1"/>
    <col min="10541" max="10547" width="9" style="225" customWidth="1"/>
    <col min="10548" max="10549" width="9" style="225"/>
    <col min="10550" max="10550" width="11.25" style="225" customWidth="1"/>
    <col min="10551" max="10752" width="9" style="225"/>
    <col min="10753" max="10753" width="6.25" style="225" customWidth="1"/>
    <col min="10754" max="10754" width="21.25" style="225" customWidth="1"/>
    <col min="10755" max="10755" width="4.5" style="225" customWidth="1"/>
    <col min="10756" max="10756" width="9" style="225"/>
    <col min="10757" max="10757" width="10.75" style="225" customWidth="1"/>
    <col min="10758" max="10761" width="9" style="225" customWidth="1"/>
    <col min="10762" max="10762" width="10.375" style="225" customWidth="1"/>
    <col min="10763" max="10763" width="11" style="225" customWidth="1"/>
    <col min="10764" max="10766" width="9" style="225" customWidth="1"/>
    <col min="10767" max="10767" width="9" style="225"/>
    <col min="10768" max="10768" width="9.75" style="225" customWidth="1"/>
    <col min="10769" max="10770" width="9" style="225" customWidth="1"/>
    <col min="10771" max="10771" width="9" style="225"/>
    <col min="10772" max="10772" width="9.75" style="225" customWidth="1"/>
    <col min="10773" max="10780" width="9" style="225" customWidth="1"/>
    <col min="10781" max="10781" width="9.875" style="225" customWidth="1"/>
    <col min="10782" max="10782" width="11.75" style="225" customWidth="1"/>
    <col min="10783" max="10788" width="9" style="225" customWidth="1"/>
    <col min="10789" max="10789" width="9" style="225"/>
    <col min="10790" max="10790" width="9" style="225" customWidth="1"/>
    <col min="10791" max="10791" width="11" style="225" customWidth="1"/>
    <col min="10792" max="10794" width="9" style="225" customWidth="1"/>
    <col min="10795" max="10795" width="9" style="225"/>
    <col min="10796" max="10796" width="10.25" style="225" customWidth="1"/>
    <col min="10797" max="10803" width="9" style="225" customWidth="1"/>
    <col min="10804" max="10805" width="9" style="225"/>
    <col min="10806" max="10806" width="11.25" style="225" customWidth="1"/>
    <col min="10807" max="11008" width="9" style="225"/>
    <col min="11009" max="11009" width="6.25" style="225" customWidth="1"/>
    <col min="11010" max="11010" width="21.25" style="225" customWidth="1"/>
    <col min="11011" max="11011" width="4.5" style="225" customWidth="1"/>
    <col min="11012" max="11012" width="9" style="225"/>
    <col min="11013" max="11013" width="10.75" style="225" customWidth="1"/>
    <col min="11014" max="11017" width="9" style="225" customWidth="1"/>
    <col min="11018" max="11018" width="10.375" style="225" customWidth="1"/>
    <col min="11019" max="11019" width="11" style="225" customWidth="1"/>
    <col min="11020" max="11022" width="9" style="225" customWidth="1"/>
    <col min="11023" max="11023" width="9" style="225"/>
    <col min="11024" max="11024" width="9.75" style="225" customWidth="1"/>
    <col min="11025" max="11026" width="9" style="225" customWidth="1"/>
    <col min="11027" max="11027" width="9" style="225"/>
    <col min="11028" max="11028" width="9.75" style="225" customWidth="1"/>
    <col min="11029" max="11036" width="9" style="225" customWidth="1"/>
    <col min="11037" max="11037" width="9.875" style="225" customWidth="1"/>
    <col min="11038" max="11038" width="11.75" style="225" customWidth="1"/>
    <col min="11039" max="11044" width="9" style="225" customWidth="1"/>
    <col min="11045" max="11045" width="9" style="225"/>
    <col min="11046" max="11046" width="9" style="225" customWidth="1"/>
    <col min="11047" max="11047" width="11" style="225" customWidth="1"/>
    <col min="11048" max="11050" width="9" style="225" customWidth="1"/>
    <col min="11051" max="11051" width="9" style="225"/>
    <col min="11052" max="11052" width="10.25" style="225" customWidth="1"/>
    <col min="11053" max="11059" width="9" style="225" customWidth="1"/>
    <col min="11060" max="11061" width="9" style="225"/>
    <col min="11062" max="11062" width="11.25" style="225" customWidth="1"/>
    <col min="11063" max="11264" width="9" style="225"/>
    <col min="11265" max="11265" width="6.25" style="225" customWidth="1"/>
    <col min="11266" max="11266" width="21.25" style="225" customWidth="1"/>
    <col min="11267" max="11267" width="4.5" style="225" customWidth="1"/>
    <col min="11268" max="11268" width="9" style="225"/>
    <col min="11269" max="11269" width="10.75" style="225" customWidth="1"/>
    <col min="11270" max="11273" width="9" style="225" customWidth="1"/>
    <col min="11274" max="11274" width="10.375" style="225" customWidth="1"/>
    <col min="11275" max="11275" width="11" style="225" customWidth="1"/>
    <col min="11276" max="11278" width="9" style="225" customWidth="1"/>
    <col min="11279" max="11279" width="9" style="225"/>
    <col min="11280" max="11280" width="9.75" style="225" customWidth="1"/>
    <col min="11281" max="11282" width="9" style="225" customWidth="1"/>
    <col min="11283" max="11283" width="9" style="225"/>
    <col min="11284" max="11284" width="9.75" style="225" customWidth="1"/>
    <col min="11285" max="11292" width="9" style="225" customWidth="1"/>
    <col min="11293" max="11293" width="9.875" style="225" customWidth="1"/>
    <col min="11294" max="11294" width="11.75" style="225" customWidth="1"/>
    <col min="11295" max="11300" width="9" style="225" customWidth="1"/>
    <col min="11301" max="11301" width="9" style="225"/>
    <col min="11302" max="11302" width="9" style="225" customWidth="1"/>
    <col min="11303" max="11303" width="11" style="225" customWidth="1"/>
    <col min="11304" max="11306" width="9" style="225" customWidth="1"/>
    <col min="11307" max="11307" width="9" style="225"/>
    <col min="11308" max="11308" width="10.25" style="225" customWidth="1"/>
    <col min="11309" max="11315" width="9" style="225" customWidth="1"/>
    <col min="11316" max="11317" width="9" style="225"/>
    <col min="11318" max="11318" width="11.25" style="225" customWidth="1"/>
    <col min="11319" max="11520" width="9" style="225"/>
    <col min="11521" max="11521" width="6.25" style="225" customWidth="1"/>
    <col min="11522" max="11522" width="21.25" style="225" customWidth="1"/>
    <col min="11523" max="11523" width="4.5" style="225" customWidth="1"/>
    <col min="11524" max="11524" width="9" style="225"/>
    <col min="11525" max="11525" width="10.75" style="225" customWidth="1"/>
    <col min="11526" max="11529" width="9" style="225" customWidth="1"/>
    <col min="11530" max="11530" width="10.375" style="225" customWidth="1"/>
    <col min="11531" max="11531" width="11" style="225" customWidth="1"/>
    <col min="11532" max="11534" width="9" style="225" customWidth="1"/>
    <col min="11535" max="11535" width="9" style="225"/>
    <col min="11536" max="11536" width="9.75" style="225" customWidth="1"/>
    <col min="11537" max="11538" width="9" style="225" customWidth="1"/>
    <col min="11539" max="11539" width="9" style="225"/>
    <col min="11540" max="11540" width="9.75" style="225" customWidth="1"/>
    <col min="11541" max="11548" width="9" style="225" customWidth="1"/>
    <col min="11549" max="11549" width="9.875" style="225" customWidth="1"/>
    <col min="11550" max="11550" width="11.75" style="225" customWidth="1"/>
    <col min="11551" max="11556" width="9" style="225" customWidth="1"/>
    <col min="11557" max="11557" width="9" style="225"/>
    <col min="11558" max="11558" width="9" style="225" customWidth="1"/>
    <col min="11559" max="11559" width="11" style="225" customWidth="1"/>
    <col min="11560" max="11562" width="9" style="225" customWidth="1"/>
    <col min="11563" max="11563" width="9" style="225"/>
    <col min="11564" max="11564" width="10.25" style="225" customWidth="1"/>
    <col min="11565" max="11571" width="9" style="225" customWidth="1"/>
    <col min="11572" max="11573" width="9" style="225"/>
    <col min="11574" max="11574" width="11.25" style="225" customWidth="1"/>
    <col min="11575" max="11776" width="9" style="225"/>
    <col min="11777" max="11777" width="6.25" style="225" customWidth="1"/>
    <col min="11778" max="11778" width="21.25" style="225" customWidth="1"/>
    <col min="11779" max="11779" width="4.5" style="225" customWidth="1"/>
    <col min="11780" max="11780" width="9" style="225"/>
    <col min="11781" max="11781" width="10.75" style="225" customWidth="1"/>
    <col min="11782" max="11785" width="9" style="225" customWidth="1"/>
    <col min="11786" max="11786" width="10.375" style="225" customWidth="1"/>
    <col min="11787" max="11787" width="11" style="225" customWidth="1"/>
    <col min="11788" max="11790" width="9" style="225" customWidth="1"/>
    <col min="11791" max="11791" width="9" style="225"/>
    <col min="11792" max="11792" width="9.75" style="225" customWidth="1"/>
    <col min="11793" max="11794" width="9" style="225" customWidth="1"/>
    <col min="11795" max="11795" width="9" style="225"/>
    <col min="11796" max="11796" width="9.75" style="225" customWidth="1"/>
    <col min="11797" max="11804" width="9" style="225" customWidth="1"/>
    <col min="11805" max="11805" width="9.875" style="225" customWidth="1"/>
    <col min="11806" max="11806" width="11.75" style="225" customWidth="1"/>
    <col min="11807" max="11812" width="9" style="225" customWidth="1"/>
    <col min="11813" max="11813" width="9" style="225"/>
    <col min="11814" max="11814" width="9" style="225" customWidth="1"/>
    <col min="11815" max="11815" width="11" style="225" customWidth="1"/>
    <col min="11816" max="11818" width="9" style="225" customWidth="1"/>
    <col min="11819" max="11819" width="9" style="225"/>
    <col min="11820" max="11820" width="10.25" style="225" customWidth="1"/>
    <col min="11821" max="11827" width="9" style="225" customWidth="1"/>
    <col min="11828" max="11829" width="9" style="225"/>
    <col min="11830" max="11830" width="11.25" style="225" customWidth="1"/>
    <col min="11831" max="12032" width="9" style="225"/>
    <col min="12033" max="12033" width="6.25" style="225" customWidth="1"/>
    <col min="12034" max="12034" width="21.25" style="225" customWidth="1"/>
    <col min="12035" max="12035" width="4.5" style="225" customWidth="1"/>
    <col min="12036" max="12036" width="9" style="225"/>
    <col min="12037" max="12037" width="10.75" style="225" customWidth="1"/>
    <col min="12038" max="12041" width="9" style="225" customWidth="1"/>
    <col min="12042" max="12042" width="10.375" style="225" customWidth="1"/>
    <col min="12043" max="12043" width="11" style="225" customWidth="1"/>
    <col min="12044" max="12046" width="9" style="225" customWidth="1"/>
    <col min="12047" max="12047" width="9" style="225"/>
    <col min="12048" max="12048" width="9.75" style="225" customWidth="1"/>
    <col min="12049" max="12050" width="9" style="225" customWidth="1"/>
    <col min="12051" max="12051" width="9" style="225"/>
    <col min="12052" max="12052" width="9.75" style="225" customWidth="1"/>
    <col min="12053" max="12060" width="9" style="225" customWidth="1"/>
    <col min="12061" max="12061" width="9.875" style="225" customWidth="1"/>
    <col min="12062" max="12062" width="11.75" style="225" customWidth="1"/>
    <col min="12063" max="12068" width="9" style="225" customWidth="1"/>
    <col min="12069" max="12069" width="9" style="225"/>
    <col min="12070" max="12070" width="9" style="225" customWidth="1"/>
    <col min="12071" max="12071" width="11" style="225" customWidth="1"/>
    <col min="12072" max="12074" width="9" style="225" customWidth="1"/>
    <col min="12075" max="12075" width="9" style="225"/>
    <col min="12076" max="12076" width="10.25" style="225" customWidth="1"/>
    <col min="12077" max="12083" width="9" style="225" customWidth="1"/>
    <col min="12084" max="12085" width="9" style="225"/>
    <col min="12086" max="12086" width="11.25" style="225" customWidth="1"/>
    <col min="12087" max="12288" width="9" style="225"/>
    <col min="12289" max="12289" width="6.25" style="225" customWidth="1"/>
    <col min="12290" max="12290" width="21.25" style="225" customWidth="1"/>
    <col min="12291" max="12291" width="4.5" style="225" customWidth="1"/>
    <col min="12292" max="12292" width="9" style="225"/>
    <col min="12293" max="12293" width="10.75" style="225" customWidth="1"/>
    <col min="12294" max="12297" width="9" style="225" customWidth="1"/>
    <col min="12298" max="12298" width="10.375" style="225" customWidth="1"/>
    <col min="12299" max="12299" width="11" style="225" customWidth="1"/>
    <col min="12300" max="12302" width="9" style="225" customWidth="1"/>
    <col min="12303" max="12303" width="9" style="225"/>
    <col min="12304" max="12304" width="9.75" style="225" customWidth="1"/>
    <col min="12305" max="12306" width="9" style="225" customWidth="1"/>
    <col min="12307" max="12307" width="9" style="225"/>
    <col min="12308" max="12308" width="9.75" style="225" customWidth="1"/>
    <col min="12309" max="12316" width="9" style="225" customWidth="1"/>
    <col min="12317" max="12317" width="9.875" style="225" customWidth="1"/>
    <col min="12318" max="12318" width="11.75" style="225" customWidth="1"/>
    <col min="12319" max="12324" width="9" style="225" customWidth="1"/>
    <col min="12325" max="12325" width="9" style="225"/>
    <col min="12326" max="12326" width="9" style="225" customWidth="1"/>
    <col min="12327" max="12327" width="11" style="225" customWidth="1"/>
    <col min="12328" max="12330" width="9" style="225" customWidth="1"/>
    <col min="12331" max="12331" width="9" style="225"/>
    <col min="12332" max="12332" width="10.25" style="225" customWidth="1"/>
    <col min="12333" max="12339" width="9" style="225" customWidth="1"/>
    <col min="12340" max="12341" width="9" style="225"/>
    <col min="12342" max="12342" width="11.25" style="225" customWidth="1"/>
    <col min="12343" max="12544" width="9" style="225"/>
    <col min="12545" max="12545" width="6.25" style="225" customWidth="1"/>
    <col min="12546" max="12546" width="21.25" style="225" customWidth="1"/>
    <col min="12547" max="12547" width="4.5" style="225" customWidth="1"/>
    <col min="12548" max="12548" width="9" style="225"/>
    <col min="12549" max="12549" width="10.75" style="225" customWidth="1"/>
    <col min="12550" max="12553" width="9" style="225" customWidth="1"/>
    <col min="12554" max="12554" width="10.375" style="225" customWidth="1"/>
    <col min="12555" max="12555" width="11" style="225" customWidth="1"/>
    <col min="12556" max="12558" width="9" style="225" customWidth="1"/>
    <col min="12559" max="12559" width="9" style="225"/>
    <col min="12560" max="12560" width="9.75" style="225" customWidth="1"/>
    <col min="12561" max="12562" width="9" style="225" customWidth="1"/>
    <col min="12563" max="12563" width="9" style="225"/>
    <col min="12564" max="12564" width="9.75" style="225" customWidth="1"/>
    <col min="12565" max="12572" width="9" style="225" customWidth="1"/>
    <col min="12573" max="12573" width="9.875" style="225" customWidth="1"/>
    <col min="12574" max="12574" width="11.75" style="225" customWidth="1"/>
    <col min="12575" max="12580" width="9" style="225" customWidth="1"/>
    <col min="12581" max="12581" width="9" style="225"/>
    <col min="12582" max="12582" width="9" style="225" customWidth="1"/>
    <col min="12583" max="12583" width="11" style="225" customWidth="1"/>
    <col min="12584" max="12586" width="9" style="225" customWidth="1"/>
    <col min="12587" max="12587" width="9" style="225"/>
    <col min="12588" max="12588" width="10.25" style="225" customWidth="1"/>
    <col min="12589" max="12595" width="9" style="225" customWidth="1"/>
    <col min="12596" max="12597" width="9" style="225"/>
    <col min="12598" max="12598" width="11.25" style="225" customWidth="1"/>
    <col min="12599" max="12800" width="9" style="225"/>
    <col min="12801" max="12801" width="6.25" style="225" customWidth="1"/>
    <col min="12802" max="12802" width="21.25" style="225" customWidth="1"/>
    <col min="12803" max="12803" width="4.5" style="225" customWidth="1"/>
    <col min="12804" max="12804" width="9" style="225"/>
    <col min="12805" max="12805" width="10.75" style="225" customWidth="1"/>
    <col min="12806" max="12809" width="9" style="225" customWidth="1"/>
    <col min="12810" max="12810" width="10.375" style="225" customWidth="1"/>
    <col min="12811" max="12811" width="11" style="225" customWidth="1"/>
    <col min="12812" max="12814" width="9" style="225" customWidth="1"/>
    <col min="12815" max="12815" width="9" style="225"/>
    <col min="12816" max="12816" width="9.75" style="225" customWidth="1"/>
    <col min="12817" max="12818" width="9" style="225" customWidth="1"/>
    <col min="12819" max="12819" width="9" style="225"/>
    <col min="12820" max="12820" width="9.75" style="225" customWidth="1"/>
    <col min="12821" max="12828" width="9" style="225" customWidth="1"/>
    <col min="12829" max="12829" width="9.875" style="225" customWidth="1"/>
    <col min="12830" max="12830" width="11.75" style="225" customWidth="1"/>
    <col min="12831" max="12836" width="9" style="225" customWidth="1"/>
    <col min="12837" max="12837" width="9" style="225"/>
    <col min="12838" max="12838" width="9" style="225" customWidth="1"/>
    <col min="12839" max="12839" width="11" style="225" customWidth="1"/>
    <col min="12840" max="12842" width="9" style="225" customWidth="1"/>
    <col min="12843" max="12843" width="9" style="225"/>
    <col min="12844" max="12844" width="10.25" style="225" customWidth="1"/>
    <col min="12845" max="12851" width="9" style="225" customWidth="1"/>
    <col min="12852" max="12853" width="9" style="225"/>
    <col min="12854" max="12854" width="11.25" style="225" customWidth="1"/>
    <col min="12855" max="13056" width="9" style="225"/>
    <col min="13057" max="13057" width="6.25" style="225" customWidth="1"/>
    <col min="13058" max="13058" width="21.25" style="225" customWidth="1"/>
    <col min="13059" max="13059" width="4.5" style="225" customWidth="1"/>
    <col min="13060" max="13060" width="9" style="225"/>
    <col min="13061" max="13061" width="10.75" style="225" customWidth="1"/>
    <col min="13062" max="13065" width="9" style="225" customWidth="1"/>
    <col min="13066" max="13066" width="10.375" style="225" customWidth="1"/>
    <col min="13067" max="13067" width="11" style="225" customWidth="1"/>
    <col min="13068" max="13070" width="9" style="225" customWidth="1"/>
    <col min="13071" max="13071" width="9" style="225"/>
    <col min="13072" max="13072" width="9.75" style="225" customWidth="1"/>
    <col min="13073" max="13074" width="9" style="225" customWidth="1"/>
    <col min="13075" max="13075" width="9" style="225"/>
    <col min="13076" max="13076" width="9.75" style="225" customWidth="1"/>
    <col min="13077" max="13084" width="9" style="225" customWidth="1"/>
    <col min="13085" max="13085" width="9.875" style="225" customWidth="1"/>
    <col min="13086" max="13086" width="11.75" style="225" customWidth="1"/>
    <col min="13087" max="13092" width="9" style="225" customWidth="1"/>
    <col min="13093" max="13093" width="9" style="225"/>
    <col min="13094" max="13094" width="9" style="225" customWidth="1"/>
    <col min="13095" max="13095" width="11" style="225" customWidth="1"/>
    <col min="13096" max="13098" width="9" style="225" customWidth="1"/>
    <col min="13099" max="13099" width="9" style="225"/>
    <col min="13100" max="13100" width="10.25" style="225" customWidth="1"/>
    <col min="13101" max="13107" width="9" style="225" customWidth="1"/>
    <col min="13108" max="13109" width="9" style="225"/>
    <col min="13110" max="13110" width="11.25" style="225" customWidth="1"/>
    <col min="13111" max="13312" width="9" style="225"/>
    <col min="13313" max="13313" width="6.25" style="225" customWidth="1"/>
    <col min="13314" max="13314" width="21.25" style="225" customWidth="1"/>
    <col min="13315" max="13315" width="4.5" style="225" customWidth="1"/>
    <col min="13316" max="13316" width="9" style="225"/>
    <col min="13317" max="13317" width="10.75" style="225" customWidth="1"/>
    <col min="13318" max="13321" width="9" style="225" customWidth="1"/>
    <col min="13322" max="13322" width="10.375" style="225" customWidth="1"/>
    <col min="13323" max="13323" width="11" style="225" customWidth="1"/>
    <col min="13324" max="13326" width="9" style="225" customWidth="1"/>
    <col min="13327" max="13327" width="9" style="225"/>
    <col min="13328" max="13328" width="9.75" style="225" customWidth="1"/>
    <col min="13329" max="13330" width="9" style="225" customWidth="1"/>
    <col min="13331" max="13331" width="9" style="225"/>
    <col min="13332" max="13332" width="9.75" style="225" customWidth="1"/>
    <col min="13333" max="13340" width="9" style="225" customWidth="1"/>
    <col min="13341" max="13341" width="9.875" style="225" customWidth="1"/>
    <col min="13342" max="13342" width="11.75" style="225" customWidth="1"/>
    <col min="13343" max="13348" width="9" style="225" customWidth="1"/>
    <col min="13349" max="13349" width="9" style="225"/>
    <col min="13350" max="13350" width="9" style="225" customWidth="1"/>
    <col min="13351" max="13351" width="11" style="225" customWidth="1"/>
    <col min="13352" max="13354" width="9" style="225" customWidth="1"/>
    <col min="13355" max="13355" width="9" style="225"/>
    <col min="13356" max="13356" width="10.25" style="225" customWidth="1"/>
    <col min="13357" max="13363" width="9" style="225" customWidth="1"/>
    <col min="13364" max="13365" width="9" style="225"/>
    <col min="13366" max="13366" width="11.25" style="225" customWidth="1"/>
    <col min="13367" max="13568" width="9" style="225"/>
    <col min="13569" max="13569" width="6.25" style="225" customWidth="1"/>
    <col min="13570" max="13570" width="21.25" style="225" customWidth="1"/>
    <col min="13571" max="13571" width="4.5" style="225" customWidth="1"/>
    <col min="13572" max="13572" width="9" style="225"/>
    <col min="13573" max="13573" width="10.75" style="225" customWidth="1"/>
    <col min="13574" max="13577" width="9" style="225" customWidth="1"/>
    <col min="13578" max="13578" width="10.375" style="225" customWidth="1"/>
    <col min="13579" max="13579" width="11" style="225" customWidth="1"/>
    <col min="13580" max="13582" width="9" style="225" customWidth="1"/>
    <col min="13583" max="13583" width="9" style="225"/>
    <col min="13584" max="13584" width="9.75" style="225" customWidth="1"/>
    <col min="13585" max="13586" width="9" style="225" customWidth="1"/>
    <col min="13587" max="13587" width="9" style="225"/>
    <col min="13588" max="13588" width="9.75" style="225" customWidth="1"/>
    <col min="13589" max="13596" width="9" style="225" customWidth="1"/>
    <col min="13597" max="13597" width="9.875" style="225" customWidth="1"/>
    <col min="13598" max="13598" width="11.75" style="225" customWidth="1"/>
    <col min="13599" max="13604" width="9" style="225" customWidth="1"/>
    <col min="13605" max="13605" width="9" style="225"/>
    <col min="13606" max="13606" width="9" style="225" customWidth="1"/>
    <col min="13607" max="13607" width="11" style="225" customWidth="1"/>
    <col min="13608" max="13610" width="9" style="225" customWidth="1"/>
    <col min="13611" max="13611" width="9" style="225"/>
    <col min="13612" max="13612" width="10.25" style="225" customWidth="1"/>
    <col min="13613" max="13619" width="9" style="225" customWidth="1"/>
    <col min="13620" max="13621" width="9" style="225"/>
    <col min="13622" max="13622" width="11.25" style="225" customWidth="1"/>
    <col min="13623" max="13824" width="9" style="225"/>
    <col min="13825" max="13825" width="6.25" style="225" customWidth="1"/>
    <col min="13826" max="13826" width="21.25" style="225" customWidth="1"/>
    <col min="13827" max="13827" width="4.5" style="225" customWidth="1"/>
    <col min="13828" max="13828" width="9" style="225"/>
    <col min="13829" max="13829" width="10.75" style="225" customWidth="1"/>
    <col min="13830" max="13833" width="9" style="225" customWidth="1"/>
    <col min="13834" max="13834" width="10.375" style="225" customWidth="1"/>
    <col min="13835" max="13835" width="11" style="225" customWidth="1"/>
    <col min="13836" max="13838" width="9" style="225" customWidth="1"/>
    <col min="13839" max="13839" width="9" style="225"/>
    <col min="13840" max="13840" width="9.75" style="225" customWidth="1"/>
    <col min="13841" max="13842" width="9" style="225" customWidth="1"/>
    <col min="13843" max="13843" width="9" style="225"/>
    <col min="13844" max="13844" width="9.75" style="225" customWidth="1"/>
    <col min="13845" max="13852" width="9" style="225" customWidth="1"/>
    <col min="13853" max="13853" width="9.875" style="225" customWidth="1"/>
    <col min="13854" max="13854" width="11.75" style="225" customWidth="1"/>
    <col min="13855" max="13860" width="9" style="225" customWidth="1"/>
    <col min="13861" max="13861" width="9" style="225"/>
    <col min="13862" max="13862" width="9" style="225" customWidth="1"/>
    <col min="13863" max="13863" width="11" style="225" customWidth="1"/>
    <col min="13864" max="13866" width="9" style="225" customWidth="1"/>
    <col min="13867" max="13867" width="9" style="225"/>
    <col min="13868" max="13868" width="10.25" style="225" customWidth="1"/>
    <col min="13869" max="13875" width="9" style="225" customWidth="1"/>
    <col min="13876" max="13877" width="9" style="225"/>
    <col min="13878" max="13878" width="11.25" style="225" customWidth="1"/>
    <col min="13879" max="14080" width="9" style="225"/>
    <col min="14081" max="14081" width="6.25" style="225" customWidth="1"/>
    <col min="14082" max="14082" width="21.25" style="225" customWidth="1"/>
    <col min="14083" max="14083" width="4.5" style="225" customWidth="1"/>
    <col min="14084" max="14084" width="9" style="225"/>
    <col min="14085" max="14085" width="10.75" style="225" customWidth="1"/>
    <col min="14086" max="14089" width="9" style="225" customWidth="1"/>
    <col min="14090" max="14090" width="10.375" style="225" customWidth="1"/>
    <col min="14091" max="14091" width="11" style="225" customWidth="1"/>
    <col min="14092" max="14094" width="9" style="225" customWidth="1"/>
    <col min="14095" max="14095" width="9" style="225"/>
    <col min="14096" max="14096" width="9.75" style="225" customWidth="1"/>
    <col min="14097" max="14098" width="9" style="225" customWidth="1"/>
    <col min="14099" max="14099" width="9" style="225"/>
    <col min="14100" max="14100" width="9.75" style="225" customWidth="1"/>
    <col min="14101" max="14108" width="9" style="225" customWidth="1"/>
    <col min="14109" max="14109" width="9.875" style="225" customWidth="1"/>
    <col min="14110" max="14110" width="11.75" style="225" customWidth="1"/>
    <col min="14111" max="14116" width="9" style="225" customWidth="1"/>
    <col min="14117" max="14117" width="9" style="225"/>
    <col min="14118" max="14118" width="9" style="225" customWidth="1"/>
    <col min="14119" max="14119" width="11" style="225" customWidth="1"/>
    <col min="14120" max="14122" width="9" style="225" customWidth="1"/>
    <col min="14123" max="14123" width="9" style="225"/>
    <col min="14124" max="14124" width="10.25" style="225" customWidth="1"/>
    <col min="14125" max="14131" width="9" style="225" customWidth="1"/>
    <col min="14132" max="14133" width="9" style="225"/>
    <col min="14134" max="14134" width="11.25" style="225" customWidth="1"/>
    <col min="14135" max="14336" width="9" style="225"/>
    <col min="14337" max="14337" width="6.25" style="225" customWidth="1"/>
    <col min="14338" max="14338" width="21.25" style="225" customWidth="1"/>
    <col min="14339" max="14339" width="4.5" style="225" customWidth="1"/>
    <col min="14340" max="14340" width="9" style="225"/>
    <col min="14341" max="14341" width="10.75" style="225" customWidth="1"/>
    <col min="14342" max="14345" width="9" style="225" customWidth="1"/>
    <col min="14346" max="14346" width="10.375" style="225" customWidth="1"/>
    <col min="14347" max="14347" width="11" style="225" customWidth="1"/>
    <col min="14348" max="14350" width="9" style="225" customWidth="1"/>
    <col min="14351" max="14351" width="9" style="225"/>
    <col min="14352" max="14352" width="9.75" style="225" customWidth="1"/>
    <col min="14353" max="14354" width="9" style="225" customWidth="1"/>
    <col min="14355" max="14355" width="9" style="225"/>
    <col min="14356" max="14356" width="9.75" style="225" customWidth="1"/>
    <col min="14357" max="14364" width="9" style="225" customWidth="1"/>
    <col min="14365" max="14365" width="9.875" style="225" customWidth="1"/>
    <col min="14366" max="14366" width="11.75" style="225" customWidth="1"/>
    <col min="14367" max="14372" width="9" style="225" customWidth="1"/>
    <col min="14373" max="14373" width="9" style="225"/>
    <col min="14374" max="14374" width="9" style="225" customWidth="1"/>
    <col min="14375" max="14375" width="11" style="225" customWidth="1"/>
    <col min="14376" max="14378" width="9" style="225" customWidth="1"/>
    <col min="14379" max="14379" width="9" style="225"/>
    <col min="14380" max="14380" width="10.25" style="225" customWidth="1"/>
    <col min="14381" max="14387" width="9" style="225" customWidth="1"/>
    <col min="14388" max="14389" width="9" style="225"/>
    <col min="14390" max="14390" width="11.25" style="225" customWidth="1"/>
    <col min="14391" max="14592" width="9" style="225"/>
    <col min="14593" max="14593" width="6.25" style="225" customWidth="1"/>
    <col min="14594" max="14594" width="21.25" style="225" customWidth="1"/>
    <col min="14595" max="14595" width="4.5" style="225" customWidth="1"/>
    <col min="14596" max="14596" width="9" style="225"/>
    <col min="14597" max="14597" width="10.75" style="225" customWidth="1"/>
    <col min="14598" max="14601" width="9" style="225" customWidth="1"/>
    <col min="14602" max="14602" width="10.375" style="225" customWidth="1"/>
    <col min="14603" max="14603" width="11" style="225" customWidth="1"/>
    <col min="14604" max="14606" width="9" style="225" customWidth="1"/>
    <col min="14607" max="14607" width="9" style="225"/>
    <col min="14608" max="14608" width="9.75" style="225" customWidth="1"/>
    <col min="14609" max="14610" width="9" style="225" customWidth="1"/>
    <col min="14611" max="14611" width="9" style="225"/>
    <col min="14612" max="14612" width="9.75" style="225" customWidth="1"/>
    <col min="14613" max="14620" width="9" style="225" customWidth="1"/>
    <col min="14621" max="14621" width="9.875" style="225" customWidth="1"/>
    <col min="14622" max="14622" width="11.75" style="225" customWidth="1"/>
    <col min="14623" max="14628" width="9" style="225" customWidth="1"/>
    <col min="14629" max="14629" width="9" style="225"/>
    <col min="14630" max="14630" width="9" style="225" customWidth="1"/>
    <col min="14631" max="14631" width="11" style="225" customWidth="1"/>
    <col min="14632" max="14634" width="9" style="225" customWidth="1"/>
    <col min="14635" max="14635" width="9" style="225"/>
    <col min="14636" max="14636" width="10.25" style="225" customWidth="1"/>
    <col min="14637" max="14643" width="9" style="225" customWidth="1"/>
    <col min="14644" max="14645" width="9" style="225"/>
    <col min="14646" max="14646" width="11.25" style="225" customWidth="1"/>
    <col min="14647" max="14848" width="9" style="225"/>
    <col min="14849" max="14849" width="6.25" style="225" customWidth="1"/>
    <col min="14850" max="14850" width="21.25" style="225" customWidth="1"/>
    <col min="14851" max="14851" width="4.5" style="225" customWidth="1"/>
    <col min="14852" max="14852" width="9" style="225"/>
    <col min="14853" max="14853" width="10.75" style="225" customWidth="1"/>
    <col min="14854" max="14857" width="9" style="225" customWidth="1"/>
    <col min="14858" max="14858" width="10.375" style="225" customWidth="1"/>
    <col min="14859" max="14859" width="11" style="225" customWidth="1"/>
    <col min="14860" max="14862" width="9" style="225" customWidth="1"/>
    <col min="14863" max="14863" width="9" style="225"/>
    <col min="14864" max="14864" width="9.75" style="225" customWidth="1"/>
    <col min="14865" max="14866" width="9" style="225" customWidth="1"/>
    <col min="14867" max="14867" width="9" style="225"/>
    <col min="14868" max="14868" width="9.75" style="225" customWidth="1"/>
    <col min="14869" max="14876" width="9" style="225" customWidth="1"/>
    <col min="14877" max="14877" width="9.875" style="225" customWidth="1"/>
    <col min="14878" max="14878" width="11.75" style="225" customWidth="1"/>
    <col min="14879" max="14884" width="9" style="225" customWidth="1"/>
    <col min="14885" max="14885" width="9" style="225"/>
    <col min="14886" max="14886" width="9" style="225" customWidth="1"/>
    <col min="14887" max="14887" width="11" style="225" customWidth="1"/>
    <col min="14888" max="14890" width="9" style="225" customWidth="1"/>
    <col min="14891" max="14891" width="9" style="225"/>
    <col min="14892" max="14892" width="10.25" style="225" customWidth="1"/>
    <col min="14893" max="14899" width="9" style="225" customWidth="1"/>
    <col min="14900" max="14901" width="9" style="225"/>
    <col min="14902" max="14902" width="11.25" style="225" customWidth="1"/>
    <col min="14903" max="15104" width="9" style="225"/>
    <col min="15105" max="15105" width="6.25" style="225" customWidth="1"/>
    <col min="15106" max="15106" width="21.25" style="225" customWidth="1"/>
    <col min="15107" max="15107" width="4.5" style="225" customWidth="1"/>
    <col min="15108" max="15108" width="9" style="225"/>
    <col min="15109" max="15109" width="10.75" style="225" customWidth="1"/>
    <col min="15110" max="15113" width="9" style="225" customWidth="1"/>
    <col min="15114" max="15114" width="10.375" style="225" customWidth="1"/>
    <col min="15115" max="15115" width="11" style="225" customWidth="1"/>
    <col min="15116" max="15118" width="9" style="225" customWidth="1"/>
    <col min="15119" max="15119" width="9" style="225"/>
    <col min="15120" max="15120" width="9.75" style="225" customWidth="1"/>
    <col min="15121" max="15122" width="9" style="225" customWidth="1"/>
    <col min="15123" max="15123" width="9" style="225"/>
    <col min="15124" max="15124" width="9.75" style="225" customWidth="1"/>
    <col min="15125" max="15132" width="9" style="225" customWidth="1"/>
    <col min="15133" max="15133" width="9.875" style="225" customWidth="1"/>
    <col min="15134" max="15134" width="11.75" style="225" customWidth="1"/>
    <col min="15135" max="15140" width="9" style="225" customWidth="1"/>
    <col min="15141" max="15141" width="9" style="225"/>
    <col min="15142" max="15142" width="9" style="225" customWidth="1"/>
    <col min="15143" max="15143" width="11" style="225" customWidth="1"/>
    <col min="15144" max="15146" width="9" style="225" customWidth="1"/>
    <col min="15147" max="15147" width="9" style="225"/>
    <col min="15148" max="15148" width="10.25" style="225" customWidth="1"/>
    <col min="15149" max="15155" width="9" style="225" customWidth="1"/>
    <col min="15156" max="15157" width="9" style="225"/>
    <col min="15158" max="15158" width="11.25" style="225" customWidth="1"/>
    <col min="15159" max="15360" width="9" style="225"/>
    <col min="15361" max="15361" width="6.25" style="225" customWidth="1"/>
    <col min="15362" max="15362" width="21.25" style="225" customWidth="1"/>
    <col min="15363" max="15363" width="4.5" style="225" customWidth="1"/>
    <col min="15364" max="15364" width="9" style="225"/>
    <col min="15365" max="15365" width="10.75" style="225" customWidth="1"/>
    <col min="15366" max="15369" width="9" style="225" customWidth="1"/>
    <col min="15370" max="15370" width="10.375" style="225" customWidth="1"/>
    <col min="15371" max="15371" width="11" style="225" customWidth="1"/>
    <col min="15372" max="15374" width="9" style="225" customWidth="1"/>
    <col min="15375" max="15375" width="9" style="225"/>
    <col min="15376" max="15376" width="9.75" style="225" customWidth="1"/>
    <col min="15377" max="15378" width="9" style="225" customWidth="1"/>
    <col min="15379" max="15379" width="9" style="225"/>
    <col min="15380" max="15380" width="9.75" style="225" customWidth="1"/>
    <col min="15381" max="15388" width="9" style="225" customWidth="1"/>
    <col min="15389" max="15389" width="9.875" style="225" customWidth="1"/>
    <col min="15390" max="15390" width="11.75" style="225" customWidth="1"/>
    <col min="15391" max="15396" width="9" style="225" customWidth="1"/>
    <col min="15397" max="15397" width="9" style="225"/>
    <col min="15398" max="15398" width="9" style="225" customWidth="1"/>
    <col min="15399" max="15399" width="11" style="225" customWidth="1"/>
    <col min="15400" max="15402" width="9" style="225" customWidth="1"/>
    <col min="15403" max="15403" width="9" style="225"/>
    <col min="15404" max="15404" width="10.25" style="225" customWidth="1"/>
    <col min="15405" max="15411" width="9" style="225" customWidth="1"/>
    <col min="15412" max="15413" width="9" style="225"/>
    <col min="15414" max="15414" width="11.25" style="225" customWidth="1"/>
    <col min="15415" max="15616" width="9" style="225"/>
    <col min="15617" max="15617" width="6.25" style="225" customWidth="1"/>
    <col min="15618" max="15618" width="21.25" style="225" customWidth="1"/>
    <col min="15619" max="15619" width="4.5" style="225" customWidth="1"/>
    <col min="15620" max="15620" width="9" style="225"/>
    <col min="15621" max="15621" width="10.75" style="225" customWidth="1"/>
    <col min="15622" max="15625" width="9" style="225" customWidth="1"/>
    <col min="15626" max="15626" width="10.375" style="225" customWidth="1"/>
    <col min="15627" max="15627" width="11" style="225" customWidth="1"/>
    <col min="15628" max="15630" width="9" style="225" customWidth="1"/>
    <col min="15631" max="15631" width="9" style="225"/>
    <col min="15632" max="15632" width="9.75" style="225" customWidth="1"/>
    <col min="15633" max="15634" width="9" style="225" customWidth="1"/>
    <col min="15635" max="15635" width="9" style="225"/>
    <col min="15636" max="15636" width="9.75" style="225" customWidth="1"/>
    <col min="15637" max="15644" width="9" style="225" customWidth="1"/>
    <col min="15645" max="15645" width="9.875" style="225" customWidth="1"/>
    <col min="15646" max="15646" width="11.75" style="225" customWidth="1"/>
    <col min="15647" max="15652" width="9" style="225" customWidth="1"/>
    <col min="15653" max="15653" width="9" style="225"/>
    <col min="15654" max="15654" width="9" style="225" customWidth="1"/>
    <col min="15655" max="15655" width="11" style="225" customWidth="1"/>
    <col min="15656" max="15658" width="9" style="225" customWidth="1"/>
    <col min="15659" max="15659" width="9" style="225"/>
    <col min="15660" max="15660" width="10.25" style="225" customWidth="1"/>
    <col min="15661" max="15667" width="9" style="225" customWidth="1"/>
    <col min="15668" max="15669" width="9" style="225"/>
    <col min="15670" max="15670" width="11.25" style="225" customWidth="1"/>
    <col min="15671" max="15872" width="9" style="225"/>
    <col min="15873" max="15873" width="6.25" style="225" customWidth="1"/>
    <col min="15874" max="15874" width="21.25" style="225" customWidth="1"/>
    <col min="15875" max="15875" width="4.5" style="225" customWidth="1"/>
    <col min="15876" max="15876" width="9" style="225"/>
    <col min="15877" max="15877" width="10.75" style="225" customWidth="1"/>
    <col min="15878" max="15881" width="9" style="225" customWidth="1"/>
    <col min="15882" max="15882" width="10.375" style="225" customWidth="1"/>
    <col min="15883" max="15883" width="11" style="225" customWidth="1"/>
    <col min="15884" max="15886" width="9" style="225" customWidth="1"/>
    <col min="15887" max="15887" width="9" style="225"/>
    <col min="15888" max="15888" width="9.75" style="225" customWidth="1"/>
    <col min="15889" max="15890" width="9" style="225" customWidth="1"/>
    <col min="15891" max="15891" width="9" style="225"/>
    <col min="15892" max="15892" width="9.75" style="225" customWidth="1"/>
    <col min="15893" max="15900" width="9" style="225" customWidth="1"/>
    <col min="15901" max="15901" width="9.875" style="225" customWidth="1"/>
    <col min="15902" max="15902" width="11.75" style="225" customWidth="1"/>
    <col min="15903" max="15908" width="9" style="225" customWidth="1"/>
    <col min="15909" max="15909" width="9" style="225"/>
    <col min="15910" max="15910" width="9" style="225" customWidth="1"/>
    <col min="15911" max="15911" width="11" style="225" customWidth="1"/>
    <col min="15912" max="15914" width="9" style="225" customWidth="1"/>
    <col min="15915" max="15915" width="9" style="225"/>
    <col min="15916" max="15916" width="10.25" style="225" customWidth="1"/>
    <col min="15917" max="15923" width="9" style="225" customWidth="1"/>
    <col min="15924" max="15925" width="9" style="225"/>
    <col min="15926" max="15926" width="11.25" style="225" customWidth="1"/>
    <col min="15927" max="16128" width="9" style="225"/>
    <col min="16129" max="16129" width="6.25" style="225" customWidth="1"/>
    <col min="16130" max="16130" width="21.25" style="225" customWidth="1"/>
    <col min="16131" max="16131" width="4.5" style="225" customWidth="1"/>
    <col min="16132" max="16132" width="9" style="225"/>
    <col min="16133" max="16133" width="10.75" style="225" customWidth="1"/>
    <col min="16134" max="16137" width="9" style="225" customWidth="1"/>
    <col min="16138" max="16138" width="10.375" style="225" customWidth="1"/>
    <col min="16139" max="16139" width="11" style="225" customWidth="1"/>
    <col min="16140" max="16142" width="9" style="225" customWidth="1"/>
    <col min="16143" max="16143" width="9" style="225"/>
    <col min="16144" max="16144" width="9.75" style="225" customWidth="1"/>
    <col min="16145" max="16146" width="9" style="225" customWidth="1"/>
    <col min="16147" max="16147" width="9" style="225"/>
    <col min="16148" max="16148" width="9.75" style="225" customWidth="1"/>
    <col min="16149" max="16156" width="9" style="225" customWidth="1"/>
    <col min="16157" max="16157" width="9.875" style="225" customWidth="1"/>
    <col min="16158" max="16158" width="11.75" style="225" customWidth="1"/>
    <col min="16159" max="16164" width="9" style="225" customWidth="1"/>
    <col min="16165" max="16165" width="9" style="225"/>
    <col min="16166" max="16166" width="9" style="225" customWidth="1"/>
    <col min="16167" max="16167" width="11" style="225" customWidth="1"/>
    <col min="16168" max="16170" width="9" style="225" customWidth="1"/>
    <col min="16171" max="16171" width="9" style="225"/>
    <col min="16172" max="16172" width="10.25" style="225" customWidth="1"/>
    <col min="16173" max="16179" width="9" style="225" customWidth="1"/>
    <col min="16180" max="16181" width="9" style="225"/>
    <col min="16182" max="16182" width="11.25" style="225" customWidth="1"/>
    <col min="16183" max="16384" width="9" style="225"/>
  </cols>
  <sheetData>
    <row r="1" spans="1:56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227">
        <v>0</v>
      </c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98"/>
    </row>
    <row r="2" spans="1:56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98"/>
    </row>
    <row r="3" spans="1:56" ht="15" customHeight="1">
      <c r="A3" s="592" t="s">
        <v>514</v>
      </c>
      <c r="B3" s="592"/>
      <c r="C3" s="592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5" spans="1:56" s="273" customFormat="1" ht="35.450000000000003" customHeight="1">
      <c r="A5" s="276" t="s">
        <v>169</v>
      </c>
      <c r="B5" s="276" t="s">
        <v>518</v>
      </c>
      <c r="C5" s="276" t="s">
        <v>519</v>
      </c>
      <c r="D5" s="290" t="s">
        <v>569</v>
      </c>
      <c r="E5" s="290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Z5" s="276" t="s">
        <v>538</v>
      </c>
      <c r="AA5" s="276" t="s">
        <v>539</v>
      </c>
      <c r="AC5" s="408" t="s">
        <v>540</v>
      </c>
      <c r="AD5" s="408" t="s">
        <v>541</v>
      </c>
      <c r="AE5" s="294" t="s">
        <v>542</v>
      </c>
      <c r="AF5" s="294" t="s">
        <v>543</v>
      </c>
      <c r="AG5" s="294" t="s">
        <v>544</v>
      </c>
      <c r="AH5" s="294" t="s">
        <v>545</v>
      </c>
      <c r="AI5" s="294" t="s">
        <v>546</v>
      </c>
      <c r="AJ5" s="294" t="s">
        <v>547</v>
      </c>
      <c r="AK5" s="294" t="s">
        <v>548</v>
      </c>
      <c r="AL5" s="297"/>
      <c r="AM5" s="294" t="s">
        <v>549</v>
      </c>
      <c r="AN5" s="294" t="s">
        <v>550</v>
      </c>
      <c r="AO5" s="294" t="s">
        <v>551</v>
      </c>
      <c r="AP5" s="297"/>
      <c r="AQ5" s="294" t="s">
        <v>552</v>
      </c>
      <c r="AR5" s="294" t="s">
        <v>553</v>
      </c>
      <c r="AS5" s="276" t="s">
        <v>554</v>
      </c>
      <c r="AT5" s="276" t="s">
        <v>555</v>
      </c>
      <c r="AU5" s="276" t="s">
        <v>556</v>
      </c>
      <c r="AV5" s="276" t="s">
        <v>557</v>
      </c>
      <c r="AW5" s="276" t="s">
        <v>558</v>
      </c>
      <c r="AX5" s="276" t="s">
        <v>559</v>
      </c>
      <c r="AY5" s="276" t="s">
        <v>560</v>
      </c>
      <c r="AZ5" s="276" t="s">
        <v>561</v>
      </c>
      <c r="BA5" s="276" t="s">
        <v>562</v>
      </c>
      <c r="BB5" s="276" t="s">
        <v>563</v>
      </c>
      <c r="BC5" s="299" t="s">
        <v>564</v>
      </c>
    </row>
    <row r="6" spans="1:56" s="288" customFormat="1" ht="15" customHeight="1">
      <c r="A6" s="291" t="s">
        <v>570</v>
      </c>
      <c r="B6" s="291"/>
      <c r="D6" s="292" t="s">
        <v>571</v>
      </c>
      <c r="E6" s="292" t="s">
        <v>572</v>
      </c>
      <c r="G6" s="293"/>
      <c r="H6" s="293"/>
      <c r="I6" s="293"/>
      <c r="P6" s="293"/>
      <c r="Q6" s="293"/>
      <c r="R6" s="293"/>
      <c r="S6" s="293"/>
      <c r="T6" s="293"/>
      <c r="U6" s="293"/>
      <c r="W6" s="293"/>
      <c r="X6" s="293"/>
      <c r="Z6" s="293"/>
      <c r="AA6" s="293"/>
      <c r="AC6" s="409"/>
      <c r="AD6" s="409"/>
      <c r="AE6" s="295"/>
      <c r="AF6" s="296"/>
      <c r="AG6" s="296"/>
      <c r="AH6" s="296"/>
      <c r="AI6" s="296"/>
      <c r="AJ6" s="295"/>
      <c r="AK6" s="296"/>
      <c r="AL6" s="295"/>
      <c r="AM6" s="295"/>
      <c r="AN6" s="295"/>
      <c r="AO6" s="296"/>
      <c r="AP6" s="295"/>
      <c r="AQ6" s="296"/>
      <c r="AR6" s="295"/>
      <c r="BA6" s="293"/>
      <c r="BC6" s="300"/>
    </row>
    <row r="7" spans="1:56" ht="15" customHeight="1">
      <c r="A7" s="82" t="s">
        <v>502</v>
      </c>
      <c r="B7" s="140" t="s">
        <v>503</v>
      </c>
      <c r="C7" s="140" t="s">
        <v>573</v>
      </c>
      <c r="D7" s="280">
        <v>43750</v>
      </c>
      <c r="E7" s="280">
        <v>2112424.9900000002</v>
      </c>
      <c r="F7" s="243">
        <v>0</v>
      </c>
      <c r="G7" s="243">
        <v>0</v>
      </c>
      <c r="H7" s="243">
        <v>0</v>
      </c>
      <c r="I7" s="243">
        <v>0</v>
      </c>
      <c r="J7" s="243">
        <v>128030</v>
      </c>
      <c r="K7" s="243">
        <v>6777780.1699999999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84083</v>
      </c>
      <c r="AD7" s="410">
        <v>4247613.72</v>
      </c>
      <c r="AE7" s="243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35"/>
      <c r="AM7" s="243">
        <v>0</v>
      </c>
      <c r="AN7" s="243">
        <v>6760</v>
      </c>
      <c r="AO7" s="243">
        <v>357867.64</v>
      </c>
      <c r="AP7" s="235"/>
      <c r="AQ7" s="243">
        <v>0</v>
      </c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80937</v>
      </c>
      <c r="BA7" s="243">
        <v>52.938999468722585</v>
      </c>
      <c r="BB7" s="243">
        <v>4284723.8</v>
      </c>
      <c r="BC7" s="301" t="s">
        <v>574</v>
      </c>
      <c r="BD7" s="244"/>
    </row>
    <row r="8" spans="1:56" ht="15" customHeight="1">
      <c r="A8" s="82" t="s">
        <v>510</v>
      </c>
      <c r="B8" s="140" t="s">
        <v>511</v>
      </c>
      <c r="C8" s="140" t="s">
        <v>573</v>
      </c>
      <c r="D8" s="280">
        <v>144908</v>
      </c>
      <c r="E8" s="280">
        <v>3332719.77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0</v>
      </c>
      <c r="AD8" s="410">
        <v>0</v>
      </c>
      <c r="AE8" s="243">
        <v>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35"/>
      <c r="AM8" s="243">
        <v>0</v>
      </c>
      <c r="AN8" s="243">
        <v>0</v>
      </c>
      <c r="AO8" s="243">
        <v>0</v>
      </c>
      <c r="AP8" s="235"/>
      <c r="AQ8" s="243">
        <v>29879</v>
      </c>
      <c r="AR8" s="243">
        <v>691743.98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115029</v>
      </c>
      <c r="BA8" s="243">
        <v>22.959217153935096</v>
      </c>
      <c r="BB8" s="243">
        <v>2640975.79</v>
      </c>
      <c r="BC8" s="301" t="s">
        <v>574</v>
      </c>
      <c r="BD8" s="244"/>
    </row>
    <row r="9" spans="1:56" ht="15" customHeight="1">
      <c r="A9" s="82" t="s">
        <v>508</v>
      </c>
      <c r="B9" s="140" t="s">
        <v>509</v>
      </c>
      <c r="C9" s="140" t="s">
        <v>573</v>
      </c>
      <c r="D9" s="280">
        <v>87900</v>
      </c>
      <c r="E9" s="280">
        <v>2815557.15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109760</v>
      </c>
      <c r="M9" s="243">
        <v>4724320.9400000004</v>
      </c>
      <c r="N9" s="235"/>
      <c r="O9" s="243">
        <v>0</v>
      </c>
      <c r="P9" s="243">
        <v>0</v>
      </c>
      <c r="Q9" s="243">
        <v>25945</v>
      </c>
      <c r="R9" s="243">
        <v>1034216.13</v>
      </c>
      <c r="S9" s="243">
        <v>14671</v>
      </c>
      <c r="T9" s="243">
        <v>468421.56</v>
      </c>
      <c r="U9" s="243">
        <v>0</v>
      </c>
      <c r="V9" s="243">
        <v>0</v>
      </c>
      <c r="W9" s="243">
        <v>0</v>
      </c>
      <c r="X9" s="243">
        <v>0</v>
      </c>
      <c r="Y9" s="235"/>
      <c r="Z9" s="243">
        <v>0</v>
      </c>
      <c r="AA9" s="243">
        <v>0</v>
      </c>
      <c r="AB9" s="235"/>
      <c r="AC9" s="410">
        <v>220715</v>
      </c>
      <c r="AD9" s="410">
        <v>8455174.3900000006</v>
      </c>
      <c r="AE9" s="243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/>
      <c r="AM9" s="243">
        <v>0</v>
      </c>
      <c r="AN9" s="243">
        <v>14000</v>
      </c>
      <c r="AO9" s="243">
        <v>450427.6</v>
      </c>
      <c r="AP9" s="235"/>
      <c r="AQ9" s="243">
        <v>0</v>
      </c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3561</v>
      </c>
      <c r="BA9" s="243">
        <v>38.448129738837409</v>
      </c>
      <c r="BB9" s="243">
        <v>136913.79</v>
      </c>
      <c r="BC9" s="301" t="s">
        <v>574</v>
      </c>
      <c r="BD9" s="244"/>
    </row>
    <row r="10" spans="1:56" ht="15" customHeight="1">
      <c r="A10" s="82" t="s">
        <v>575</v>
      </c>
      <c r="B10" s="140" t="s">
        <v>576</v>
      </c>
      <c r="C10" s="140" t="s">
        <v>573</v>
      </c>
      <c r="D10" s="280">
        <v>0</v>
      </c>
      <c r="E10" s="280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45950</v>
      </c>
      <c r="M10" s="243">
        <v>2080514.91</v>
      </c>
      <c r="N10" s="235"/>
      <c r="O10" s="243">
        <v>0</v>
      </c>
      <c r="P10" s="243">
        <v>0</v>
      </c>
      <c r="Q10" s="243">
        <v>10000</v>
      </c>
      <c r="R10" s="243">
        <v>397354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35"/>
      <c r="Z10" s="243">
        <v>0</v>
      </c>
      <c r="AA10" s="243">
        <v>0</v>
      </c>
      <c r="AB10" s="235"/>
      <c r="AC10" s="410">
        <v>8377</v>
      </c>
      <c r="AD10" s="410">
        <v>379292.13</v>
      </c>
      <c r="AE10" s="243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/>
      <c r="AM10" s="243">
        <v>0</v>
      </c>
      <c r="AN10" s="243">
        <v>10000</v>
      </c>
      <c r="AO10" s="243">
        <v>397354</v>
      </c>
      <c r="AP10" s="235"/>
      <c r="AQ10" s="243">
        <v>0</v>
      </c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37573</v>
      </c>
      <c r="BA10" s="243">
        <v>45.277800015968914</v>
      </c>
      <c r="BB10" s="243">
        <v>1701222.78</v>
      </c>
      <c r="BC10" s="301" t="s">
        <v>574</v>
      </c>
      <c r="BD10" s="244"/>
    </row>
    <row r="11" spans="1:56" ht="15" customHeight="1">
      <c r="A11" s="82"/>
      <c r="B11" s="140"/>
      <c r="C11" s="140"/>
      <c r="D11" s="262"/>
      <c r="E11" s="262"/>
      <c r="F11" s="243"/>
      <c r="G11" s="243"/>
      <c r="H11" s="243"/>
      <c r="I11" s="243"/>
      <c r="J11" s="243"/>
      <c r="K11" s="243"/>
      <c r="L11" s="243"/>
      <c r="M11" s="243"/>
      <c r="N11" s="235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35"/>
      <c r="Z11" s="243"/>
      <c r="AA11" s="243"/>
      <c r="AB11" s="235"/>
      <c r="AC11" s="410"/>
      <c r="AD11" s="410"/>
      <c r="AE11" s="243"/>
      <c r="AF11" s="243"/>
      <c r="AG11" s="243"/>
      <c r="AH11" s="243"/>
      <c r="AI11" s="243"/>
      <c r="AJ11" s="243"/>
      <c r="AK11" s="243"/>
      <c r="AL11" s="235"/>
      <c r="AM11" s="243"/>
      <c r="AN11" s="243"/>
      <c r="AO11" s="243"/>
      <c r="AP11" s="235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301"/>
      <c r="BD11" s="244"/>
    </row>
    <row r="12" spans="1:56" ht="15" customHeight="1">
      <c r="A12" s="82"/>
      <c r="B12" s="140"/>
      <c r="C12" s="140"/>
      <c r="D12" s="280"/>
      <c r="E12" s="280"/>
      <c r="F12" s="243"/>
      <c r="G12" s="243"/>
      <c r="H12" s="243"/>
      <c r="I12" s="243"/>
      <c r="J12" s="243"/>
      <c r="K12" s="243"/>
      <c r="L12" s="243"/>
      <c r="M12" s="243"/>
      <c r="N12" s="235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35"/>
      <c r="Z12" s="243"/>
      <c r="AA12" s="243"/>
      <c r="AB12" s="235"/>
      <c r="AC12" s="410"/>
      <c r="AD12" s="410"/>
      <c r="AE12" s="243"/>
      <c r="AF12" s="243"/>
      <c r="AG12" s="243"/>
      <c r="AH12" s="243"/>
      <c r="AI12" s="243"/>
      <c r="AJ12" s="243"/>
      <c r="AK12" s="243"/>
      <c r="AL12" s="235"/>
      <c r="AM12" s="243"/>
      <c r="AN12" s="243"/>
      <c r="AO12" s="243"/>
      <c r="AP12" s="235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301"/>
    </row>
    <row r="13" spans="1:56" s="223" customFormat="1" ht="15" customHeight="1">
      <c r="A13" s="263"/>
      <c r="B13" s="231" t="s">
        <v>36</v>
      </c>
      <c r="C13" s="231"/>
      <c r="D13" s="281">
        <f>SUM(D7:D12)</f>
        <v>276558</v>
      </c>
      <c r="E13" s="281">
        <f>SUM(E7:E12)</f>
        <v>8260701.9100000001</v>
      </c>
      <c r="F13" s="245">
        <f>SUM(F7:F12)</f>
        <v>0</v>
      </c>
      <c r="G13" s="245">
        <f t="shared" ref="G13:AY13" si="0">SUM(G7:G12)</f>
        <v>0</v>
      </c>
      <c r="H13" s="245">
        <f t="shared" si="0"/>
        <v>0</v>
      </c>
      <c r="I13" s="245">
        <f t="shared" si="0"/>
        <v>0</v>
      </c>
      <c r="J13" s="245">
        <f t="shared" si="0"/>
        <v>128030</v>
      </c>
      <c r="K13" s="245">
        <f t="shared" si="0"/>
        <v>6777780.1699999999</v>
      </c>
      <c r="L13" s="245">
        <f t="shared" si="0"/>
        <v>155710</v>
      </c>
      <c r="M13" s="245">
        <f t="shared" si="0"/>
        <v>6804835.8500000006</v>
      </c>
      <c r="N13" s="245">
        <f t="shared" si="0"/>
        <v>0</v>
      </c>
      <c r="O13" s="245">
        <f t="shared" si="0"/>
        <v>0</v>
      </c>
      <c r="P13" s="245">
        <f t="shared" si="0"/>
        <v>0</v>
      </c>
      <c r="Q13" s="245">
        <f t="shared" si="0"/>
        <v>35945</v>
      </c>
      <c r="R13" s="245">
        <f t="shared" si="0"/>
        <v>1431570.13</v>
      </c>
      <c r="S13" s="245">
        <f t="shared" si="0"/>
        <v>14671</v>
      </c>
      <c r="T13" s="245">
        <f t="shared" si="0"/>
        <v>468421.56</v>
      </c>
      <c r="U13" s="245">
        <f t="shared" si="0"/>
        <v>0</v>
      </c>
      <c r="V13" s="245">
        <f t="shared" si="0"/>
        <v>0</v>
      </c>
      <c r="W13" s="245">
        <f t="shared" si="0"/>
        <v>0</v>
      </c>
      <c r="X13" s="245">
        <f t="shared" si="0"/>
        <v>0</v>
      </c>
      <c r="Y13" s="245">
        <f t="shared" si="0"/>
        <v>0</v>
      </c>
      <c r="Z13" s="245">
        <f t="shared" si="0"/>
        <v>0</v>
      </c>
      <c r="AA13" s="245">
        <f t="shared" si="0"/>
        <v>0</v>
      </c>
      <c r="AB13" s="245">
        <f t="shared" si="0"/>
        <v>0</v>
      </c>
      <c r="AC13" s="245">
        <f t="shared" si="0"/>
        <v>313175</v>
      </c>
      <c r="AD13" s="245">
        <f t="shared" si="0"/>
        <v>13082080.24</v>
      </c>
      <c r="AE13" s="245">
        <f t="shared" si="0"/>
        <v>0</v>
      </c>
      <c r="AF13" s="245">
        <f t="shared" si="0"/>
        <v>0</v>
      </c>
      <c r="AG13" s="245">
        <f t="shared" si="0"/>
        <v>0</v>
      </c>
      <c r="AH13" s="245">
        <f t="shared" si="0"/>
        <v>0</v>
      </c>
      <c r="AI13" s="245">
        <f t="shared" si="0"/>
        <v>0</v>
      </c>
      <c r="AJ13" s="245">
        <f t="shared" si="0"/>
        <v>0</v>
      </c>
      <c r="AK13" s="245">
        <f t="shared" si="0"/>
        <v>0</v>
      </c>
      <c r="AL13" s="245">
        <f t="shared" si="0"/>
        <v>0</v>
      </c>
      <c r="AM13" s="245">
        <f t="shared" si="0"/>
        <v>0</v>
      </c>
      <c r="AN13" s="245">
        <f t="shared" si="0"/>
        <v>30760</v>
      </c>
      <c r="AO13" s="245">
        <f t="shared" si="0"/>
        <v>1205649.24</v>
      </c>
      <c r="AP13" s="245">
        <f t="shared" si="0"/>
        <v>0</v>
      </c>
      <c r="AQ13" s="245">
        <f t="shared" si="0"/>
        <v>29879</v>
      </c>
      <c r="AR13" s="245">
        <f t="shared" si="0"/>
        <v>691743.98</v>
      </c>
      <c r="AS13" s="245">
        <f t="shared" si="0"/>
        <v>0</v>
      </c>
      <c r="AT13" s="245">
        <f t="shared" si="0"/>
        <v>0</v>
      </c>
      <c r="AU13" s="245">
        <f t="shared" si="0"/>
        <v>0</v>
      </c>
      <c r="AV13" s="245">
        <f t="shared" si="0"/>
        <v>0</v>
      </c>
      <c r="AW13" s="245">
        <f t="shared" si="0"/>
        <v>0</v>
      </c>
      <c r="AX13" s="245">
        <f t="shared" si="0"/>
        <v>0</v>
      </c>
      <c r="AY13" s="245">
        <f t="shared" si="0"/>
        <v>0</v>
      </c>
      <c r="AZ13" s="245">
        <f>SUM(AZ7:AZ12)</f>
        <v>237100</v>
      </c>
      <c r="BA13" s="245"/>
      <c r="BB13" s="245">
        <f t="shared" ref="BB13" si="1">SUM(BB7:BB12)</f>
        <v>8763836.1600000001</v>
      </c>
      <c r="BC13" s="302"/>
    </row>
    <row r="14" spans="1:56" ht="15" customHeight="1">
      <c r="H14" s="140"/>
      <c r="I14" s="140"/>
    </row>
    <row r="15" spans="1:56" s="224" customFormat="1" ht="15" customHeight="1">
      <c r="C15" s="224" t="s">
        <v>567</v>
      </c>
      <c r="D15" s="246">
        <v>276558</v>
      </c>
      <c r="E15" s="246">
        <v>8260701.9100000001</v>
      </c>
      <c r="AC15" s="411"/>
      <c r="AD15" s="411"/>
      <c r="AZ15" s="246">
        <f>+D13+F13+J13+L13+Q13+S13-AC13-AN13-AQ13</f>
        <v>237100</v>
      </c>
      <c r="BB15" s="246">
        <f>+E13+K13+M13+T13-AD13-AO13-AR13+G13+R13</f>
        <v>8763836.1599999964</v>
      </c>
      <c r="BC15" s="303"/>
    </row>
    <row r="16" spans="1:56" ht="15" customHeight="1">
      <c r="AZ16" s="244">
        <f>+AZ13-AZ15</f>
        <v>0</v>
      </c>
      <c r="BB16" s="244">
        <f>+BB13-BB15</f>
        <v>0</v>
      </c>
    </row>
    <row r="17" spans="3:54" ht="15" customHeight="1">
      <c r="C17" s="225" t="s">
        <v>577</v>
      </c>
      <c r="D17" s="241">
        <f>F13+J13+L13+Q13+S13</f>
        <v>334356</v>
      </c>
      <c r="BB17" s="244"/>
    </row>
    <row r="18" spans="3:54" ht="15" customHeight="1">
      <c r="C18" s="225" t="s">
        <v>578</v>
      </c>
      <c r="D18" s="241">
        <f>AC13+AN13+AQ13</f>
        <v>373814</v>
      </c>
      <c r="K18" s="244"/>
    </row>
    <row r="19" spans="3:54" ht="15" customHeight="1">
      <c r="C19" s="225" t="s">
        <v>579</v>
      </c>
      <c r="D19" s="241">
        <f>D13+D17-D18</f>
        <v>237100</v>
      </c>
      <c r="J19" s="244"/>
      <c r="L19" s="244"/>
      <c r="O19" s="244"/>
      <c r="BA19" s="244"/>
    </row>
    <row r="20" spans="3:54" ht="15" customHeight="1">
      <c r="K20" s="244"/>
      <c r="M20" s="244"/>
      <c r="O20" s="244"/>
      <c r="AQ20" s="244"/>
    </row>
    <row r="21" spans="3:54" ht="15" customHeight="1"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</row>
  </sheetData>
  <mergeCells count="1">
    <mergeCell ref="A3:C3"/>
  </mergeCells>
  <pageMargins left="0.17" right="0.17" top="0.75" bottom="0.75" header="0.3" footer="0.3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XH23"/>
  <sheetViews>
    <sheetView zoomScaleNormal="100" workbookViewId="0">
      <pane xSplit="3" ySplit="6" topLeftCell="D7" activePane="bottomRight" state="frozen"/>
      <selection pane="topRight"/>
      <selection pane="bottomLeft"/>
      <selection pane="bottomRight" activeCell="G17" sqref="G17"/>
    </sheetView>
  </sheetViews>
  <sheetFormatPr defaultColWidth="10.25" defaultRowHeight="15" customHeight="1"/>
  <cols>
    <col min="1" max="1" width="5.375" style="225" customWidth="1"/>
    <col min="2" max="2" width="19.625" style="225" customWidth="1"/>
    <col min="3" max="3" width="2.875" style="225" customWidth="1"/>
    <col min="4" max="4" width="8.875" style="226" customWidth="1"/>
    <col min="5" max="5" width="10.125" style="226" customWidth="1"/>
    <col min="6" max="6" width="8.625" style="225" customWidth="1"/>
    <col min="7" max="7" width="9.75" style="225" customWidth="1"/>
    <col min="8" max="9" width="11.625" style="225" hidden="1" customWidth="1"/>
    <col min="10" max="10" width="8.875" style="225" customWidth="1"/>
    <col min="11" max="11" width="9.25" style="225" customWidth="1"/>
    <col min="12" max="12" width="8.25" style="225" hidden="1" customWidth="1"/>
    <col min="13" max="13" width="9" style="225" hidden="1" customWidth="1"/>
    <col min="14" max="18" width="10.25" style="225" hidden="1" customWidth="1"/>
    <col min="19" max="19" width="7.25" style="225" hidden="1" customWidth="1"/>
    <col min="20" max="20" width="8.625" style="225" hidden="1" customWidth="1"/>
    <col min="21" max="28" width="10.25" style="225" hidden="1" customWidth="1"/>
    <col min="29" max="29" width="8.125" style="407" customWidth="1"/>
    <col min="30" max="30" width="7.375" style="407" customWidth="1"/>
    <col min="31" max="31" width="9.25" style="407" customWidth="1"/>
    <col min="32" max="33" width="10.25" style="225" hidden="1" customWidth="1"/>
    <col min="34" max="34" width="9.125" style="225" hidden="1" customWidth="1"/>
    <col min="35" max="35" width="10.25" style="225" hidden="1" customWidth="1"/>
    <col min="36" max="36" width="9" style="225" hidden="1" customWidth="1"/>
    <col min="37" max="37" width="10.25" style="225" hidden="1" customWidth="1"/>
    <col min="38" max="38" width="9.75" style="225" customWidth="1"/>
    <col min="39" max="39" width="10.25" style="225" hidden="1" customWidth="1"/>
    <col min="40" max="40" width="8.5" style="225" customWidth="1"/>
    <col min="41" max="41" width="8.75" style="225" hidden="1" customWidth="1"/>
    <col min="42" max="43" width="10.25" style="225" hidden="1" customWidth="1"/>
    <col min="44" max="44" width="8.75" style="225" hidden="1" customWidth="1"/>
    <col min="45" max="45" width="10.25" style="225" hidden="1" customWidth="1"/>
    <col min="46" max="46" width="7.875" style="225" hidden="1" customWidth="1"/>
    <col min="47" max="47" width="9.375" style="225" hidden="1" customWidth="1"/>
    <col min="48" max="52" width="10.25" style="225" hidden="1" customWidth="1"/>
    <col min="53" max="53" width="7.75" style="225" customWidth="1"/>
    <col min="54" max="54" width="5.75" style="225" customWidth="1"/>
    <col min="55" max="55" width="9.75" style="225" customWidth="1"/>
    <col min="56" max="56" width="6.75" style="275" customWidth="1"/>
    <col min="57" max="256" width="10.25" style="225"/>
    <col min="257" max="257" width="5.375" style="225" customWidth="1"/>
    <col min="258" max="258" width="34.625" style="225" customWidth="1"/>
    <col min="259" max="259" width="4.125" style="225" customWidth="1"/>
    <col min="260" max="262" width="10.25" style="225"/>
    <col min="263" max="263" width="11.625" style="225" customWidth="1"/>
    <col min="264" max="267" width="10.25" style="225" hidden="1" customWidth="1"/>
    <col min="268" max="268" width="8.375" style="225" customWidth="1"/>
    <col min="269" max="269" width="10.25" style="225"/>
    <col min="270" max="284" width="10.25" style="225" hidden="1" customWidth="1"/>
    <col min="285" max="285" width="8.875" style="225" customWidth="1"/>
    <col min="286" max="286" width="9.75" style="225" customWidth="1"/>
    <col min="287" max="287" width="10.25" style="225"/>
    <col min="288" max="291" width="10.25" style="225" hidden="1" customWidth="1"/>
    <col min="292" max="292" width="9" style="225" customWidth="1"/>
    <col min="293" max="293" width="10.25" style="225"/>
    <col min="294" max="296" width="10.25" style="225" hidden="1" customWidth="1"/>
    <col min="297" max="297" width="8.75" style="225" customWidth="1"/>
    <col min="298" max="298" width="10.25" style="225"/>
    <col min="299" max="299" width="10.25" style="225" hidden="1" customWidth="1"/>
    <col min="300" max="300" width="8.75" style="225" customWidth="1"/>
    <col min="301" max="301" width="10.25" style="225"/>
    <col min="302" max="308" width="10.25" style="225" hidden="1" customWidth="1"/>
    <col min="309" max="309" width="10.25" style="225"/>
    <col min="310" max="310" width="9.625" style="225" customWidth="1"/>
    <col min="311" max="311" width="10.25" style="225"/>
    <col min="312" max="312" width="6.75" style="225" customWidth="1"/>
    <col min="313" max="512" width="10.25" style="225"/>
    <col min="513" max="513" width="5.375" style="225" customWidth="1"/>
    <col min="514" max="514" width="34.625" style="225" customWidth="1"/>
    <col min="515" max="515" width="4.125" style="225" customWidth="1"/>
    <col min="516" max="518" width="10.25" style="225"/>
    <col min="519" max="519" width="11.625" style="225" customWidth="1"/>
    <col min="520" max="523" width="10.25" style="225" hidden="1" customWidth="1"/>
    <col min="524" max="524" width="8.375" style="225" customWidth="1"/>
    <col min="525" max="525" width="10.25" style="225"/>
    <col min="526" max="540" width="10.25" style="225" hidden="1" customWidth="1"/>
    <col min="541" max="541" width="8.875" style="225" customWidth="1"/>
    <col min="542" max="542" width="9.75" style="225" customWidth="1"/>
    <col min="543" max="543" width="10.25" style="225"/>
    <col min="544" max="547" width="10.25" style="225" hidden="1" customWidth="1"/>
    <col min="548" max="548" width="9" style="225" customWidth="1"/>
    <col min="549" max="549" width="10.25" style="225"/>
    <col min="550" max="552" width="10.25" style="225" hidden="1" customWidth="1"/>
    <col min="553" max="553" width="8.75" style="225" customWidth="1"/>
    <col min="554" max="554" width="10.25" style="225"/>
    <col min="555" max="555" width="10.25" style="225" hidden="1" customWidth="1"/>
    <col min="556" max="556" width="8.75" style="225" customWidth="1"/>
    <col min="557" max="557" width="10.25" style="225"/>
    <col min="558" max="564" width="10.25" style="225" hidden="1" customWidth="1"/>
    <col min="565" max="565" width="10.25" style="225"/>
    <col min="566" max="566" width="9.625" style="225" customWidth="1"/>
    <col min="567" max="567" width="10.25" style="225"/>
    <col min="568" max="568" width="6.75" style="225" customWidth="1"/>
    <col min="569" max="768" width="10.25" style="225"/>
    <col min="769" max="769" width="5.375" style="225" customWidth="1"/>
    <col min="770" max="770" width="34.625" style="225" customWidth="1"/>
    <col min="771" max="771" width="4.125" style="225" customWidth="1"/>
    <col min="772" max="774" width="10.25" style="225"/>
    <col min="775" max="775" width="11.625" style="225" customWidth="1"/>
    <col min="776" max="779" width="10.25" style="225" hidden="1" customWidth="1"/>
    <col min="780" max="780" width="8.375" style="225" customWidth="1"/>
    <col min="781" max="781" width="10.25" style="225"/>
    <col min="782" max="796" width="10.25" style="225" hidden="1" customWidth="1"/>
    <col min="797" max="797" width="8.875" style="225" customWidth="1"/>
    <col min="798" max="798" width="9.75" style="225" customWidth="1"/>
    <col min="799" max="799" width="10.25" style="225"/>
    <col min="800" max="803" width="10.25" style="225" hidden="1" customWidth="1"/>
    <col min="804" max="804" width="9" style="225" customWidth="1"/>
    <col min="805" max="805" width="10.25" style="225"/>
    <col min="806" max="808" width="10.25" style="225" hidden="1" customWidth="1"/>
    <col min="809" max="809" width="8.75" style="225" customWidth="1"/>
    <col min="810" max="810" width="10.25" style="225"/>
    <col min="811" max="811" width="10.25" style="225" hidden="1" customWidth="1"/>
    <col min="812" max="812" width="8.75" style="225" customWidth="1"/>
    <col min="813" max="813" width="10.25" style="225"/>
    <col min="814" max="820" width="10.25" style="225" hidden="1" customWidth="1"/>
    <col min="821" max="821" width="10.25" style="225"/>
    <col min="822" max="822" width="9.625" style="225" customWidth="1"/>
    <col min="823" max="823" width="10.25" style="225"/>
    <col min="824" max="824" width="6.75" style="225" customWidth="1"/>
    <col min="825" max="1024" width="10.25" style="225"/>
    <col min="1025" max="1025" width="5.375" style="225" customWidth="1"/>
    <col min="1026" max="1026" width="34.625" style="225" customWidth="1"/>
    <col min="1027" max="1027" width="4.125" style="225" customWidth="1"/>
    <col min="1028" max="1030" width="10.25" style="225"/>
    <col min="1031" max="1031" width="11.625" style="225" customWidth="1"/>
    <col min="1032" max="1035" width="10.25" style="225" hidden="1" customWidth="1"/>
    <col min="1036" max="1036" width="8.375" style="225" customWidth="1"/>
    <col min="1037" max="1037" width="10.25" style="225"/>
    <col min="1038" max="1052" width="10.25" style="225" hidden="1" customWidth="1"/>
    <col min="1053" max="1053" width="8.875" style="225" customWidth="1"/>
    <col min="1054" max="1054" width="9.75" style="225" customWidth="1"/>
    <col min="1055" max="1055" width="10.25" style="225"/>
    <col min="1056" max="1059" width="10.25" style="225" hidden="1" customWidth="1"/>
    <col min="1060" max="1060" width="9" style="225" customWidth="1"/>
    <col min="1061" max="1061" width="10.25" style="225"/>
    <col min="1062" max="1064" width="10.25" style="225" hidden="1" customWidth="1"/>
    <col min="1065" max="1065" width="8.75" style="225" customWidth="1"/>
    <col min="1066" max="1066" width="10.25" style="225"/>
    <col min="1067" max="1067" width="10.25" style="225" hidden="1" customWidth="1"/>
    <col min="1068" max="1068" width="8.75" style="225" customWidth="1"/>
    <col min="1069" max="1069" width="10.25" style="225"/>
    <col min="1070" max="1076" width="10.25" style="225" hidden="1" customWidth="1"/>
    <col min="1077" max="1077" width="10.25" style="225"/>
    <col min="1078" max="1078" width="9.625" style="225" customWidth="1"/>
    <col min="1079" max="1079" width="10.25" style="225"/>
    <col min="1080" max="1080" width="6.75" style="225" customWidth="1"/>
    <col min="1081" max="1280" width="10.25" style="225"/>
    <col min="1281" max="1281" width="5.375" style="225" customWidth="1"/>
    <col min="1282" max="1282" width="34.625" style="225" customWidth="1"/>
    <col min="1283" max="1283" width="4.125" style="225" customWidth="1"/>
    <col min="1284" max="1286" width="10.25" style="225"/>
    <col min="1287" max="1287" width="11.625" style="225" customWidth="1"/>
    <col min="1288" max="1291" width="10.25" style="225" hidden="1" customWidth="1"/>
    <col min="1292" max="1292" width="8.375" style="225" customWidth="1"/>
    <col min="1293" max="1293" width="10.25" style="225"/>
    <col min="1294" max="1308" width="10.25" style="225" hidden="1" customWidth="1"/>
    <col min="1309" max="1309" width="8.875" style="225" customWidth="1"/>
    <col min="1310" max="1310" width="9.75" style="225" customWidth="1"/>
    <col min="1311" max="1311" width="10.25" style="225"/>
    <col min="1312" max="1315" width="10.25" style="225" hidden="1" customWidth="1"/>
    <col min="1316" max="1316" width="9" style="225" customWidth="1"/>
    <col min="1317" max="1317" width="10.25" style="225"/>
    <col min="1318" max="1320" width="10.25" style="225" hidden="1" customWidth="1"/>
    <col min="1321" max="1321" width="8.75" style="225" customWidth="1"/>
    <col min="1322" max="1322" width="10.25" style="225"/>
    <col min="1323" max="1323" width="10.25" style="225" hidden="1" customWidth="1"/>
    <col min="1324" max="1324" width="8.75" style="225" customWidth="1"/>
    <col min="1325" max="1325" width="10.25" style="225"/>
    <col min="1326" max="1332" width="10.25" style="225" hidden="1" customWidth="1"/>
    <col min="1333" max="1333" width="10.25" style="225"/>
    <col min="1334" max="1334" width="9.625" style="225" customWidth="1"/>
    <col min="1335" max="1335" width="10.25" style="225"/>
    <col min="1336" max="1336" width="6.75" style="225" customWidth="1"/>
    <col min="1337" max="1536" width="10.25" style="225"/>
    <col min="1537" max="1537" width="5.375" style="225" customWidth="1"/>
    <col min="1538" max="1538" width="34.625" style="225" customWidth="1"/>
    <col min="1539" max="1539" width="4.125" style="225" customWidth="1"/>
    <col min="1540" max="1542" width="10.25" style="225"/>
    <col min="1543" max="1543" width="11.625" style="225" customWidth="1"/>
    <col min="1544" max="1547" width="10.25" style="225" hidden="1" customWidth="1"/>
    <col min="1548" max="1548" width="8.375" style="225" customWidth="1"/>
    <col min="1549" max="1549" width="10.25" style="225"/>
    <col min="1550" max="1564" width="10.25" style="225" hidden="1" customWidth="1"/>
    <col min="1565" max="1565" width="8.875" style="225" customWidth="1"/>
    <col min="1566" max="1566" width="9.75" style="225" customWidth="1"/>
    <col min="1567" max="1567" width="10.25" style="225"/>
    <col min="1568" max="1571" width="10.25" style="225" hidden="1" customWidth="1"/>
    <col min="1572" max="1572" width="9" style="225" customWidth="1"/>
    <col min="1573" max="1573" width="10.25" style="225"/>
    <col min="1574" max="1576" width="10.25" style="225" hidden="1" customWidth="1"/>
    <col min="1577" max="1577" width="8.75" style="225" customWidth="1"/>
    <col min="1578" max="1578" width="10.25" style="225"/>
    <col min="1579" max="1579" width="10.25" style="225" hidden="1" customWidth="1"/>
    <col min="1580" max="1580" width="8.75" style="225" customWidth="1"/>
    <col min="1581" max="1581" width="10.25" style="225"/>
    <col min="1582" max="1588" width="10.25" style="225" hidden="1" customWidth="1"/>
    <col min="1589" max="1589" width="10.25" style="225"/>
    <col min="1590" max="1590" width="9.625" style="225" customWidth="1"/>
    <col min="1591" max="1591" width="10.25" style="225"/>
    <col min="1592" max="1592" width="6.75" style="225" customWidth="1"/>
    <col min="1593" max="1792" width="10.25" style="225"/>
    <col min="1793" max="1793" width="5.375" style="225" customWidth="1"/>
    <col min="1794" max="1794" width="34.625" style="225" customWidth="1"/>
    <col min="1795" max="1795" width="4.125" style="225" customWidth="1"/>
    <col min="1796" max="1798" width="10.25" style="225"/>
    <col min="1799" max="1799" width="11.625" style="225" customWidth="1"/>
    <col min="1800" max="1803" width="10.25" style="225" hidden="1" customWidth="1"/>
    <col min="1804" max="1804" width="8.375" style="225" customWidth="1"/>
    <col min="1805" max="1805" width="10.25" style="225"/>
    <col min="1806" max="1820" width="10.25" style="225" hidden="1" customWidth="1"/>
    <col min="1821" max="1821" width="8.875" style="225" customWidth="1"/>
    <col min="1822" max="1822" width="9.75" style="225" customWidth="1"/>
    <col min="1823" max="1823" width="10.25" style="225"/>
    <col min="1824" max="1827" width="10.25" style="225" hidden="1" customWidth="1"/>
    <col min="1828" max="1828" width="9" style="225" customWidth="1"/>
    <col min="1829" max="1829" width="10.25" style="225"/>
    <col min="1830" max="1832" width="10.25" style="225" hidden="1" customWidth="1"/>
    <col min="1833" max="1833" width="8.75" style="225" customWidth="1"/>
    <col min="1834" max="1834" width="10.25" style="225"/>
    <col min="1835" max="1835" width="10.25" style="225" hidden="1" customWidth="1"/>
    <col min="1836" max="1836" width="8.75" style="225" customWidth="1"/>
    <col min="1837" max="1837" width="10.25" style="225"/>
    <col min="1838" max="1844" width="10.25" style="225" hidden="1" customWidth="1"/>
    <col min="1845" max="1845" width="10.25" style="225"/>
    <col min="1846" max="1846" width="9.625" style="225" customWidth="1"/>
    <col min="1847" max="1847" width="10.25" style="225"/>
    <col min="1848" max="1848" width="6.75" style="225" customWidth="1"/>
    <col min="1849" max="2048" width="10.25" style="225"/>
    <col min="2049" max="2049" width="5.375" style="225" customWidth="1"/>
    <col min="2050" max="2050" width="34.625" style="225" customWidth="1"/>
    <col min="2051" max="2051" width="4.125" style="225" customWidth="1"/>
    <col min="2052" max="2054" width="10.25" style="225"/>
    <col min="2055" max="2055" width="11.625" style="225" customWidth="1"/>
    <col min="2056" max="2059" width="10.25" style="225" hidden="1" customWidth="1"/>
    <col min="2060" max="2060" width="8.375" style="225" customWidth="1"/>
    <col min="2061" max="2061" width="10.25" style="225"/>
    <col min="2062" max="2076" width="10.25" style="225" hidden="1" customWidth="1"/>
    <col min="2077" max="2077" width="8.875" style="225" customWidth="1"/>
    <col min="2078" max="2078" width="9.75" style="225" customWidth="1"/>
    <col min="2079" max="2079" width="10.25" style="225"/>
    <col min="2080" max="2083" width="10.25" style="225" hidden="1" customWidth="1"/>
    <col min="2084" max="2084" width="9" style="225" customWidth="1"/>
    <col min="2085" max="2085" width="10.25" style="225"/>
    <col min="2086" max="2088" width="10.25" style="225" hidden="1" customWidth="1"/>
    <col min="2089" max="2089" width="8.75" style="225" customWidth="1"/>
    <col min="2090" max="2090" width="10.25" style="225"/>
    <col min="2091" max="2091" width="10.25" style="225" hidden="1" customWidth="1"/>
    <col min="2092" max="2092" width="8.75" style="225" customWidth="1"/>
    <col min="2093" max="2093" width="10.25" style="225"/>
    <col min="2094" max="2100" width="10.25" style="225" hidden="1" customWidth="1"/>
    <col min="2101" max="2101" width="10.25" style="225"/>
    <col min="2102" max="2102" width="9.625" style="225" customWidth="1"/>
    <col min="2103" max="2103" width="10.25" style="225"/>
    <col min="2104" max="2104" width="6.75" style="225" customWidth="1"/>
    <col min="2105" max="2304" width="10.25" style="225"/>
    <col min="2305" max="2305" width="5.375" style="225" customWidth="1"/>
    <col min="2306" max="2306" width="34.625" style="225" customWidth="1"/>
    <col min="2307" max="2307" width="4.125" style="225" customWidth="1"/>
    <col min="2308" max="2310" width="10.25" style="225"/>
    <col min="2311" max="2311" width="11.625" style="225" customWidth="1"/>
    <col min="2312" max="2315" width="10.25" style="225" hidden="1" customWidth="1"/>
    <col min="2316" max="2316" width="8.375" style="225" customWidth="1"/>
    <col min="2317" max="2317" width="10.25" style="225"/>
    <col min="2318" max="2332" width="10.25" style="225" hidden="1" customWidth="1"/>
    <col min="2333" max="2333" width="8.875" style="225" customWidth="1"/>
    <col min="2334" max="2334" width="9.75" style="225" customWidth="1"/>
    <col min="2335" max="2335" width="10.25" style="225"/>
    <col min="2336" max="2339" width="10.25" style="225" hidden="1" customWidth="1"/>
    <col min="2340" max="2340" width="9" style="225" customWidth="1"/>
    <col min="2341" max="2341" width="10.25" style="225"/>
    <col min="2342" max="2344" width="10.25" style="225" hidden="1" customWidth="1"/>
    <col min="2345" max="2345" width="8.75" style="225" customWidth="1"/>
    <col min="2346" max="2346" width="10.25" style="225"/>
    <col min="2347" max="2347" width="10.25" style="225" hidden="1" customWidth="1"/>
    <col min="2348" max="2348" width="8.75" style="225" customWidth="1"/>
    <col min="2349" max="2349" width="10.25" style="225"/>
    <col min="2350" max="2356" width="10.25" style="225" hidden="1" customWidth="1"/>
    <col min="2357" max="2357" width="10.25" style="225"/>
    <col min="2358" max="2358" width="9.625" style="225" customWidth="1"/>
    <col min="2359" max="2359" width="10.25" style="225"/>
    <col min="2360" max="2360" width="6.75" style="225" customWidth="1"/>
    <col min="2361" max="2560" width="10.25" style="225"/>
    <col min="2561" max="2561" width="5.375" style="225" customWidth="1"/>
    <col min="2562" max="2562" width="34.625" style="225" customWidth="1"/>
    <col min="2563" max="2563" width="4.125" style="225" customWidth="1"/>
    <col min="2564" max="2566" width="10.25" style="225"/>
    <col min="2567" max="2567" width="11.625" style="225" customWidth="1"/>
    <col min="2568" max="2571" width="10.25" style="225" hidden="1" customWidth="1"/>
    <col min="2572" max="2572" width="8.375" style="225" customWidth="1"/>
    <col min="2573" max="2573" width="10.25" style="225"/>
    <col min="2574" max="2588" width="10.25" style="225" hidden="1" customWidth="1"/>
    <col min="2589" max="2589" width="8.875" style="225" customWidth="1"/>
    <col min="2590" max="2590" width="9.75" style="225" customWidth="1"/>
    <col min="2591" max="2591" width="10.25" style="225"/>
    <col min="2592" max="2595" width="10.25" style="225" hidden="1" customWidth="1"/>
    <col min="2596" max="2596" width="9" style="225" customWidth="1"/>
    <col min="2597" max="2597" width="10.25" style="225"/>
    <col min="2598" max="2600" width="10.25" style="225" hidden="1" customWidth="1"/>
    <col min="2601" max="2601" width="8.75" style="225" customWidth="1"/>
    <col min="2602" max="2602" width="10.25" style="225"/>
    <col min="2603" max="2603" width="10.25" style="225" hidden="1" customWidth="1"/>
    <col min="2604" max="2604" width="8.75" style="225" customWidth="1"/>
    <col min="2605" max="2605" width="10.25" style="225"/>
    <col min="2606" max="2612" width="10.25" style="225" hidden="1" customWidth="1"/>
    <col min="2613" max="2613" width="10.25" style="225"/>
    <col min="2614" max="2614" width="9.625" style="225" customWidth="1"/>
    <col min="2615" max="2615" width="10.25" style="225"/>
    <col min="2616" max="2616" width="6.75" style="225" customWidth="1"/>
    <col min="2617" max="2816" width="10.25" style="225"/>
    <col min="2817" max="2817" width="5.375" style="225" customWidth="1"/>
    <col min="2818" max="2818" width="34.625" style="225" customWidth="1"/>
    <col min="2819" max="2819" width="4.125" style="225" customWidth="1"/>
    <col min="2820" max="2822" width="10.25" style="225"/>
    <col min="2823" max="2823" width="11.625" style="225" customWidth="1"/>
    <col min="2824" max="2827" width="10.25" style="225" hidden="1" customWidth="1"/>
    <col min="2828" max="2828" width="8.375" style="225" customWidth="1"/>
    <col min="2829" max="2829" width="10.25" style="225"/>
    <col min="2830" max="2844" width="10.25" style="225" hidden="1" customWidth="1"/>
    <col min="2845" max="2845" width="8.875" style="225" customWidth="1"/>
    <col min="2846" max="2846" width="9.75" style="225" customWidth="1"/>
    <col min="2847" max="2847" width="10.25" style="225"/>
    <col min="2848" max="2851" width="10.25" style="225" hidden="1" customWidth="1"/>
    <col min="2852" max="2852" width="9" style="225" customWidth="1"/>
    <col min="2853" max="2853" width="10.25" style="225"/>
    <col min="2854" max="2856" width="10.25" style="225" hidden="1" customWidth="1"/>
    <col min="2857" max="2857" width="8.75" style="225" customWidth="1"/>
    <col min="2858" max="2858" width="10.25" style="225"/>
    <col min="2859" max="2859" width="10.25" style="225" hidden="1" customWidth="1"/>
    <col min="2860" max="2860" width="8.75" style="225" customWidth="1"/>
    <col min="2861" max="2861" width="10.25" style="225"/>
    <col min="2862" max="2868" width="10.25" style="225" hidden="1" customWidth="1"/>
    <col min="2869" max="2869" width="10.25" style="225"/>
    <col min="2870" max="2870" width="9.625" style="225" customWidth="1"/>
    <col min="2871" max="2871" width="10.25" style="225"/>
    <col min="2872" max="2872" width="6.75" style="225" customWidth="1"/>
    <col min="2873" max="3072" width="10.25" style="225"/>
    <col min="3073" max="3073" width="5.375" style="225" customWidth="1"/>
    <col min="3074" max="3074" width="34.625" style="225" customWidth="1"/>
    <col min="3075" max="3075" width="4.125" style="225" customWidth="1"/>
    <col min="3076" max="3078" width="10.25" style="225"/>
    <col min="3079" max="3079" width="11.625" style="225" customWidth="1"/>
    <col min="3080" max="3083" width="10.25" style="225" hidden="1" customWidth="1"/>
    <col min="3084" max="3084" width="8.375" style="225" customWidth="1"/>
    <col min="3085" max="3085" width="10.25" style="225"/>
    <col min="3086" max="3100" width="10.25" style="225" hidden="1" customWidth="1"/>
    <col min="3101" max="3101" width="8.875" style="225" customWidth="1"/>
    <col min="3102" max="3102" width="9.75" style="225" customWidth="1"/>
    <col min="3103" max="3103" width="10.25" style="225"/>
    <col min="3104" max="3107" width="10.25" style="225" hidden="1" customWidth="1"/>
    <col min="3108" max="3108" width="9" style="225" customWidth="1"/>
    <col min="3109" max="3109" width="10.25" style="225"/>
    <col min="3110" max="3112" width="10.25" style="225" hidden="1" customWidth="1"/>
    <col min="3113" max="3113" width="8.75" style="225" customWidth="1"/>
    <col min="3114" max="3114" width="10.25" style="225"/>
    <col min="3115" max="3115" width="10.25" style="225" hidden="1" customWidth="1"/>
    <col min="3116" max="3116" width="8.75" style="225" customWidth="1"/>
    <col min="3117" max="3117" width="10.25" style="225"/>
    <col min="3118" max="3124" width="10.25" style="225" hidden="1" customWidth="1"/>
    <col min="3125" max="3125" width="10.25" style="225"/>
    <col min="3126" max="3126" width="9.625" style="225" customWidth="1"/>
    <col min="3127" max="3127" width="10.25" style="225"/>
    <col min="3128" max="3128" width="6.75" style="225" customWidth="1"/>
    <col min="3129" max="3328" width="10.25" style="225"/>
    <col min="3329" max="3329" width="5.375" style="225" customWidth="1"/>
    <col min="3330" max="3330" width="34.625" style="225" customWidth="1"/>
    <col min="3331" max="3331" width="4.125" style="225" customWidth="1"/>
    <col min="3332" max="3334" width="10.25" style="225"/>
    <col min="3335" max="3335" width="11.625" style="225" customWidth="1"/>
    <col min="3336" max="3339" width="10.25" style="225" hidden="1" customWidth="1"/>
    <col min="3340" max="3340" width="8.375" style="225" customWidth="1"/>
    <col min="3341" max="3341" width="10.25" style="225"/>
    <col min="3342" max="3356" width="10.25" style="225" hidden="1" customWidth="1"/>
    <col min="3357" max="3357" width="8.875" style="225" customWidth="1"/>
    <col min="3358" max="3358" width="9.75" style="225" customWidth="1"/>
    <col min="3359" max="3359" width="10.25" style="225"/>
    <col min="3360" max="3363" width="10.25" style="225" hidden="1" customWidth="1"/>
    <col min="3364" max="3364" width="9" style="225" customWidth="1"/>
    <col min="3365" max="3365" width="10.25" style="225"/>
    <col min="3366" max="3368" width="10.25" style="225" hidden="1" customWidth="1"/>
    <col min="3369" max="3369" width="8.75" style="225" customWidth="1"/>
    <col min="3370" max="3370" width="10.25" style="225"/>
    <col min="3371" max="3371" width="10.25" style="225" hidden="1" customWidth="1"/>
    <col min="3372" max="3372" width="8.75" style="225" customWidth="1"/>
    <col min="3373" max="3373" width="10.25" style="225"/>
    <col min="3374" max="3380" width="10.25" style="225" hidden="1" customWidth="1"/>
    <col min="3381" max="3381" width="10.25" style="225"/>
    <col min="3382" max="3382" width="9.625" style="225" customWidth="1"/>
    <col min="3383" max="3383" width="10.25" style="225"/>
    <col min="3384" max="3384" width="6.75" style="225" customWidth="1"/>
    <col min="3385" max="3584" width="10.25" style="225"/>
    <col min="3585" max="3585" width="5.375" style="225" customWidth="1"/>
    <col min="3586" max="3586" width="34.625" style="225" customWidth="1"/>
    <col min="3587" max="3587" width="4.125" style="225" customWidth="1"/>
    <col min="3588" max="3590" width="10.25" style="225"/>
    <col min="3591" max="3591" width="11.625" style="225" customWidth="1"/>
    <col min="3592" max="3595" width="10.25" style="225" hidden="1" customWidth="1"/>
    <col min="3596" max="3596" width="8.375" style="225" customWidth="1"/>
    <col min="3597" max="3597" width="10.25" style="225"/>
    <col min="3598" max="3612" width="10.25" style="225" hidden="1" customWidth="1"/>
    <col min="3613" max="3613" width="8.875" style="225" customWidth="1"/>
    <col min="3614" max="3614" width="9.75" style="225" customWidth="1"/>
    <col min="3615" max="3615" width="10.25" style="225"/>
    <col min="3616" max="3619" width="10.25" style="225" hidden="1" customWidth="1"/>
    <col min="3620" max="3620" width="9" style="225" customWidth="1"/>
    <col min="3621" max="3621" width="10.25" style="225"/>
    <col min="3622" max="3624" width="10.25" style="225" hidden="1" customWidth="1"/>
    <col min="3625" max="3625" width="8.75" style="225" customWidth="1"/>
    <col min="3626" max="3626" width="10.25" style="225"/>
    <col min="3627" max="3627" width="10.25" style="225" hidden="1" customWidth="1"/>
    <col min="3628" max="3628" width="8.75" style="225" customWidth="1"/>
    <col min="3629" max="3629" width="10.25" style="225"/>
    <col min="3630" max="3636" width="10.25" style="225" hidden="1" customWidth="1"/>
    <col min="3637" max="3637" width="10.25" style="225"/>
    <col min="3638" max="3638" width="9.625" style="225" customWidth="1"/>
    <col min="3639" max="3639" width="10.25" style="225"/>
    <col min="3640" max="3640" width="6.75" style="225" customWidth="1"/>
    <col min="3641" max="3840" width="10.25" style="225"/>
    <col min="3841" max="3841" width="5.375" style="225" customWidth="1"/>
    <col min="3842" max="3842" width="34.625" style="225" customWidth="1"/>
    <col min="3843" max="3843" width="4.125" style="225" customWidth="1"/>
    <col min="3844" max="3846" width="10.25" style="225"/>
    <col min="3847" max="3847" width="11.625" style="225" customWidth="1"/>
    <col min="3848" max="3851" width="10.25" style="225" hidden="1" customWidth="1"/>
    <col min="3852" max="3852" width="8.375" style="225" customWidth="1"/>
    <col min="3853" max="3853" width="10.25" style="225"/>
    <col min="3854" max="3868" width="10.25" style="225" hidden="1" customWidth="1"/>
    <col min="3869" max="3869" width="8.875" style="225" customWidth="1"/>
    <col min="3870" max="3870" width="9.75" style="225" customWidth="1"/>
    <col min="3871" max="3871" width="10.25" style="225"/>
    <col min="3872" max="3875" width="10.25" style="225" hidden="1" customWidth="1"/>
    <col min="3876" max="3876" width="9" style="225" customWidth="1"/>
    <col min="3877" max="3877" width="10.25" style="225"/>
    <col min="3878" max="3880" width="10.25" style="225" hidden="1" customWidth="1"/>
    <col min="3881" max="3881" width="8.75" style="225" customWidth="1"/>
    <col min="3882" max="3882" width="10.25" style="225"/>
    <col min="3883" max="3883" width="10.25" style="225" hidden="1" customWidth="1"/>
    <col min="3884" max="3884" width="8.75" style="225" customWidth="1"/>
    <col min="3885" max="3885" width="10.25" style="225"/>
    <col min="3886" max="3892" width="10.25" style="225" hidden="1" customWidth="1"/>
    <col min="3893" max="3893" width="10.25" style="225"/>
    <col min="3894" max="3894" width="9.625" style="225" customWidth="1"/>
    <col min="3895" max="3895" width="10.25" style="225"/>
    <col min="3896" max="3896" width="6.75" style="225" customWidth="1"/>
    <col min="3897" max="4096" width="10.25" style="225"/>
    <col min="4097" max="4097" width="5.375" style="225" customWidth="1"/>
    <col min="4098" max="4098" width="34.625" style="225" customWidth="1"/>
    <col min="4099" max="4099" width="4.125" style="225" customWidth="1"/>
    <col min="4100" max="4102" width="10.25" style="225"/>
    <col min="4103" max="4103" width="11.625" style="225" customWidth="1"/>
    <col min="4104" max="4107" width="10.25" style="225" hidden="1" customWidth="1"/>
    <col min="4108" max="4108" width="8.375" style="225" customWidth="1"/>
    <col min="4109" max="4109" width="10.25" style="225"/>
    <col min="4110" max="4124" width="10.25" style="225" hidden="1" customWidth="1"/>
    <col min="4125" max="4125" width="8.875" style="225" customWidth="1"/>
    <col min="4126" max="4126" width="9.75" style="225" customWidth="1"/>
    <col min="4127" max="4127" width="10.25" style="225"/>
    <col min="4128" max="4131" width="10.25" style="225" hidden="1" customWidth="1"/>
    <col min="4132" max="4132" width="9" style="225" customWidth="1"/>
    <col min="4133" max="4133" width="10.25" style="225"/>
    <col min="4134" max="4136" width="10.25" style="225" hidden="1" customWidth="1"/>
    <col min="4137" max="4137" width="8.75" style="225" customWidth="1"/>
    <col min="4138" max="4138" width="10.25" style="225"/>
    <col min="4139" max="4139" width="10.25" style="225" hidden="1" customWidth="1"/>
    <col min="4140" max="4140" width="8.75" style="225" customWidth="1"/>
    <col min="4141" max="4141" width="10.25" style="225"/>
    <col min="4142" max="4148" width="10.25" style="225" hidden="1" customWidth="1"/>
    <col min="4149" max="4149" width="10.25" style="225"/>
    <col min="4150" max="4150" width="9.625" style="225" customWidth="1"/>
    <col min="4151" max="4151" width="10.25" style="225"/>
    <col min="4152" max="4152" width="6.75" style="225" customWidth="1"/>
    <col min="4153" max="4352" width="10.25" style="225"/>
    <col min="4353" max="4353" width="5.375" style="225" customWidth="1"/>
    <col min="4354" max="4354" width="34.625" style="225" customWidth="1"/>
    <col min="4355" max="4355" width="4.125" style="225" customWidth="1"/>
    <col min="4356" max="4358" width="10.25" style="225"/>
    <col min="4359" max="4359" width="11.625" style="225" customWidth="1"/>
    <col min="4360" max="4363" width="10.25" style="225" hidden="1" customWidth="1"/>
    <col min="4364" max="4364" width="8.375" style="225" customWidth="1"/>
    <col min="4365" max="4365" width="10.25" style="225"/>
    <col min="4366" max="4380" width="10.25" style="225" hidden="1" customWidth="1"/>
    <col min="4381" max="4381" width="8.875" style="225" customWidth="1"/>
    <col min="4382" max="4382" width="9.75" style="225" customWidth="1"/>
    <col min="4383" max="4383" width="10.25" style="225"/>
    <col min="4384" max="4387" width="10.25" style="225" hidden="1" customWidth="1"/>
    <col min="4388" max="4388" width="9" style="225" customWidth="1"/>
    <col min="4389" max="4389" width="10.25" style="225"/>
    <col min="4390" max="4392" width="10.25" style="225" hidden="1" customWidth="1"/>
    <col min="4393" max="4393" width="8.75" style="225" customWidth="1"/>
    <col min="4394" max="4394" width="10.25" style="225"/>
    <col min="4395" max="4395" width="10.25" style="225" hidden="1" customWidth="1"/>
    <col min="4396" max="4396" width="8.75" style="225" customWidth="1"/>
    <col min="4397" max="4397" width="10.25" style="225"/>
    <col min="4398" max="4404" width="10.25" style="225" hidden="1" customWidth="1"/>
    <col min="4405" max="4405" width="10.25" style="225"/>
    <col min="4406" max="4406" width="9.625" style="225" customWidth="1"/>
    <col min="4407" max="4407" width="10.25" style="225"/>
    <col min="4408" max="4408" width="6.75" style="225" customWidth="1"/>
    <col min="4409" max="4608" width="10.25" style="225"/>
    <col min="4609" max="4609" width="5.375" style="225" customWidth="1"/>
    <col min="4610" max="4610" width="34.625" style="225" customWidth="1"/>
    <col min="4611" max="4611" width="4.125" style="225" customWidth="1"/>
    <col min="4612" max="4614" width="10.25" style="225"/>
    <col min="4615" max="4615" width="11.625" style="225" customWidth="1"/>
    <col min="4616" max="4619" width="10.25" style="225" hidden="1" customWidth="1"/>
    <col min="4620" max="4620" width="8.375" style="225" customWidth="1"/>
    <col min="4621" max="4621" width="10.25" style="225"/>
    <col min="4622" max="4636" width="10.25" style="225" hidden="1" customWidth="1"/>
    <col min="4637" max="4637" width="8.875" style="225" customWidth="1"/>
    <col min="4638" max="4638" width="9.75" style="225" customWidth="1"/>
    <col min="4639" max="4639" width="10.25" style="225"/>
    <col min="4640" max="4643" width="10.25" style="225" hidden="1" customWidth="1"/>
    <col min="4644" max="4644" width="9" style="225" customWidth="1"/>
    <col min="4645" max="4645" width="10.25" style="225"/>
    <col min="4646" max="4648" width="10.25" style="225" hidden="1" customWidth="1"/>
    <col min="4649" max="4649" width="8.75" style="225" customWidth="1"/>
    <col min="4650" max="4650" width="10.25" style="225"/>
    <col min="4651" max="4651" width="10.25" style="225" hidden="1" customWidth="1"/>
    <col min="4652" max="4652" width="8.75" style="225" customWidth="1"/>
    <col min="4653" max="4653" width="10.25" style="225"/>
    <col min="4654" max="4660" width="10.25" style="225" hidden="1" customWidth="1"/>
    <col min="4661" max="4661" width="10.25" style="225"/>
    <col min="4662" max="4662" width="9.625" style="225" customWidth="1"/>
    <col min="4663" max="4663" width="10.25" style="225"/>
    <col min="4664" max="4664" width="6.75" style="225" customWidth="1"/>
    <col min="4665" max="4864" width="10.25" style="225"/>
    <col min="4865" max="4865" width="5.375" style="225" customWidth="1"/>
    <col min="4866" max="4866" width="34.625" style="225" customWidth="1"/>
    <col min="4867" max="4867" width="4.125" style="225" customWidth="1"/>
    <col min="4868" max="4870" width="10.25" style="225"/>
    <col min="4871" max="4871" width="11.625" style="225" customWidth="1"/>
    <col min="4872" max="4875" width="10.25" style="225" hidden="1" customWidth="1"/>
    <col min="4876" max="4876" width="8.375" style="225" customWidth="1"/>
    <col min="4877" max="4877" width="10.25" style="225"/>
    <col min="4878" max="4892" width="10.25" style="225" hidden="1" customWidth="1"/>
    <col min="4893" max="4893" width="8.875" style="225" customWidth="1"/>
    <col min="4894" max="4894" width="9.75" style="225" customWidth="1"/>
    <col min="4895" max="4895" width="10.25" style="225"/>
    <col min="4896" max="4899" width="10.25" style="225" hidden="1" customWidth="1"/>
    <col min="4900" max="4900" width="9" style="225" customWidth="1"/>
    <col min="4901" max="4901" width="10.25" style="225"/>
    <col min="4902" max="4904" width="10.25" style="225" hidden="1" customWidth="1"/>
    <col min="4905" max="4905" width="8.75" style="225" customWidth="1"/>
    <col min="4906" max="4906" width="10.25" style="225"/>
    <col min="4907" max="4907" width="10.25" style="225" hidden="1" customWidth="1"/>
    <col min="4908" max="4908" width="8.75" style="225" customWidth="1"/>
    <col min="4909" max="4909" width="10.25" style="225"/>
    <col min="4910" max="4916" width="10.25" style="225" hidden="1" customWidth="1"/>
    <col min="4917" max="4917" width="10.25" style="225"/>
    <col min="4918" max="4918" width="9.625" style="225" customWidth="1"/>
    <col min="4919" max="4919" width="10.25" style="225"/>
    <col min="4920" max="4920" width="6.75" style="225" customWidth="1"/>
    <col min="4921" max="5120" width="10.25" style="225"/>
    <col min="5121" max="5121" width="5.375" style="225" customWidth="1"/>
    <col min="5122" max="5122" width="34.625" style="225" customWidth="1"/>
    <col min="5123" max="5123" width="4.125" style="225" customWidth="1"/>
    <col min="5124" max="5126" width="10.25" style="225"/>
    <col min="5127" max="5127" width="11.625" style="225" customWidth="1"/>
    <col min="5128" max="5131" width="10.25" style="225" hidden="1" customWidth="1"/>
    <col min="5132" max="5132" width="8.375" style="225" customWidth="1"/>
    <col min="5133" max="5133" width="10.25" style="225"/>
    <col min="5134" max="5148" width="10.25" style="225" hidden="1" customWidth="1"/>
    <col min="5149" max="5149" width="8.875" style="225" customWidth="1"/>
    <col min="5150" max="5150" width="9.75" style="225" customWidth="1"/>
    <col min="5151" max="5151" width="10.25" style="225"/>
    <col min="5152" max="5155" width="10.25" style="225" hidden="1" customWidth="1"/>
    <col min="5156" max="5156" width="9" style="225" customWidth="1"/>
    <col min="5157" max="5157" width="10.25" style="225"/>
    <col min="5158" max="5160" width="10.25" style="225" hidden="1" customWidth="1"/>
    <col min="5161" max="5161" width="8.75" style="225" customWidth="1"/>
    <col min="5162" max="5162" width="10.25" style="225"/>
    <col min="5163" max="5163" width="10.25" style="225" hidden="1" customWidth="1"/>
    <col min="5164" max="5164" width="8.75" style="225" customWidth="1"/>
    <col min="5165" max="5165" width="10.25" style="225"/>
    <col min="5166" max="5172" width="10.25" style="225" hidden="1" customWidth="1"/>
    <col min="5173" max="5173" width="10.25" style="225"/>
    <col min="5174" max="5174" width="9.625" style="225" customWidth="1"/>
    <col min="5175" max="5175" width="10.25" style="225"/>
    <col min="5176" max="5176" width="6.75" style="225" customWidth="1"/>
    <col min="5177" max="5376" width="10.25" style="225"/>
    <col min="5377" max="5377" width="5.375" style="225" customWidth="1"/>
    <col min="5378" max="5378" width="34.625" style="225" customWidth="1"/>
    <col min="5379" max="5379" width="4.125" style="225" customWidth="1"/>
    <col min="5380" max="5382" width="10.25" style="225"/>
    <col min="5383" max="5383" width="11.625" style="225" customWidth="1"/>
    <col min="5384" max="5387" width="10.25" style="225" hidden="1" customWidth="1"/>
    <col min="5388" max="5388" width="8.375" style="225" customWidth="1"/>
    <col min="5389" max="5389" width="10.25" style="225"/>
    <col min="5390" max="5404" width="10.25" style="225" hidden="1" customWidth="1"/>
    <col min="5405" max="5405" width="8.875" style="225" customWidth="1"/>
    <col min="5406" max="5406" width="9.75" style="225" customWidth="1"/>
    <col min="5407" max="5407" width="10.25" style="225"/>
    <col min="5408" max="5411" width="10.25" style="225" hidden="1" customWidth="1"/>
    <col min="5412" max="5412" width="9" style="225" customWidth="1"/>
    <col min="5413" max="5413" width="10.25" style="225"/>
    <col min="5414" max="5416" width="10.25" style="225" hidden="1" customWidth="1"/>
    <col min="5417" max="5417" width="8.75" style="225" customWidth="1"/>
    <col min="5418" max="5418" width="10.25" style="225"/>
    <col min="5419" max="5419" width="10.25" style="225" hidden="1" customWidth="1"/>
    <col min="5420" max="5420" width="8.75" style="225" customWidth="1"/>
    <col min="5421" max="5421" width="10.25" style="225"/>
    <col min="5422" max="5428" width="10.25" style="225" hidden="1" customWidth="1"/>
    <col min="5429" max="5429" width="10.25" style="225"/>
    <col min="5430" max="5430" width="9.625" style="225" customWidth="1"/>
    <col min="5431" max="5431" width="10.25" style="225"/>
    <col min="5432" max="5432" width="6.75" style="225" customWidth="1"/>
    <col min="5433" max="5632" width="10.25" style="225"/>
    <col min="5633" max="5633" width="5.375" style="225" customWidth="1"/>
    <col min="5634" max="5634" width="34.625" style="225" customWidth="1"/>
    <col min="5635" max="5635" width="4.125" style="225" customWidth="1"/>
    <col min="5636" max="5638" width="10.25" style="225"/>
    <col min="5639" max="5639" width="11.625" style="225" customWidth="1"/>
    <col min="5640" max="5643" width="10.25" style="225" hidden="1" customWidth="1"/>
    <col min="5644" max="5644" width="8.375" style="225" customWidth="1"/>
    <col min="5645" max="5645" width="10.25" style="225"/>
    <col min="5646" max="5660" width="10.25" style="225" hidden="1" customWidth="1"/>
    <col min="5661" max="5661" width="8.875" style="225" customWidth="1"/>
    <col min="5662" max="5662" width="9.75" style="225" customWidth="1"/>
    <col min="5663" max="5663" width="10.25" style="225"/>
    <col min="5664" max="5667" width="10.25" style="225" hidden="1" customWidth="1"/>
    <col min="5668" max="5668" width="9" style="225" customWidth="1"/>
    <col min="5669" max="5669" width="10.25" style="225"/>
    <col min="5670" max="5672" width="10.25" style="225" hidden="1" customWidth="1"/>
    <col min="5673" max="5673" width="8.75" style="225" customWidth="1"/>
    <col min="5674" max="5674" width="10.25" style="225"/>
    <col min="5675" max="5675" width="10.25" style="225" hidden="1" customWidth="1"/>
    <col min="5676" max="5676" width="8.75" style="225" customWidth="1"/>
    <col min="5677" max="5677" width="10.25" style="225"/>
    <col min="5678" max="5684" width="10.25" style="225" hidden="1" customWidth="1"/>
    <col min="5685" max="5685" width="10.25" style="225"/>
    <col min="5686" max="5686" width="9.625" style="225" customWidth="1"/>
    <col min="5687" max="5687" width="10.25" style="225"/>
    <col min="5688" max="5688" width="6.75" style="225" customWidth="1"/>
    <col min="5689" max="5888" width="10.25" style="225"/>
    <col min="5889" max="5889" width="5.375" style="225" customWidth="1"/>
    <col min="5890" max="5890" width="34.625" style="225" customWidth="1"/>
    <col min="5891" max="5891" width="4.125" style="225" customWidth="1"/>
    <col min="5892" max="5894" width="10.25" style="225"/>
    <col min="5895" max="5895" width="11.625" style="225" customWidth="1"/>
    <col min="5896" max="5899" width="10.25" style="225" hidden="1" customWidth="1"/>
    <col min="5900" max="5900" width="8.375" style="225" customWidth="1"/>
    <col min="5901" max="5901" width="10.25" style="225"/>
    <col min="5902" max="5916" width="10.25" style="225" hidden="1" customWidth="1"/>
    <col min="5917" max="5917" width="8.875" style="225" customWidth="1"/>
    <col min="5918" max="5918" width="9.75" style="225" customWidth="1"/>
    <col min="5919" max="5919" width="10.25" style="225"/>
    <col min="5920" max="5923" width="10.25" style="225" hidden="1" customWidth="1"/>
    <col min="5924" max="5924" width="9" style="225" customWidth="1"/>
    <col min="5925" max="5925" width="10.25" style="225"/>
    <col min="5926" max="5928" width="10.25" style="225" hidden="1" customWidth="1"/>
    <col min="5929" max="5929" width="8.75" style="225" customWidth="1"/>
    <col min="5930" max="5930" width="10.25" style="225"/>
    <col min="5931" max="5931" width="10.25" style="225" hidden="1" customWidth="1"/>
    <col min="5932" max="5932" width="8.75" style="225" customWidth="1"/>
    <col min="5933" max="5933" width="10.25" style="225"/>
    <col min="5934" max="5940" width="10.25" style="225" hidden="1" customWidth="1"/>
    <col min="5941" max="5941" width="10.25" style="225"/>
    <col min="5942" max="5942" width="9.625" style="225" customWidth="1"/>
    <col min="5943" max="5943" width="10.25" style="225"/>
    <col min="5944" max="5944" width="6.75" style="225" customWidth="1"/>
    <col min="5945" max="6144" width="10.25" style="225"/>
    <col min="6145" max="6145" width="5.375" style="225" customWidth="1"/>
    <col min="6146" max="6146" width="34.625" style="225" customWidth="1"/>
    <col min="6147" max="6147" width="4.125" style="225" customWidth="1"/>
    <col min="6148" max="6150" width="10.25" style="225"/>
    <col min="6151" max="6151" width="11.625" style="225" customWidth="1"/>
    <col min="6152" max="6155" width="10.25" style="225" hidden="1" customWidth="1"/>
    <col min="6156" max="6156" width="8.375" style="225" customWidth="1"/>
    <col min="6157" max="6157" width="10.25" style="225"/>
    <col min="6158" max="6172" width="10.25" style="225" hidden="1" customWidth="1"/>
    <col min="6173" max="6173" width="8.875" style="225" customWidth="1"/>
    <col min="6174" max="6174" width="9.75" style="225" customWidth="1"/>
    <col min="6175" max="6175" width="10.25" style="225"/>
    <col min="6176" max="6179" width="10.25" style="225" hidden="1" customWidth="1"/>
    <col min="6180" max="6180" width="9" style="225" customWidth="1"/>
    <col min="6181" max="6181" width="10.25" style="225"/>
    <col min="6182" max="6184" width="10.25" style="225" hidden="1" customWidth="1"/>
    <col min="6185" max="6185" width="8.75" style="225" customWidth="1"/>
    <col min="6186" max="6186" width="10.25" style="225"/>
    <col min="6187" max="6187" width="10.25" style="225" hidden="1" customWidth="1"/>
    <col min="6188" max="6188" width="8.75" style="225" customWidth="1"/>
    <col min="6189" max="6189" width="10.25" style="225"/>
    <col min="6190" max="6196" width="10.25" style="225" hidden="1" customWidth="1"/>
    <col min="6197" max="6197" width="10.25" style="225"/>
    <col min="6198" max="6198" width="9.625" style="225" customWidth="1"/>
    <col min="6199" max="6199" width="10.25" style="225"/>
    <col min="6200" max="6200" width="6.75" style="225" customWidth="1"/>
    <col min="6201" max="6400" width="10.25" style="225"/>
    <col min="6401" max="6401" width="5.375" style="225" customWidth="1"/>
    <col min="6402" max="6402" width="34.625" style="225" customWidth="1"/>
    <col min="6403" max="6403" width="4.125" style="225" customWidth="1"/>
    <col min="6404" max="6406" width="10.25" style="225"/>
    <col min="6407" max="6407" width="11.625" style="225" customWidth="1"/>
    <col min="6408" max="6411" width="10.25" style="225" hidden="1" customWidth="1"/>
    <col min="6412" max="6412" width="8.375" style="225" customWidth="1"/>
    <col min="6413" max="6413" width="10.25" style="225"/>
    <col min="6414" max="6428" width="10.25" style="225" hidden="1" customWidth="1"/>
    <col min="6429" max="6429" width="8.875" style="225" customWidth="1"/>
    <col min="6430" max="6430" width="9.75" style="225" customWidth="1"/>
    <col min="6431" max="6431" width="10.25" style="225"/>
    <col min="6432" max="6435" width="10.25" style="225" hidden="1" customWidth="1"/>
    <col min="6436" max="6436" width="9" style="225" customWidth="1"/>
    <col min="6437" max="6437" width="10.25" style="225"/>
    <col min="6438" max="6440" width="10.25" style="225" hidden="1" customWidth="1"/>
    <col min="6441" max="6441" width="8.75" style="225" customWidth="1"/>
    <col min="6442" max="6442" width="10.25" style="225"/>
    <col min="6443" max="6443" width="10.25" style="225" hidden="1" customWidth="1"/>
    <col min="6444" max="6444" width="8.75" style="225" customWidth="1"/>
    <col min="6445" max="6445" width="10.25" style="225"/>
    <col min="6446" max="6452" width="10.25" style="225" hidden="1" customWidth="1"/>
    <col min="6453" max="6453" width="10.25" style="225"/>
    <col min="6454" max="6454" width="9.625" style="225" customWidth="1"/>
    <col min="6455" max="6455" width="10.25" style="225"/>
    <col min="6456" max="6456" width="6.75" style="225" customWidth="1"/>
    <col min="6457" max="6656" width="10.25" style="225"/>
    <col min="6657" max="6657" width="5.375" style="225" customWidth="1"/>
    <col min="6658" max="6658" width="34.625" style="225" customWidth="1"/>
    <col min="6659" max="6659" width="4.125" style="225" customWidth="1"/>
    <col min="6660" max="6662" width="10.25" style="225"/>
    <col min="6663" max="6663" width="11.625" style="225" customWidth="1"/>
    <col min="6664" max="6667" width="10.25" style="225" hidden="1" customWidth="1"/>
    <col min="6668" max="6668" width="8.375" style="225" customWidth="1"/>
    <col min="6669" max="6669" width="10.25" style="225"/>
    <col min="6670" max="6684" width="10.25" style="225" hidden="1" customWidth="1"/>
    <col min="6685" max="6685" width="8.875" style="225" customWidth="1"/>
    <col min="6686" max="6686" width="9.75" style="225" customWidth="1"/>
    <col min="6687" max="6687" width="10.25" style="225"/>
    <col min="6688" max="6691" width="10.25" style="225" hidden="1" customWidth="1"/>
    <col min="6692" max="6692" width="9" style="225" customWidth="1"/>
    <col min="6693" max="6693" width="10.25" style="225"/>
    <col min="6694" max="6696" width="10.25" style="225" hidden="1" customWidth="1"/>
    <col min="6697" max="6697" width="8.75" style="225" customWidth="1"/>
    <col min="6698" max="6698" width="10.25" style="225"/>
    <col min="6699" max="6699" width="10.25" style="225" hidden="1" customWidth="1"/>
    <col min="6700" max="6700" width="8.75" style="225" customWidth="1"/>
    <col min="6701" max="6701" width="10.25" style="225"/>
    <col min="6702" max="6708" width="10.25" style="225" hidden="1" customWidth="1"/>
    <col min="6709" max="6709" width="10.25" style="225"/>
    <col min="6710" max="6710" width="9.625" style="225" customWidth="1"/>
    <col min="6711" max="6711" width="10.25" style="225"/>
    <col min="6712" max="6712" width="6.75" style="225" customWidth="1"/>
    <col min="6713" max="6912" width="10.25" style="225"/>
    <col min="6913" max="6913" width="5.375" style="225" customWidth="1"/>
    <col min="6914" max="6914" width="34.625" style="225" customWidth="1"/>
    <col min="6915" max="6915" width="4.125" style="225" customWidth="1"/>
    <col min="6916" max="6918" width="10.25" style="225"/>
    <col min="6919" max="6919" width="11.625" style="225" customWidth="1"/>
    <col min="6920" max="6923" width="10.25" style="225" hidden="1" customWidth="1"/>
    <col min="6924" max="6924" width="8.375" style="225" customWidth="1"/>
    <col min="6925" max="6925" width="10.25" style="225"/>
    <col min="6926" max="6940" width="10.25" style="225" hidden="1" customWidth="1"/>
    <col min="6941" max="6941" width="8.875" style="225" customWidth="1"/>
    <col min="6942" max="6942" width="9.75" style="225" customWidth="1"/>
    <col min="6943" max="6943" width="10.25" style="225"/>
    <col min="6944" max="6947" width="10.25" style="225" hidden="1" customWidth="1"/>
    <col min="6948" max="6948" width="9" style="225" customWidth="1"/>
    <col min="6949" max="6949" width="10.25" style="225"/>
    <col min="6950" max="6952" width="10.25" style="225" hidden="1" customWidth="1"/>
    <col min="6953" max="6953" width="8.75" style="225" customWidth="1"/>
    <col min="6954" max="6954" width="10.25" style="225"/>
    <col min="6955" max="6955" width="10.25" style="225" hidden="1" customWidth="1"/>
    <col min="6956" max="6956" width="8.75" style="225" customWidth="1"/>
    <col min="6957" max="6957" width="10.25" style="225"/>
    <col min="6958" max="6964" width="10.25" style="225" hidden="1" customWidth="1"/>
    <col min="6965" max="6965" width="10.25" style="225"/>
    <col min="6966" max="6966" width="9.625" style="225" customWidth="1"/>
    <col min="6967" max="6967" width="10.25" style="225"/>
    <col min="6968" max="6968" width="6.75" style="225" customWidth="1"/>
    <col min="6969" max="7168" width="10.25" style="225"/>
    <col min="7169" max="7169" width="5.375" style="225" customWidth="1"/>
    <col min="7170" max="7170" width="34.625" style="225" customWidth="1"/>
    <col min="7171" max="7171" width="4.125" style="225" customWidth="1"/>
    <col min="7172" max="7174" width="10.25" style="225"/>
    <col min="7175" max="7175" width="11.625" style="225" customWidth="1"/>
    <col min="7176" max="7179" width="10.25" style="225" hidden="1" customWidth="1"/>
    <col min="7180" max="7180" width="8.375" style="225" customWidth="1"/>
    <col min="7181" max="7181" width="10.25" style="225"/>
    <col min="7182" max="7196" width="10.25" style="225" hidden="1" customWidth="1"/>
    <col min="7197" max="7197" width="8.875" style="225" customWidth="1"/>
    <col min="7198" max="7198" width="9.75" style="225" customWidth="1"/>
    <col min="7199" max="7199" width="10.25" style="225"/>
    <col min="7200" max="7203" width="10.25" style="225" hidden="1" customWidth="1"/>
    <col min="7204" max="7204" width="9" style="225" customWidth="1"/>
    <col min="7205" max="7205" width="10.25" style="225"/>
    <col min="7206" max="7208" width="10.25" style="225" hidden="1" customWidth="1"/>
    <col min="7209" max="7209" width="8.75" style="225" customWidth="1"/>
    <col min="7210" max="7210" width="10.25" style="225"/>
    <col min="7211" max="7211" width="10.25" style="225" hidden="1" customWidth="1"/>
    <col min="7212" max="7212" width="8.75" style="225" customWidth="1"/>
    <col min="7213" max="7213" width="10.25" style="225"/>
    <col min="7214" max="7220" width="10.25" style="225" hidden="1" customWidth="1"/>
    <col min="7221" max="7221" width="10.25" style="225"/>
    <col min="7222" max="7222" width="9.625" style="225" customWidth="1"/>
    <col min="7223" max="7223" width="10.25" style="225"/>
    <col min="7224" max="7224" width="6.75" style="225" customWidth="1"/>
    <col min="7225" max="7424" width="10.25" style="225"/>
    <col min="7425" max="7425" width="5.375" style="225" customWidth="1"/>
    <col min="7426" max="7426" width="34.625" style="225" customWidth="1"/>
    <col min="7427" max="7427" width="4.125" style="225" customWidth="1"/>
    <col min="7428" max="7430" width="10.25" style="225"/>
    <col min="7431" max="7431" width="11.625" style="225" customWidth="1"/>
    <col min="7432" max="7435" width="10.25" style="225" hidden="1" customWidth="1"/>
    <col min="7436" max="7436" width="8.375" style="225" customWidth="1"/>
    <col min="7437" max="7437" width="10.25" style="225"/>
    <col min="7438" max="7452" width="10.25" style="225" hidden="1" customWidth="1"/>
    <col min="7453" max="7453" width="8.875" style="225" customWidth="1"/>
    <col min="7454" max="7454" width="9.75" style="225" customWidth="1"/>
    <col min="7455" max="7455" width="10.25" style="225"/>
    <col min="7456" max="7459" width="10.25" style="225" hidden="1" customWidth="1"/>
    <col min="7460" max="7460" width="9" style="225" customWidth="1"/>
    <col min="7461" max="7461" width="10.25" style="225"/>
    <col min="7462" max="7464" width="10.25" style="225" hidden="1" customWidth="1"/>
    <col min="7465" max="7465" width="8.75" style="225" customWidth="1"/>
    <col min="7466" max="7466" width="10.25" style="225"/>
    <col min="7467" max="7467" width="10.25" style="225" hidden="1" customWidth="1"/>
    <col min="7468" max="7468" width="8.75" style="225" customWidth="1"/>
    <col min="7469" max="7469" width="10.25" style="225"/>
    <col min="7470" max="7476" width="10.25" style="225" hidden="1" customWidth="1"/>
    <col min="7477" max="7477" width="10.25" style="225"/>
    <col min="7478" max="7478" width="9.625" style="225" customWidth="1"/>
    <col min="7479" max="7479" width="10.25" style="225"/>
    <col min="7480" max="7480" width="6.75" style="225" customWidth="1"/>
    <col min="7481" max="7680" width="10.25" style="225"/>
    <col min="7681" max="7681" width="5.375" style="225" customWidth="1"/>
    <col min="7682" max="7682" width="34.625" style="225" customWidth="1"/>
    <col min="7683" max="7683" width="4.125" style="225" customWidth="1"/>
    <col min="7684" max="7686" width="10.25" style="225"/>
    <col min="7687" max="7687" width="11.625" style="225" customWidth="1"/>
    <col min="7688" max="7691" width="10.25" style="225" hidden="1" customWidth="1"/>
    <col min="7692" max="7692" width="8.375" style="225" customWidth="1"/>
    <col min="7693" max="7693" width="10.25" style="225"/>
    <col min="7694" max="7708" width="10.25" style="225" hidden="1" customWidth="1"/>
    <col min="7709" max="7709" width="8.875" style="225" customWidth="1"/>
    <col min="7710" max="7710" width="9.75" style="225" customWidth="1"/>
    <col min="7711" max="7711" width="10.25" style="225"/>
    <col min="7712" max="7715" width="10.25" style="225" hidden="1" customWidth="1"/>
    <col min="7716" max="7716" width="9" style="225" customWidth="1"/>
    <col min="7717" max="7717" width="10.25" style="225"/>
    <col min="7718" max="7720" width="10.25" style="225" hidden="1" customWidth="1"/>
    <col min="7721" max="7721" width="8.75" style="225" customWidth="1"/>
    <col min="7722" max="7722" width="10.25" style="225"/>
    <col min="7723" max="7723" width="10.25" style="225" hidden="1" customWidth="1"/>
    <col min="7724" max="7724" width="8.75" style="225" customWidth="1"/>
    <col min="7725" max="7725" width="10.25" style="225"/>
    <col min="7726" max="7732" width="10.25" style="225" hidden="1" customWidth="1"/>
    <col min="7733" max="7733" width="10.25" style="225"/>
    <col min="7734" max="7734" width="9.625" style="225" customWidth="1"/>
    <col min="7735" max="7735" width="10.25" style="225"/>
    <col min="7736" max="7736" width="6.75" style="225" customWidth="1"/>
    <col min="7737" max="7936" width="10.25" style="225"/>
    <col min="7937" max="7937" width="5.375" style="225" customWidth="1"/>
    <col min="7938" max="7938" width="34.625" style="225" customWidth="1"/>
    <col min="7939" max="7939" width="4.125" style="225" customWidth="1"/>
    <col min="7940" max="7942" width="10.25" style="225"/>
    <col min="7943" max="7943" width="11.625" style="225" customWidth="1"/>
    <col min="7944" max="7947" width="10.25" style="225" hidden="1" customWidth="1"/>
    <col min="7948" max="7948" width="8.375" style="225" customWidth="1"/>
    <col min="7949" max="7949" width="10.25" style="225"/>
    <col min="7950" max="7964" width="10.25" style="225" hidden="1" customWidth="1"/>
    <col min="7965" max="7965" width="8.875" style="225" customWidth="1"/>
    <col min="7966" max="7966" width="9.75" style="225" customWidth="1"/>
    <col min="7967" max="7967" width="10.25" style="225"/>
    <col min="7968" max="7971" width="10.25" style="225" hidden="1" customWidth="1"/>
    <col min="7972" max="7972" width="9" style="225" customWidth="1"/>
    <col min="7973" max="7973" width="10.25" style="225"/>
    <col min="7974" max="7976" width="10.25" style="225" hidden="1" customWidth="1"/>
    <col min="7977" max="7977" width="8.75" style="225" customWidth="1"/>
    <col min="7978" max="7978" width="10.25" style="225"/>
    <col min="7979" max="7979" width="10.25" style="225" hidden="1" customWidth="1"/>
    <col min="7980" max="7980" width="8.75" style="225" customWidth="1"/>
    <col min="7981" max="7981" width="10.25" style="225"/>
    <col min="7982" max="7988" width="10.25" style="225" hidden="1" customWidth="1"/>
    <col min="7989" max="7989" width="10.25" style="225"/>
    <col min="7990" max="7990" width="9.625" style="225" customWidth="1"/>
    <col min="7991" max="7991" width="10.25" style="225"/>
    <col min="7992" max="7992" width="6.75" style="225" customWidth="1"/>
    <col min="7993" max="8192" width="10.25" style="225"/>
    <col min="8193" max="8193" width="5.375" style="225" customWidth="1"/>
    <col min="8194" max="8194" width="34.625" style="225" customWidth="1"/>
    <col min="8195" max="8195" width="4.125" style="225" customWidth="1"/>
    <col min="8196" max="8198" width="10.25" style="225"/>
    <col min="8199" max="8199" width="11.625" style="225" customWidth="1"/>
    <col min="8200" max="8203" width="10.25" style="225" hidden="1" customWidth="1"/>
    <col min="8204" max="8204" width="8.375" style="225" customWidth="1"/>
    <col min="8205" max="8205" width="10.25" style="225"/>
    <col min="8206" max="8220" width="10.25" style="225" hidden="1" customWidth="1"/>
    <col min="8221" max="8221" width="8.875" style="225" customWidth="1"/>
    <col min="8222" max="8222" width="9.75" style="225" customWidth="1"/>
    <col min="8223" max="8223" width="10.25" style="225"/>
    <col min="8224" max="8227" width="10.25" style="225" hidden="1" customWidth="1"/>
    <col min="8228" max="8228" width="9" style="225" customWidth="1"/>
    <col min="8229" max="8229" width="10.25" style="225"/>
    <col min="8230" max="8232" width="10.25" style="225" hidden="1" customWidth="1"/>
    <col min="8233" max="8233" width="8.75" style="225" customWidth="1"/>
    <col min="8234" max="8234" width="10.25" style="225"/>
    <col min="8235" max="8235" width="10.25" style="225" hidden="1" customWidth="1"/>
    <col min="8236" max="8236" width="8.75" style="225" customWidth="1"/>
    <col min="8237" max="8237" width="10.25" style="225"/>
    <col min="8238" max="8244" width="10.25" style="225" hidden="1" customWidth="1"/>
    <col min="8245" max="8245" width="10.25" style="225"/>
    <col min="8246" max="8246" width="9.625" style="225" customWidth="1"/>
    <col min="8247" max="8247" width="10.25" style="225"/>
    <col min="8248" max="8248" width="6.75" style="225" customWidth="1"/>
    <col min="8249" max="8448" width="10.25" style="225"/>
    <col min="8449" max="8449" width="5.375" style="225" customWidth="1"/>
    <col min="8450" max="8450" width="34.625" style="225" customWidth="1"/>
    <col min="8451" max="8451" width="4.125" style="225" customWidth="1"/>
    <col min="8452" max="8454" width="10.25" style="225"/>
    <col min="8455" max="8455" width="11.625" style="225" customWidth="1"/>
    <col min="8456" max="8459" width="10.25" style="225" hidden="1" customWidth="1"/>
    <col min="8460" max="8460" width="8.375" style="225" customWidth="1"/>
    <col min="8461" max="8461" width="10.25" style="225"/>
    <col min="8462" max="8476" width="10.25" style="225" hidden="1" customWidth="1"/>
    <col min="8477" max="8477" width="8.875" style="225" customWidth="1"/>
    <col min="8478" max="8478" width="9.75" style="225" customWidth="1"/>
    <col min="8479" max="8479" width="10.25" style="225"/>
    <col min="8480" max="8483" width="10.25" style="225" hidden="1" customWidth="1"/>
    <col min="8484" max="8484" width="9" style="225" customWidth="1"/>
    <col min="8485" max="8485" width="10.25" style="225"/>
    <col min="8486" max="8488" width="10.25" style="225" hidden="1" customWidth="1"/>
    <col min="8489" max="8489" width="8.75" style="225" customWidth="1"/>
    <col min="8490" max="8490" width="10.25" style="225"/>
    <col min="8491" max="8491" width="10.25" style="225" hidden="1" customWidth="1"/>
    <col min="8492" max="8492" width="8.75" style="225" customWidth="1"/>
    <col min="8493" max="8493" width="10.25" style="225"/>
    <col min="8494" max="8500" width="10.25" style="225" hidden="1" customWidth="1"/>
    <col min="8501" max="8501" width="10.25" style="225"/>
    <col min="8502" max="8502" width="9.625" style="225" customWidth="1"/>
    <col min="8503" max="8503" width="10.25" style="225"/>
    <col min="8504" max="8504" width="6.75" style="225" customWidth="1"/>
    <col min="8505" max="8704" width="10.25" style="225"/>
    <col min="8705" max="8705" width="5.375" style="225" customWidth="1"/>
    <col min="8706" max="8706" width="34.625" style="225" customWidth="1"/>
    <col min="8707" max="8707" width="4.125" style="225" customWidth="1"/>
    <col min="8708" max="8710" width="10.25" style="225"/>
    <col min="8711" max="8711" width="11.625" style="225" customWidth="1"/>
    <col min="8712" max="8715" width="10.25" style="225" hidden="1" customWidth="1"/>
    <col min="8716" max="8716" width="8.375" style="225" customWidth="1"/>
    <col min="8717" max="8717" width="10.25" style="225"/>
    <col min="8718" max="8732" width="10.25" style="225" hidden="1" customWidth="1"/>
    <col min="8733" max="8733" width="8.875" style="225" customWidth="1"/>
    <col min="8734" max="8734" width="9.75" style="225" customWidth="1"/>
    <col min="8735" max="8735" width="10.25" style="225"/>
    <col min="8736" max="8739" width="10.25" style="225" hidden="1" customWidth="1"/>
    <col min="8740" max="8740" width="9" style="225" customWidth="1"/>
    <col min="8741" max="8741" width="10.25" style="225"/>
    <col min="8742" max="8744" width="10.25" style="225" hidden="1" customWidth="1"/>
    <col min="8745" max="8745" width="8.75" style="225" customWidth="1"/>
    <col min="8746" max="8746" width="10.25" style="225"/>
    <col min="8747" max="8747" width="10.25" style="225" hidden="1" customWidth="1"/>
    <col min="8748" max="8748" width="8.75" style="225" customWidth="1"/>
    <col min="8749" max="8749" width="10.25" style="225"/>
    <col min="8750" max="8756" width="10.25" style="225" hidden="1" customWidth="1"/>
    <col min="8757" max="8757" width="10.25" style="225"/>
    <col min="8758" max="8758" width="9.625" style="225" customWidth="1"/>
    <col min="8759" max="8759" width="10.25" style="225"/>
    <col min="8760" max="8760" width="6.75" style="225" customWidth="1"/>
    <col min="8761" max="8960" width="10.25" style="225"/>
    <col min="8961" max="8961" width="5.375" style="225" customWidth="1"/>
    <col min="8962" max="8962" width="34.625" style="225" customWidth="1"/>
    <col min="8963" max="8963" width="4.125" style="225" customWidth="1"/>
    <col min="8964" max="8966" width="10.25" style="225"/>
    <col min="8967" max="8967" width="11.625" style="225" customWidth="1"/>
    <col min="8968" max="8971" width="10.25" style="225" hidden="1" customWidth="1"/>
    <col min="8972" max="8972" width="8.375" style="225" customWidth="1"/>
    <col min="8973" max="8973" width="10.25" style="225"/>
    <col min="8974" max="8988" width="10.25" style="225" hidden="1" customWidth="1"/>
    <col min="8989" max="8989" width="8.875" style="225" customWidth="1"/>
    <col min="8990" max="8990" width="9.75" style="225" customWidth="1"/>
    <col min="8991" max="8991" width="10.25" style="225"/>
    <col min="8992" max="8995" width="10.25" style="225" hidden="1" customWidth="1"/>
    <col min="8996" max="8996" width="9" style="225" customWidth="1"/>
    <col min="8997" max="8997" width="10.25" style="225"/>
    <col min="8998" max="9000" width="10.25" style="225" hidden="1" customWidth="1"/>
    <col min="9001" max="9001" width="8.75" style="225" customWidth="1"/>
    <col min="9002" max="9002" width="10.25" style="225"/>
    <col min="9003" max="9003" width="10.25" style="225" hidden="1" customWidth="1"/>
    <col min="9004" max="9004" width="8.75" style="225" customWidth="1"/>
    <col min="9005" max="9005" width="10.25" style="225"/>
    <col min="9006" max="9012" width="10.25" style="225" hidden="1" customWidth="1"/>
    <col min="9013" max="9013" width="10.25" style="225"/>
    <col min="9014" max="9014" width="9.625" style="225" customWidth="1"/>
    <col min="9015" max="9015" width="10.25" style="225"/>
    <col min="9016" max="9016" width="6.75" style="225" customWidth="1"/>
    <col min="9017" max="9216" width="10.25" style="225"/>
    <col min="9217" max="9217" width="5.375" style="225" customWidth="1"/>
    <col min="9218" max="9218" width="34.625" style="225" customWidth="1"/>
    <col min="9219" max="9219" width="4.125" style="225" customWidth="1"/>
    <col min="9220" max="9222" width="10.25" style="225"/>
    <col min="9223" max="9223" width="11.625" style="225" customWidth="1"/>
    <col min="9224" max="9227" width="10.25" style="225" hidden="1" customWidth="1"/>
    <col min="9228" max="9228" width="8.375" style="225" customWidth="1"/>
    <col min="9229" max="9229" width="10.25" style="225"/>
    <col min="9230" max="9244" width="10.25" style="225" hidden="1" customWidth="1"/>
    <col min="9245" max="9245" width="8.875" style="225" customWidth="1"/>
    <col min="9246" max="9246" width="9.75" style="225" customWidth="1"/>
    <col min="9247" max="9247" width="10.25" style="225"/>
    <col min="9248" max="9251" width="10.25" style="225" hidden="1" customWidth="1"/>
    <col min="9252" max="9252" width="9" style="225" customWidth="1"/>
    <col min="9253" max="9253" width="10.25" style="225"/>
    <col min="9254" max="9256" width="10.25" style="225" hidden="1" customWidth="1"/>
    <col min="9257" max="9257" width="8.75" style="225" customWidth="1"/>
    <col min="9258" max="9258" width="10.25" style="225"/>
    <col min="9259" max="9259" width="10.25" style="225" hidden="1" customWidth="1"/>
    <col min="9260" max="9260" width="8.75" style="225" customWidth="1"/>
    <col min="9261" max="9261" width="10.25" style="225"/>
    <col min="9262" max="9268" width="10.25" style="225" hidden="1" customWidth="1"/>
    <col min="9269" max="9269" width="10.25" style="225"/>
    <col min="9270" max="9270" width="9.625" style="225" customWidth="1"/>
    <col min="9271" max="9271" width="10.25" style="225"/>
    <col min="9272" max="9272" width="6.75" style="225" customWidth="1"/>
    <col min="9273" max="9472" width="10.25" style="225"/>
    <col min="9473" max="9473" width="5.375" style="225" customWidth="1"/>
    <col min="9474" max="9474" width="34.625" style="225" customWidth="1"/>
    <col min="9475" max="9475" width="4.125" style="225" customWidth="1"/>
    <col min="9476" max="9478" width="10.25" style="225"/>
    <col min="9479" max="9479" width="11.625" style="225" customWidth="1"/>
    <col min="9480" max="9483" width="10.25" style="225" hidden="1" customWidth="1"/>
    <col min="9484" max="9484" width="8.375" style="225" customWidth="1"/>
    <col min="9485" max="9485" width="10.25" style="225"/>
    <col min="9486" max="9500" width="10.25" style="225" hidden="1" customWidth="1"/>
    <col min="9501" max="9501" width="8.875" style="225" customWidth="1"/>
    <col min="9502" max="9502" width="9.75" style="225" customWidth="1"/>
    <col min="9503" max="9503" width="10.25" style="225"/>
    <col min="9504" max="9507" width="10.25" style="225" hidden="1" customWidth="1"/>
    <col min="9508" max="9508" width="9" style="225" customWidth="1"/>
    <col min="9509" max="9509" width="10.25" style="225"/>
    <col min="9510" max="9512" width="10.25" style="225" hidden="1" customWidth="1"/>
    <col min="9513" max="9513" width="8.75" style="225" customWidth="1"/>
    <col min="9514" max="9514" width="10.25" style="225"/>
    <col min="9515" max="9515" width="10.25" style="225" hidden="1" customWidth="1"/>
    <col min="9516" max="9516" width="8.75" style="225" customWidth="1"/>
    <col min="9517" max="9517" width="10.25" style="225"/>
    <col min="9518" max="9524" width="10.25" style="225" hidden="1" customWidth="1"/>
    <col min="9525" max="9525" width="10.25" style="225"/>
    <col min="9526" max="9526" width="9.625" style="225" customWidth="1"/>
    <col min="9527" max="9527" width="10.25" style="225"/>
    <col min="9528" max="9528" width="6.75" style="225" customWidth="1"/>
    <col min="9529" max="9728" width="10.25" style="225"/>
    <col min="9729" max="9729" width="5.375" style="225" customWidth="1"/>
    <col min="9730" max="9730" width="34.625" style="225" customWidth="1"/>
    <col min="9731" max="9731" width="4.125" style="225" customWidth="1"/>
    <col min="9732" max="9734" width="10.25" style="225"/>
    <col min="9735" max="9735" width="11.625" style="225" customWidth="1"/>
    <col min="9736" max="9739" width="10.25" style="225" hidden="1" customWidth="1"/>
    <col min="9740" max="9740" width="8.375" style="225" customWidth="1"/>
    <col min="9741" max="9741" width="10.25" style="225"/>
    <col min="9742" max="9756" width="10.25" style="225" hidden="1" customWidth="1"/>
    <col min="9757" max="9757" width="8.875" style="225" customWidth="1"/>
    <col min="9758" max="9758" width="9.75" style="225" customWidth="1"/>
    <col min="9759" max="9759" width="10.25" style="225"/>
    <col min="9760" max="9763" width="10.25" style="225" hidden="1" customWidth="1"/>
    <col min="9764" max="9764" width="9" style="225" customWidth="1"/>
    <col min="9765" max="9765" width="10.25" style="225"/>
    <col min="9766" max="9768" width="10.25" style="225" hidden="1" customWidth="1"/>
    <col min="9769" max="9769" width="8.75" style="225" customWidth="1"/>
    <col min="9770" max="9770" width="10.25" style="225"/>
    <col min="9771" max="9771" width="10.25" style="225" hidden="1" customWidth="1"/>
    <col min="9772" max="9772" width="8.75" style="225" customWidth="1"/>
    <col min="9773" max="9773" width="10.25" style="225"/>
    <col min="9774" max="9780" width="10.25" style="225" hidden="1" customWidth="1"/>
    <col min="9781" max="9781" width="10.25" style="225"/>
    <col min="9782" max="9782" width="9.625" style="225" customWidth="1"/>
    <col min="9783" max="9783" width="10.25" style="225"/>
    <col min="9784" max="9784" width="6.75" style="225" customWidth="1"/>
    <col min="9785" max="9984" width="10.25" style="225"/>
    <col min="9985" max="9985" width="5.375" style="225" customWidth="1"/>
    <col min="9986" max="9986" width="34.625" style="225" customWidth="1"/>
    <col min="9987" max="9987" width="4.125" style="225" customWidth="1"/>
    <col min="9988" max="9990" width="10.25" style="225"/>
    <col min="9991" max="9991" width="11.625" style="225" customWidth="1"/>
    <col min="9992" max="9995" width="10.25" style="225" hidden="1" customWidth="1"/>
    <col min="9996" max="9996" width="8.375" style="225" customWidth="1"/>
    <col min="9997" max="9997" width="10.25" style="225"/>
    <col min="9998" max="10012" width="10.25" style="225" hidden="1" customWidth="1"/>
    <col min="10013" max="10013" width="8.875" style="225" customWidth="1"/>
    <col min="10014" max="10014" width="9.75" style="225" customWidth="1"/>
    <col min="10015" max="10015" width="10.25" style="225"/>
    <col min="10016" max="10019" width="10.25" style="225" hidden="1" customWidth="1"/>
    <col min="10020" max="10020" width="9" style="225" customWidth="1"/>
    <col min="10021" max="10021" width="10.25" style="225"/>
    <col min="10022" max="10024" width="10.25" style="225" hidden="1" customWidth="1"/>
    <col min="10025" max="10025" width="8.75" style="225" customWidth="1"/>
    <col min="10026" max="10026" width="10.25" style="225"/>
    <col min="10027" max="10027" width="10.25" style="225" hidden="1" customWidth="1"/>
    <col min="10028" max="10028" width="8.75" style="225" customWidth="1"/>
    <col min="10029" max="10029" width="10.25" style="225"/>
    <col min="10030" max="10036" width="10.25" style="225" hidden="1" customWidth="1"/>
    <col min="10037" max="10037" width="10.25" style="225"/>
    <col min="10038" max="10038" width="9.625" style="225" customWidth="1"/>
    <col min="10039" max="10039" width="10.25" style="225"/>
    <col min="10040" max="10040" width="6.75" style="225" customWidth="1"/>
    <col min="10041" max="10240" width="10.25" style="225"/>
    <col min="10241" max="10241" width="5.375" style="225" customWidth="1"/>
    <col min="10242" max="10242" width="34.625" style="225" customWidth="1"/>
    <col min="10243" max="10243" width="4.125" style="225" customWidth="1"/>
    <col min="10244" max="10246" width="10.25" style="225"/>
    <col min="10247" max="10247" width="11.625" style="225" customWidth="1"/>
    <col min="10248" max="10251" width="10.25" style="225" hidden="1" customWidth="1"/>
    <col min="10252" max="10252" width="8.375" style="225" customWidth="1"/>
    <col min="10253" max="10253" width="10.25" style="225"/>
    <col min="10254" max="10268" width="10.25" style="225" hidden="1" customWidth="1"/>
    <col min="10269" max="10269" width="8.875" style="225" customWidth="1"/>
    <col min="10270" max="10270" width="9.75" style="225" customWidth="1"/>
    <col min="10271" max="10271" width="10.25" style="225"/>
    <col min="10272" max="10275" width="10.25" style="225" hidden="1" customWidth="1"/>
    <col min="10276" max="10276" width="9" style="225" customWidth="1"/>
    <col min="10277" max="10277" width="10.25" style="225"/>
    <col min="10278" max="10280" width="10.25" style="225" hidden="1" customWidth="1"/>
    <col min="10281" max="10281" width="8.75" style="225" customWidth="1"/>
    <col min="10282" max="10282" width="10.25" style="225"/>
    <col min="10283" max="10283" width="10.25" style="225" hidden="1" customWidth="1"/>
    <col min="10284" max="10284" width="8.75" style="225" customWidth="1"/>
    <col min="10285" max="10285" width="10.25" style="225"/>
    <col min="10286" max="10292" width="10.25" style="225" hidden="1" customWidth="1"/>
    <col min="10293" max="10293" width="10.25" style="225"/>
    <col min="10294" max="10294" width="9.625" style="225" customWidth="1"/>
    <col min="10295" max="10295" width="10.25" style="225"/>
    <col min="10296" max="10296" width="6.75" style="225" customWidth="1"/>
    <col min="10297" max="10496" width="10.25" style="225"/>
    <col min="10497" max="10497" width="5.375" style="225" customWidth="1"/>
    <col min="10498" max="10498" width="34.625" style="225" customWidth="1"/>
    <col min="10499" max="10499" width="4.125" style="225" customWidth="1"/>
    <col min="10500" max="10502" width="10.25" style="225"/>
    <col min="10503" max="10503" width="11.625" style="225" customWidth="1"/>
    <col min="10504" max="10507" width="10.25" style="225" hidden="1" customWidth="1"/>
    <col min="10508" max="10508" width="8.375" style="225" customWidth="1"/>
    <col min="10509" max="10509" width="10.25" style="225"/>
    <col min="10510" max="10524" width="10.25" style="225" hidden="1" customWidth="1"/>
    <col min="10525" max="10525" width="8.875" style="225" customWidth="1"/>
    <col min="10526" max="10526" width="9.75" style="225" customWidth="1"/>
    <col min="10527" max="10527" width="10.25" style="225"/>
    <col min="10528" max="10531" width="10.25" style="225" hidden="1" customWidth="1"/>
    <col min="10532" max="10532" width="9" style="225" customWidth="1"/>
    <col min="10533" max="10533" width="10.25" style="225"/>
    <col min="10534" max="10536" width="10.25" style="225" hidden="1" customWidth="1"/>
    <col min="10537" max="10537" width="8.75" style="225" customWidth="1"/>
    <col min="10538" max="10538" width="10.25" style="225"/>
    <col min="10539" max="10539" width="10.25" style="225" hidden="1" customWidth="1"/>
    <col min="10540" max="10540" width="8.75" style="225" customWidth="1"/>
    <col min="10541" max="10541" width="10.25" style="225"/>
    <col min="10542" max="10548" width="10.25" style="225" hidden="1" customWidth="1"/>
    <col min="10549" max="10549" width="10.25" style="225"/>
    <col min="10550" max="10550" width="9.625" style="225" customWidth="1"/>
    <col min="10551" max="10551" width="10.25" style="225"/>
    <col min="10552" max="10552" width="6.75" style="225" customWidth="1"/>
    <col min="10553" max="10752" width="10.25" style="225"/>
    <col min="10753" max="10753" width="5.375" style="225" customWidth="1"/>
    <col min="10754" max="10754" width="34.625" style="225" customWidth="1"/>
    <col min="10755" max="10755" width="4.125" style="225" customWidth="1"/>
    <col min="10756" max="10758" width="10.25" style="225"/>
    <col min="10759" max="10759" width="11.625" style="225" customWidth="1"/>
    <col min="10760" max="10763" width="10.25" style="225" hidden="1" customWidth="1"/>
    <col min="10764" max="10764" width="8.375" style="225" customWidth="1"/>
    <col min="10765" max="10765" width="10.25" style="225"/>
    <col min="10766" max="10780" width="10.25" style="225" hidden="1" customWidth="1"/>
    <col min="10781" max="10781" width="8.875" style="225" customWidth="1"/>
    <col min="10782" max="10782" width="9.75" style="225" customWidth="1"/>
    <col min="10783" max="10783" width="10.25" style="225"/>
    <col min="10784" max="10787" width="10.25" style="225" hidden="1" customWidth="1"/>
    <col min="10788" max="10788" width="9" style="225" customWidth="1"/>
    <col min="10789" max="10789" width="10.25" style="225"/>
    <col min="10790" max="10792" width="10.25" style="225" hidden="1" customWidth="1"/>
    <col min="10793" max="10793" width="8.75" style="225" customWidth="1"/>
    <col min="10794" max="10794" width="10.25" style="225"/>
    <col min="10795" max="10795" width="10.25" style="225" hidden="1" customWidth="1"/>
    <col min="10796" max="10796" width="8.75" style="225" customWidth="1"/>
    <col min="10797" max="10797" width="10.25" style="225"/>
    <col min="10798" max="10804" width="10.25" style="225" hidden="1" customWidth="1"/>
    <col min="10805" max="10805" width="10.25" style="225"/>
    <col min="10806" max="10806" width="9.625" style="225" customWidth="1"/>
    <col min="10807" max="10807" width="10.25" style="225"/>
    <col min="10808" max="10808" width="6.75" style="225" customWidth="1"/>
    <col min="10809" max="11008" width="10.25" style="225"/>
    <col min="11009" max="11009" width="5.375" style="225" customWidth="1"/>
    <col min="11010" max="11010" width="34.625" style="225" customWidth="1"/>
    <col min="11011" max="11011" width="4.125" style="225" customWidth="1"/>
    <col min="11012" max="11014" width="10.25" style="225"/>
    <col min="11015" max="11015" width="11.625" style="225" customWidth="1"/>
    <col min="11016" max="11019" width="10.25" style="225" hidden="1" customWidth="1"/>
    <col min="11020" max="11020" width="8.375" style="225" customWidth="1"/>
    <col min="11021" max="11021" width="10.25" style="225"/>
    <col min="11022" max="11036" width="10.25" style="225" hidden="1" customWidth="1"/>
    <col min="11037" max="11037" width="8.875" style="225" customWidth="1"/>
    <col min="11038" max="11038" width="9.75" style="225" customWidth="1"/>
    <col min="11039" max="11039" width="10.25" style="225"/>
    <col min="11040" max="11043" width="10.25" style="225" hidden="1" customWidth="1"/>
    <col min="11044" max="11044" width="9" style="225" customWidth="1"/>
    <col min="11045" max="11045" width="10.25" style="225"/>
    <col min="11046" max="11048" width="10.25" style="225" hidden="1" customWidth="1"/>
    <col min="11049" max="11049" width="8.75" style="225" customWidth="1"/>
    <col min="11050" max="11050" width="10.25" style="225"/>
    <col min="11051" max="11051" width="10.25" style="225" hidden="1" customWidth="1"/>
    <col min="11052" max="11052" width="8.75" style="225" customWidth="1"/>
    <col min="11053" max="11053" width="10.25" style="225"/>
    <col min="11054" max="11060" width="10.25" style="225" hidden="1" customWidth="1"/>
    <col min="11061" max="11061" width="10.25" style="225"/>
    <col min="11062" max="11062" width="9.625" style="225" customWidth="1"/>
    <col min="11063" max="11063" width="10.25" style="225"/>
    <col min="11064" max="11064" width="6.75" style="225" customWidth="1"/>
    <col min="11065" max="11264" width="10.25" style="225"/>
    <col min="11265" max="11265" width="5.375" style="225" customWidth="1"/>
    <col min="11266" max="11266" width="34.625" style="225" customWidth="1"/>
    <col min="11267" max="11267" width="4.125" style="225" customWidth="1"/>
    <col min="11268" max="11270" width="10.25" style="225"/>
    <col min="11271" max="11271" width="11.625" style="225" customWidth="1"/>
    <col min="11272" max="11275" width="10.25" style="225" hidden="1" customWidth="1"/>
    <col min="11276" max="11276" width="8.375" style="225" customWidth="1"/>
    <col min="11277" max="11277" width="10.25" style="225"/>
    <col min="11278" max="11292" width="10.25" style="225" hidden="1" customWidth="1"/>
    <col min="11293" max="11293" width="8.875" style="225" customWidth="1"/>
    <col min="11294" max="11294" width="9.75" style="225" customWidth="1"/>
    <col min="11295" max="11295" width="10.25" style="225"/>
    <col min="11296" max="11299" width="10.25" style="225" hidden="1" customWidth="1"/>
    <col min="11300" max="11300" width="9" style="225" customWidth="1"/>
    <col min="11301" max="11301" width="10.25" style="225"/>
    <col min="11302" max="11304" width="10.25" style="225" hidden="1" customWidth="1"/>
    <col min="11305" max="11305" width="8.75" style="225" customWidth="1"/>
    <col min="11306" max="11306" width="10.25" style="225"/>
    <col min="11307" max="11307" width="10.25" style="225" hidden="1" customWidth="1"/>
    <col min="11308" max="11308" width="8.75" style="225" customWidth="1"/>
    <col min="11309" max="11309" width="10.25" style="225"/>
    <col min="11310" max="11316" width="10.25" style="225" hidden="1" customWidth="1"/>
    <col min="11317" max="11317" width="10.25" style="225"/>
    <col min="11318" max="11318" width="9.625" style="225" customWidth="1"/>
    <col min="11319" max="11319" width="10.25" style="225"/>
    <col min="11320" max="11320" width="6.75" style="225" customWidth="1"/>
    <col min="11321" max="11520" width="10.25" style="225"/>
    <col min="11521" max="11521" width="5.375" style="225" customWidth="1"/>
    <col min="11522" max="11522" width="34.625" style="225" customWidth="1"/>
    <col min="11523" max="11523" width="4.125" style="225" customWidth="1"/>
    <col min="11524" max="11526" width="10.25" style="225"/>
    <col min="11527" max="11527" width="11.625" style="225" customWidth="1"/>
    <col min="11528" max="11531" width="10.25" style="225" hidden="1" customWidth="1"/>
    <col min="11532" max="11532" width="8.375" style="225" customWidth="1"/>
    <col min="11533" max="11533" width="10.25" style="225"/>
    <col min="11534" max="11548" width="10.25" style="225" hidden="1" customWidth="1"/>
    <col min="11549" max="11549" width="8.875" style="225" customWidth="1"/>
    <col min="11550" max="11550" width="9.75" style="225" customWidth="1"/>
    <col min="11551" max="11551" width="10.25" style="225"/>
    <col min="11552" max="11555" width="10.25" style="225" hidden="1" customWidth="1"/>
    <col min="11556" max="11556" width="9" style="225" customWidth="1"/>
    <col min="11557" max="11557" width="10.25" style="225"/>
    <col min="11558" max="11560" width="10.25" style="225" hidden="1" customWidth="1"/>
    <col min="11561" max="11561" width="8.75" style="225" customWidth="1"/>
    <col min="11562" max="11562" width="10.25" style="225"/>
    <col min="11563" max="11563" width="10.25" style="225" hidden="1" customWidth="1"/>
    <col min="11564" max="11564" width="8.75" style="225" customWidth="1"/>
    <col min="11565" max="11565" width="10.25" style="225"/>
    <col min="11566" max="11572" width="10.25" style="225" hidden="1" customWidth="1"/>
    <col min="11573" max="11573" width="10.25" style="225"/>
    <col min="11574" max="11574" width="9.625" style="225" customWidth="1"/>
    <col min="11575" max="11575" width="10.25" style="225"/>
    <col min="11576" max="11576" width="6.75" style="225" customWidth="1"/>
    <col min="11577" max="11776" width="10.25" style="225"/>
    <col min="11777" max="11777" width="5.375" style="225" customWidth="1"/>
    <col min="11778" max="11778" width="34.625" style="225" customWidth="1"/>
    <col min="11779" max="11779" width="4.125" style="225" customWidth="1"/>
    <col min="11780" max="11782" width="10.25" style="225"/>
    <col min="11783" max="11783" width="11.625" style="225" customWidth="1"/>
    <col min="11784" max="11787" width="10.25" style="225" hidden="1" customWidth="1"/>
    <col min="11788" max="11788" width="8.375" style="225" customWidth="1"/>
    <col min="11789" max="11789" width="10.25" style="225"/>
    <col min="11790" max="11804" width="10.25" style="225" hidden="1" customWidth="1"/>
    <col min="11805" max="11805" width="8.875" style="225" customWidth="1"/>
    <col min="11806" max="11806" width="9.75" style="225" customWidth="1"/>
    <col min="11807" max="11807" width="10.25" style="225"/>
    <col min="11808" max="11811" width="10.25" style="225" hidden="1" customWidth="1"/>
    <col min="11812" max="11812" width="9" style="225" customWidth="1"/>
    <col min="11813" max="11813" width="10.25" style="225"/>
    <col min="11814" max="11816" width="10.25" style="225" hidden="1" customWidth="1"/>
    <col min="11817" max="11817" width="8.75" style="225" customWidth="1"/>
    <col min="11818" max="11818" width="10.25" style="225"/>
    <col min="11819" max="11819" width="10.25" style="225" hidden="1" customWidth="1"/>
    <col min="11820" max="11820" width="8.75" style="225" customWidth="1"/>
    <col min="11821" max="11821" width="10.25" style="225"/>
    <col min="11822" max="11828" width="10.25" style="225" hidden="1" customWidth="1"/>
    <col min="11829" max="11829" width="10.25" style="225"/>
    <col min="11830" max="11830" width="9.625" style="225" customWidth="1"/>
    <col min="11831" max="11831" width="10.25" style="225"/>
    <col min="11832" max="11832" width="6.75" style="225" customWidth="1"/>
    <col min="11833" max="12032" width="10.25" style="225"/>
    <col min="12033" max="12033" width="5.375" style="225" customWidth="1"/>
    <col min="12034" max="12034" width="34.625" style="225" customWidth="1"/>
    <col min="12035" max="12035" width="4.125" style="225" customWidth="1"/>
    <col min="12036" max="12038" width="10.25" style="225"/>
    <col min="12039" max="12039" width="11.625" style="225" customWidth="1"/>
    <col min="12040" max="12043" width="10.25" style="225" hidden="1" customWidth="1"/>
    <col min="12044" max="12044" width="8.375" style="225" customWidth="1"/>
    <col min="12045" max="12045" width="10.25" style="225"/>
    <col min="12046" max="12060" width="10.25" style="225" hidden="1" customWidth="1"/>
    <col min="12061" max="12061" width="8.875" style="225" customWidth="1"/>
    <col min="12062" max="12062" width="9.75" style="225" customWidth="1"/>
    <col min="12063" max="12063" width="10.25" style="225"/>
    <col min="12064" max="12067" width="10.25" style="225" hidden="1" customWidth="1"/>
    <col min="12068" max="12068" width="9" style="225" customWidth="1"/>
    <col min="12069" max="12069" width="10.25" style="225"/>
    <col min="12070" max="12072" width="10.25" style="225" hidden="1" customWidth="1"/>
    <col min="12073" max="12073" width="8.75" style="225" customWidth="1"/>
    <col min="12074" max="12074" width="10.25" style="225"/>
    <col min="12075" max="12075" width="10.25" style="225" hidden="1" customWidth="1"/>
    <col min="12076" max="12076" width="8.75" style="225" customWidth="1"/>
    <col min="12077" max="12077" width="10.25" style="225"/>
    <col min="12078" max="12084" width="10.25" style="225" hidden="1" customWidth="1"/>
    <col min="12085" max="12085" width="10.25" style="225"/>
    <col min="12086" max="12086" width="9.625" style="225" customWidth="1"/>
    <col min="12087" max="12087" width="10.25" style="225"/>
    <col min="12088" max="12088" width="6.75" style="225" customWidth="1"/>
    <col min="12089" max="12288" width="10.25" style="225"/>
    <col min="12289" max="12289" width="5.375" style="225" customWidth="1"/>
    <col min="12290" max="12290" width="34.625" style="225" customWidth="1"/>
    <col min="12291" max="12291" width="4.125" style="225" customWidth="1"/>
    <col min="12292" max="12294" width="10.25" style="225"/>
    <col min="12295" max="12295" width="11.625" style="225" customWidth="1"/>
    <col min="12296" max="12299" width="10.25" style="225" hidden="1" customWidth="1"/>
    <col min="12300" max="12300" width="8.375" style="225" customWidth="1"/>
    <col min="12301" max="12301" width="10.25" style="225"/>
    <col min="12302" max="12316" width="10.25" style="225" hidden="1" customWidth="1"/>
    <col min="12317" max="12317" width="8.875" style="225" customWidth="1"/>
    <col min="12318" max="12318" width="9.75" style="225" customWidth="1"/>
    <col min="12319" max="12319" width="10.25" style="225"/>
    <col min="12320" max="12323" width="10.25" style="225" hidden="1" customWidth="1"/>
    <col min="12324" max="12324" width="9" style="225" customWidth="1"/>
    <col min="12325" max="12325" width="10.25" style="225"/>
    <col min="12326" max="12328" width="10.25" style="225" hidden="1" customWidth="1"/>
    <col min="12329" max="12329" width="8.75" style="225" customWidth="1"/>
    <col min="12330" max="12330" width="10.25" style="225"/>
    <col min="12331" max="12331" width="10.25" style="225" hidden="1" customWidth="1"/>
    <col min="12332" max="12332" width="8.75" style="225" customWidth="1"/>
    <col min="12333" max="12333" width="10.25" style="225"/>
    <col min="12334" max="12340" width="10.25" style="225" hidden="1" customWidth="1"/>
    <col min="12341" max="12341" width="10.25" style="225"/>
    <col min="12342" max="12342" width="9.625" style="225" customWidth="1"/>
    <col min="12343" max="12343" width="10.25" style="225"/>
    <col min="12344" max="12344" width="6.75" style="225" customWidth="1"/>
    <col min="12345" max="12544" width="10.25" style="225"/>
    <col min="12545" max="12545" width="5.375" style="225" customWidth="1"/>
    <col min="12546" max="12546" width="34.625" style="225" customWidth="1"/>
    <col min="12547" max="12547" width="4.125" style="225" customWidth="1"/>
    <col min="12548" max="12550" width="10.25" style="225"/>
    <col min="12551" max="12551" width="11.625" style="225" customWidth="1"/>
    <col min="12552" max="12555" width="10.25" style="225" hidden="1" customWidth="1"/>
    <col min="12556" max="12556" width="8.375" style="225" customWidth="1"/>
    <col min="12557" max="12557" width="10.25" style="225"/>
    <col min="12558" max="12572" width="10.25" style="225" hidden="1" customWidth="1"/>
    <col min="12573" max="12573" width="8.875" style="225" customWidth="1"/>
    <col min="12574" max="12574" width="9.75" style="225" customWidth="1"/>
    <col min="12575" max="12575" width="10.25" style="225"/>
    <col min="12576" max="12579" width="10.25" style="225" hidden="1" customWidth="1"/>
    <col min="12580" max="12580" width="9" style="225" customWidth="1"/>
    <col min="12581" max="12581" width="10.25" style="225"/>
    <col min="12582" max="12584" width="10.25" style="225" hidden="1" customWidth="1"/>
    <col min="12585" max="12585" width="8.75" style="225" customWidth="1"/>
    <col min="12586" max="12586" width="10.25" style="225"/>
    <col min="12587" max="12587" width="10.25" style="225" hidden="1" customWidth="1"/>
    <col min="12588" max="12588" width="8.75" style="225" customWidth="1"/>
    <col min="12589" max="12589" width="10.25" style="225"/>
    <col min="12590" max="12596" width="10.25" style="225" hidden="1" customWidth="1"/>
    <col min="12597" max="12597" width="10.25" style="225"/>
    <col min="12598" max="12598" width="9.625" style="225" customWidth="1"/>
    <col min="12599" max="12599" width="10.25" style="225"/>
    <col min="12600" max="12600" width="6.75" style="225" customWidth="1"/>
    <col min="12601" max="12800" width="10.25" style="225"/>
    <col min="12801" max="12801" width="5.375" style="225" customWidth="1"/>
    <col min="12802" max="12802" width="34.625" style="225" customWidth="1"/>
    <col min="12803" max="12803" width="4.125" style="225" customWidth="1"/>
    <col min="12804" max="12806" width="10.25" style="225"/>
    <col min="12807" max="12807" width="11.625" style="225" customWidth="1"/>
    <col min="12808" max="12811" width="10.25" style="225" hidden="1" customWidth="1"/>
    <col min="12812" max="12812" width="8.375" style="225" customWidth="1"/>
    <col min="12813" max="12813" width="10.25" style="225"/>
    <col min="12814" max="12828" width="10.25" style="225" hidden="1" customWidth="1"/>
    <col min="12829" max="12829" width="8.875" style="225" customWidth="1"/>
    <col min="12830" max="12830" width="9.75" style="225" customWidth="1"/>
    <col min="12831" max="12831" width="10.25" style="225"/>
    <col min="12832" max="12835" width="10.25" style="225" hidden="1" customWidth="1"/>
    <col min="12836" max="12836" width="9" style="225" customWidth="1"/>
    <col min="12837" max="12837" width="10.25" style="225"/>
    <col min="12838" max="12840" width="10.25" style="225" hidden="1" customWidth="1"/>
    <col min="12841" max="12841" width="8.75" style="225" customWidth="1"/>
    <col min="12842" max="12842" width="10.25" style="225"/>
    <col min="12843" max="12843" width="10.25" style="225" hidden="1" customWidth="1"/>
    <col min="12844" max="12844" width="8.75" style="225" customWidth="1"/>
    <col min="12845" max="12845" width="10.25" style="225"/>
    <col min="12846" max="12852" width="10.25" style="225" hidden="1" customWidth="1"/>
    <col min="12853" max="12853" width="10.25" style="225"/>
    <col min="12854" max="12854" width="9.625" style="225" customWidth="1"/>
    <col min="12855" max="12855" width="10.25" style="225"/>
    <col min="12856" max="12856" width="6.75" style="225" customWidth="1"/>
    <col min="12857" max="13056" width="10.25" style="225"/>
    <col min="13057" max="13057" width="5.375" style="225" customWidth="1"/>
    <col min="13058" max="13058" width="34.625" style="225" customWidth="1"/>
    <col min="13059" max="13059" width="4.125" style="225" customWidth="1"/>
    <col min="13060" max="13062" width="10.25" style="225"/>
    <col min="13063" max="13063" width="11.625" style="225" customWidth="1"/>
    <col min="13064" max="13067" width="10.25" style="225" hidden="1" customWidth="1"/>
    <col min="13068" max="13068" width="8.375" style="225" customWidth="1"/>
    <col min="13069" max="13069" width="10.25" style="225"/>
    <col min="13070" max="13084" width="10.25" style="225" hidden="1" customWidth="1"/>
    <col min="13085" max="13085" width="8.875" style="225" customWidth="1"/>
    <col min="13086" max="13086" width="9.75" style="225" customWidth="1"/>
    <col min="13087" max="13087" width="10.25" style="225"/>
    <col min="13088" max="13091" width="10.25" style="225" hidden="1" customWidth="1"/>
    <col min="13092" max="13092" width="9" style="225" customWidth="1"/>
    <col min="13093" max="13093" width="10.25" style="225"/>
    <col min="13094" max="13096" width="10.25" style="225" hidden="1" customWidth="1"/>
    <col min="13097" max="13097" width="8.75" style="225" customWidth="1"/>
    <col min="13098" max="13098" width="10.25" style="225"/>
    <col min="13099" max="13099" width="10.25" style="225" hidden="1" customWidth="1"/>
    <col min="13100" max="13100" width="8.75" style="225" customWidth="1"/>
    <col min="13101" max="13101" width="10.25" style="225"/>
    <col min="13102" max="13108" width="10.25" style="225" hidden="1" customWidth="1"/>
    <col min="13109" max="13109" width="10.25" style="225"/>
    <col min="13110" max="13110" width="9.625" style="225" customWidth="1"/>
    <col min="13111" max="13111" width="10.25" style="225"/>
    <col min="13112" max="13112" width="6.75" style="225" customWidth="1"/>
    <col min="13113" max="13312" width="10.25" style="225"/>
    <col min="13313" max="13313" width="5.375" style="225" customWidth="1"/>
    <col min="13314" max="13314" width="34.625" style="225" customWidth="1"/>
    <col min="13315" max="13315" width="4.125" style="225" customWidth="1"/>
    <col min="13316" max="13318" width="10.25" style="225"/>
    <col min="13319" max="13319" width="11.625" style="225" customWidth="1"/>
    <col min="13320" max="13323" width="10.25" style="225" hidden="1" customWidth="1"/>
    <col min="13324" max="13324" width="8.375" style="225" customWidth="1"/>
    <col min="13325" max="13325" width="10.25" style="225"/>
    <col min="13326" max="13340" width="10.25" style="225" hidden="1" customWidth="1"/>
    <col min="13341" max="13341" width="8.875" style="225" customWidth="1"/>
    <col min="13342" max="13342" width="9.75" style="225" customWidth="1"/>
    <col min="13343" max="13343" width="10.25" style="225"/>
    <col min="13344" max="13347" width="10.25" style="225" hidden="1" customWidth="1"/>
    <col min="13348" max="13348" width="9" style="225" customWidth="1"/>
    <col min="13349" max="13349" width="10.25" style="225"/>
    <col min="13350" max="13352" width="10.25" style="225" hidden="1" customWidth="1"/>
    <col min="13353" max="13353" width="8.75" style="225" customWidth="1"/>
    <col min="13354" max="13354" width="10.25" style="225"/>
    <col min="13355" max="13355" width="10.25" style="225" hidden="1" customWidth="1"/>
    <col min="13356" max="13356" width="8.75" style="225" customWidth="1"/>
    <col min="13357" max="13357" width="10.25" style="225"/>
    <col min="13358" max="13364" width="10.25" style="225" hidden="1" customWidth="1"/>
    <col min="13365" max="13365" width="10.25" style="225"/>
    <col min="13366" max="13366" width="9.625" style="225" customWidth="1"/>
    <col min="13367" max="13367" width="10.25" style="225"/>
    <col min="13368" max="13368" width="6.75" style="225" customWidth="1"/>
    <col min="13369" max="13568" width="10.25" style="225"/>
    <col min="13569" max="13569" width="5.375" style="225" customWidth="1"/>
    <col min="13570" max="13570" width="34.625" style="225" customWidth="1"/>
    <col min="13571" max="13571" width="4.125" style="225" customWidth="1"/>
    <col min="13572" max="13574" width="10.25" style="225"/>
    <col min="13575" max="13575" width="11.625" style="225" customWidth="1"/>
    <col min="13576" max="13579" width="10.25" style="225" hidden="1" customWidth="1"/>
    <col min="13580" max="13580" width="8.375" style="225" customWidth="1"/>
    <col min="13581" max="13581" width="10.25" style="225"/>
    <col min="13582" max="13596" width="10.25" style="225" hidden="1" customWidth="1"/>
    <col min="13597" max="13597" width="8.875" style="225" customWidth="1"/>
    <col min="13598" max="13598" width="9.75" style="225" customWidth="1"/>
    <col min="13599" max="13599" width="10.25" style="225"/>
    <col min="13600" max="13603" width="10.25" style="225" hidden="1" customWidth="1"/>
    <col min="13604" max="13604" width="9" style="225" customWidth="1"/>
    <col min="13605" max="13605" width="10.25" style="225"/>
    <col min="13606" max="13608" width="10.25" style="225" hidden="1" customWidth="1"/>
    <col min="13609" max="13609" width="8.75" style="225" customWidth="1"/>
    <col min="13610" max="13610" width="10.25" style="225"/>
    <col min="13611" max="13611" width="10.25" style="225" hidden="1" customWidth="1"/>
    <col min="13612" max="13612" width="8.75" style="225" customWidth="1"/>
    <col min="13613" max="13613" width="10.25" style="225"/>
    <col min="13614" max="13620" width="10.25" style="225" hidden="1" customWidth="1"/>
    <col min="13621" max="13621" width="10.25" style="225"/>
    <col min="13622" max="13622" width="9.625" style="225" customWidth="1"/>
    <col min="13623" max="13623" width="10.25" style="225"/>
    <col min="13624" max="13624" width="6.75" style="225" customWidth="1"/>
    <col min="13625" max="13824" width="10.25" style="225"/>
    <col min="13825" max="13825" width="5.375" style="225" customWidth="1"/>
    <col min="13826" max="13826" width="34.625" style="225" customWidth="1"/>
    <col min="13827" max="13827" width="4.125" style="225" customWidth="1"/>
    <col min="13828" max="13830" width="10.25" style="225"/>
    <col min="13831" max="13831" width="11.625" style="225" customWidth="1"/>
    <col min="13832" max="13835" width="10.25" style="225" hidden="1" customWidth="1"/>
    <col min="13836" max="13836" width="8.375" style="225" customWidth="1"/>
    <col min="13837" max="13837" width="10.25" style="225"/>
    <col min="13838" max="13852" width="10.25" style="225" hidden="1" customWidth="1"/>
    <col min="13853" max="13853" width="8.875" style="225" customWidth="1"/>
    <col min="13854" max="13854" width="9.75" style="225" customWidth="1"/>
    <col min="13855" max="13855" width="10.25" style="225"/>
    <col min="13856" max="13859" width="10.25" style="225" hidden="1" customWidth="1"/>
    <col min="13860" max="13860" width="9" style="225" customWidth="1"/>
    <col min="13861" max="13861" width="10.25" style="225"/>
    <col min="13862" max="13864" width="10.25" style="225" hidden="1" customWidth="1"/>
    <col min="13865" max="13865" width="8.75" style="225" customWidth="1"/>
    <col min="13866" max="13866" width="10.25" style="225"/>
    <col min="13867" max="13867" width="10.25" style="225" hidden="1" customWidth="1"/>
    <col min="13868" max="13868" width="8.75" style="225" customWidth="1"/>
    <col min="13869" max="13869" width="10.25" style="225"/>
    <col min="13870" max="13876" width="10.25" style="225" hidden="1" customWidth="1"/>
    <col min="13877" max="13877" width="10.25" style="225"/>
    <col min="13878" max="13878" width="9.625" style="225" customWidth="1"/>
    <col min="13879" max="13879" width="10.25" style="225"/>
    <col min="13880" max="13880" width="6.75" style="225" customWidth="1"/>
    <col min="13881" max="14080" width="10.25" style="225"/>
    <col min="14081" max="14081" width="5.375" style="225" customWidth="1"/>
    <col min="14082" max="14082" width="34.625" style="225" customWidth="1"/>
    <col min="14083" max="14083" width="4.125" style="225" customWidth="1"/>
    <col min="14084" max="14086" width="10.25" style="225"/>
    <col min="14087" max="14087" width="11.625" style="225" customWidth="1"/>
    <col min="14088" max="14091" width="10.25" style="225" hidden="1" customWidth="1"/>
    <col min="14092" max="14092" width="8.375" style="225" customWidth="1"/>
    <col min="14093" max="14093" width="10.25" style="225"/>
    <col min="14094" max="14108" width="10.25" style="225" hidden="1" customWidth="1"/>
    <col min="14109" max="14109" width="8.875" style="225" customWidth="1"/>
    <col min="14110" max="14110" width="9.75" style="225" customWidth="1"/>
    <col min="14111" max="14111" width="10.25" style="225"/>
    <col min="14112" max="14115" width="10.25" style="225" hidden="1" customWidth="1"/>
    <col min="14116" max="14116" width="9" style="225" customWidth="1"/>
    <col min="14117" max="14117" width="10.25" style="225"/>
    <col min="14118" max="14120" width="10.25" style="225" hidden="1" customWidth="1"/>
    <col min="14121" max="14121" width="8.75" style="225" customWidth="1"/>
    <col min="14122" max="14122" width="10.25" style="225"/>
    <col min="14123" max="14123" width="10.25" style="225" hidden="1" customWidth="1"/>
    <col min="14124" max="14124" width="8.75" style="225" customWidth="1"/>
    <col min="14125" max="14125" width="10.25" style="225"/>
    <col min="14126" max="14132" width="10.25" style="225" hidden="1" customWidth="1"/>
    <col min="14133" max="14133" width="10.25" style="225"/>
    <col min="14134" max="14134" width="9.625" style="225" customWidth="1"/>
    <col min="14135" max="14135" width="10.25" style="225"/>
    <col min="14136" max="14136" width="6.75" style="225" customWidth="1"/>
    <col min="14137" max="14336" width="10.25" style="225"/>
    <col min="14337" max="14337" width="5.375" style="225" customWidth="1"/>
    <col min="14338" max="14338" width="34.625" style="225" customWidth="1"/>
    <col min="14339" max="14339" width="4.125" style="225" customWidth="1"/>
    <col min="14340" max="14342" width="10.25" style="225"/>
    <col min="14343" max="14343" width="11.625" style="225" customWidth="1"/>
    <col min="14344" max="14347" width="10.25" style="225" hidden="1" customWidth="1"/>
    <col min="14348" max="14348" width="8.375" style="225" customWidth="1"/>
    <col min="14349" max="14349" width="10.25" style="225"/>
    <col min="14350" max="14364" width="10.25" style="225" hidden="1" customWidth="1"/>
    <col min="14365" max="14365" width="8.875" style="225" customWidth="1"/>
    <col min="14366" max="14366" width="9.75" style="225" customWidth="1"/>
    <col min="14367" max="14367" width="10.25" style="225"/>
    <col min="14368" max="14371" width="10.25" style="225" hidden="1" customWidth="1"/>
    <col min="14372" max="14372" width="9" style="225" customWidth="1"/>
    <col min="14373" max="14373" width="10.25" style="225"/>
    <col min="14374" max="14376" width="10.25" style="225" hidden="1" customWidth="1"/>
    <col min="14377" max="14377" width="8.75" style="225" customWidth="1"/>
    <col min="14378" max="14378" width="10.25" style="225"/>
    <col min="14379" max="14379" width="10.25" style="225" hidden="1" customWidth="1"/>
    <col min="14380" max="14380" width="8.75" style="225" customWidth="1"/>
    <col min="14381" max="14381" width="10.25" style="225"/>
    <col min="14382" max="14388" width="10.25" style="225" hidden="1" customWidth="1"/>
    <col min="14389" max="14389" width="10.25" style="225"/>
    <col min="14390" max="14390" width="9.625" style="225" customWidth="1"/>
    <col min="14391" max="14391" width="10.25" style="225"/>
    <col min="14392" max="14392" width="6.75" style="225" customWidth="1"/>
    <col min="14393" max="14592" width="10.25" style="225"/>
    <col min="14593" max="14593" width="5.375" style="225" customWidth="1"/>
    <col min="14594" max="14594" width="34.625" style="225" customWidth="1"/>
    <col min="14595" max="14595" width="4.125" style="225" customWidth="1"/>
    <col min="14596" max="14598" width="10.25" style="225"/>
    <col min="14599" max="14599" width="11.625" style="225" customWidth="1"/>
    <col min="14600" max="14603" width="10.25" style="225" hidden="1" customWidth="1"/>
    <col min="14604" max="14604" width="8.375" style="225" customWidth="1"/>
    <col min="14605" max="14605" width="10.25" style="225"/>
    <col min="14606" max="14620" width="10.25" style="225" hidden="1" customWidth="1"/>
    <col min="14621" max="14621" width="8.875" style="225" customWidth="1"/>
    <col min="14622" max="14622" width="9.75" style="225" customWidth="1"/>
    <col min="14623" max="14623" width="10.25" style="225"/>
    <col min="14624" max="14627" width="10.25" style="225" hidden="1" customWidth="1"/>
    <col min="14628" max="14628" width="9" style="225" customWidth="1"/>
    <col min="14629" max="14629" width="10.25" style="225"/>
    <col min="14630" max="14632" width="10.25" style="225" hidden="1" customWidth="1"/>
    <col min="14633" max="14633" width="8.75" style="225" customWidth="1"/>
    <col min="14634" max="14634" width="10.25" style="225"/>
    <col min="14635" max="14635" width="10.25" style="225" hidden="1" customWidth="1"/>
    <col min="14636" max="14636" width="8.75" style="225" customWidth="1"/>
    <col min="14637" max="14637" width="10.25" style="225"/>
    <col min="14638" max="14644" width="10.25" style="225" hidden="1" customWidth="1"/>
    <col min="14645" max="14645" width="10.25" style="225"/>
    <col min="14646" max="14646" width="9.625" style="225" customWidth="1"/>
    <col min="14647" max="14647" width="10.25" style="225"/>
    <col min="14648" max="14648" width="6.75" style="225" customWidth="1"/>
    <col min="14649" max="14848" width="10.25" style="225"/>
    <col min="14849" max="14849" width="5.375" style="225" customWidth="1"/>
    <col min="14850" max="14850" width="34.625" style="225" customWidth="1"/>
    <col min="14851" max="14851" width="4.125" style="225" customWidth="1"/>
    <col min="14852" max="14854" width="10.25" style="225"/>
    <col min="14855" max="14855" width="11.625" style="225" customWidth="1"/>
    <col min="14856" max="14859" width="10.25" style="225" hidden="1" customWidth="1"/>
    <col min="14860" max="14860" width="8.375" style="225" customWidth="1"/>
    <col min="14861" max="14861" width="10.25" style="225"/>
    <col min="14862" max="14876" width="10.25" style="225" hidden="1" customWidth="1"/>
    <col min="14877" max="14877" width="8.875" style="225" customWidth="1"/>
    <col min="14878" max="14878" width="9.75" style="225" customWidth="1"/>
    <col min="14879" max="14879" width="10.25" style="225"/>
    <col min="14880" max="14883" width="10.25" style="225" hidden="1" customWidth="1"/>
    <col min="14884" max="14884" width="9" style="225" customWidth="1"/>
    <col min="14885" max="14885" width="10.25" style="225"/>
    <col min="14886" max="14888" width="10.25" style="225" hidden="1" customWidth="1"/>
    <col min="14889" max="14889" width="8.75" style="225" customWidth="1"/>
    <col min="14890" max="14890" width="10.25" style="225"/>
    <col min="14891" max="14891" width="10.25" style="225" hidden="1" customWidth="1"/>
    <col min="14892" max="14892" width="8.75" style="225" customWidth="1"/>
    <col min="14893" max="14893" width="10.25" style="225"/>
    <col min="14894" max="14900" width="10.25" style="225" hidden="1" customWidth="1"/>
    <col min="14901" max="14901" width="10.25" style="225"/>
    <col min="14902" max="14902" width="9.625" style="225" customWidth="1"/>
    <col min="14903" max="14903" width="10.25" style="225"/>
    <col min="14904" max="14904" width="6.75" style="225" customWidth="1"/>
    <col min="14905" max="15104" width="10.25" style="225"/>
    <col min="15105" max="15105" width="5.375" style="225" customWidth="1"/>
    <col min="15106" max="15106" width="34.625" style="225" customWidth="1"/>
    <col min="15107" max="15107" width="4.125" style="225" customWidth="1"/>
    <col min="15108" max="15110" width="10.25" style="225"/>
    <col min="15111" max="15111" width="11.625" style="225" customWidth="1"/>
    <col min="15112" max="15115" width="10.25" style="225" hidden="1" customWidth="1"/>
    <col min="15116" max="15116" width="8.375" style="225" customWidth="1"/>
    <col min="15117" max="15117" width="10.25" style="225"/>
    <col min="15118" max="15132" width="10.25" style="225" hidden="1" customWidth="1"/>
    <col min="15133" max="15133" width="8.875" style="225" customWidth="1"/>
    <col min="15134" max="15134" width="9.75" style="225" customWidth="1"/>
    <col min="15135" max="15135" width="10.25" style="225"/>
    <col min="15136" max="15139" width="10.25" style="225" hidden="1" customWidth="1"/>
    <col min="15140" max="15140" width="9" style="225" customWidth="1"/>
    <col min="15141" max="15141" width="10.25" style="225"/>
    <col min="15142" max="15144" width="10.25" style="225" hidden="1" customWidth="1"/>
    <col min="15145" max="15145" width="8.75" style="225" customWidth="1"/>
    <col min="15146" max="15146" width="10.25" style="225"/>
    <col min="15147" max="15147" width="10.25" style="225" hidden="1" customWidth="1"/>
    <col min="15148" max="15148" width="8.75" style="225" customWidth="1"/>
    <col min="15149" max="15149" width="10.25" style="225"/>
    <col min="15150" max="15156" width="10.25" style="225" hidden="1" customWidth="1"/>
    <col min="15157" max="15157" width="10.25" style="225"/>
    <col min="15158" max="15158" width="9.625" style="225" customWidth="1"/>
    <col min="15159" max="15159" width="10.25" style="225"/>
    <col min="15160" max="15160" width="6.75" style="225" customWidth="1"/>
    <col min="15161" max="15360" width="10.25" style="225"/>
    <col min="15361" max="15361" width="5.375" style="225" customWidth="1"/>
    <col min="15362" max="15362" width="34.625" style="225" customWidth="1"/>
    <col min="15363" max="15363" width="4.125" style="225" customWidth="1"/>
    <col min="15364" max="15366" width="10.25" style="225"/>
    <col min="15367" max="15367" width="11.625" style="225" customWidth="1"/>
    <col min="15368" max="15371" width="10.25" style="225" hidden="1" customWidth="1"/>
    <col min="15372" max="15372" width="8.375" style="225" customWidth="1"/>
    <col min="15373" max="15373" width="10.25" style="225"/>
    <col min="15374" max="15388" width="10.25" style="225" hidden="1" customWidth="1"/>
    <col min="15389" max="15389" width="8.875" style="225" customWidth="1"/>
    <col min="15390" max="15390" width="9.75" style="225" customWidth="1"/>
    <col min="15391" max="15391" width="10.25" style="225"/>
    <col min="15392" max="15395" width="10.25" style="225" hidden="1" customWidth="1"/>
    <col min="15396" max="15396" width="9" style="225" customWidth="1"/>
    <col min="15397" max="15397" width="10.25" style="225"/>
    <col min="15398" max="15400" width="10.25" style="225" hidden="1" customWidth="1"/>
    <col min="15401" max="15401" width="8.75" style="225" customWidth="1"/>
    <col min="15402" max="15402" width="10.25" style="225"/>
    <col min="15403" max="15403" width="10.25" style="225" hidden="1" customWidth="1"/>
    <col min="15404" max="15404" width="8.75" style="225" customWidth="1"/>
    <col min="15405" max="15405" width="10.25" style="225"/>
    <col min="15406" max="15412" width="10.25" style="225" hidden="1" customWidth="1"/>
    <col min="15413" max="15413" width="10.25" style="225"/>
    <col min="15414" max="15414" width="9.625" style="225" customWidth="1"/>
    <col min="15415" max="15415" width="10.25" style="225"/>
    <col min="15416" max="15416" width="6.75" style="225" customWidth="1"/>
    <col min="15417" max="15616" width="10.25" style="225"/>
    <col min="15617" max="15617" width="5.375" style="225" customWidth="1"/>
    <col min="15618" max="15618" width="34.625" style="225" customWidth="1"/>
    <col min="15619" max="15619" width="4.125" style="225" customWidth="1"/>
    <col min="15620" max="15622" width="10.25" style="225"/>
    <col min="15623" max="15623" width="11.625" style="225" customWidth="1"/>
    <col min="15624" max="15627" width="10.25" style="225" hidden="1" customWidth="1"/>
    <col min="15628" max="15628" width="8.375" style="225" customWidth="1"/>
    <col min="15629" max="15629" width="10.25" style="225"/>
    <col min="15630" max="15644" width="10.25" style="225" hidden="1" customWidth="1"/>
    <col min="15645" max="15645" width="8.875" style="225" customWidth="1"/>
    <col min="15646" max="15646" width="9.75" style="225" customWidth="1"/>
    <col min="15647" max="15647" width="10.25" style="225"/>
    <col min="15648" max="15651" width="10.25" style="225" hidden="1" customWidth="1"/>
    <col min="15652" max="15652" width="9" style="225" customWidth="1"/>
    <col min="15653" max="15653" width="10.25" style="225"/>
    <col min="15654" max="15656" width="10.25" style="225" hidden="1" customWidth="1"/>
    <col min="15657" max="15657" width="8.75" style="225" customWidth="1"/>
    <col min="15658" max="15658" width="10.25" style="225"/>
    <col min="15659" max="15659" width="10.25" style="225" hidden="1" customWidth="1"/>
    <col min="15660" max="15660" width="8.75" style="225" customWidth="1"/>
    <col min="15661" max="15661" width="10.25" style="225"/>
    <col min="15662" max="15668" width="10.25" style="225" hidden="1" customWidth="1"/>
    <col min="15669" max="15669" width="10.25" style="225"/>
    <col min="15670" max="15670" width="9.625" style="225" customWidth="1"/>
    <col min="15671" max="15671" width="10.25" style="225"/>
    <col min="15672" max="15672" width="6.75" style="225" customWidth="1"/>
    <col min="15673" max="15872" width="10.25" style="225"/>
    <col min="15873" max="15873" width="5.375" style="225" customWidth="1"/>
    <col min="15874" max="15874" width="34.625" style="225" customWidth="1"/>
    <col min="15875" max="15875" width="4.125" style="225" customWidth="1"/>
    <col min="15876" max="15878" width="10.25" style="225"/>
    <col min="15879" max="15879" width="11.625" style="225" customWidth="1"/>
    <col min="15880" max="15883" width="10.25" style="225" hidden="1" customWidth="1"/>
    <col min="15884" max="15884" width="8.375" style="225" customWidth="1"/>
    <col min="15885" max="15885" width="10.25" style="225"/>
    <col min="15886" max="15900" width="10.25" style="225" hidden="1" customWidth="1"/>
    <col min="15901" max="15901" width="8.875" style="225" customWidth="1"/>
    <col min="15902" max="15902" width="9.75" style="225" customWidth="1"/>
    <col min="15903" max="15903" width="10.25" style="225"/>
    <col min="15904" max="15907" width="10.25" style="225" hidden="1" customWidth="1"/>
    <col min="15908" max="15908" width="9" style="225" customWidth="1"/>
    <col min="15909" max="15909" width="10.25" style="225"/>
    <col min="15910" max="15912" width="10.25" style="225" hidden="1" customWidth="1"/>
    <col min="15913" max="15913" width="8.75" style="225" customWidth="1"/>
    <col min="15914" max="15914" width="10.25" style="225"/>
    <col min="15915" max="15915" width="10.25" style="225" hidden="1" customWidth="1"/>
    <col min="15916" max="15916" width="8.75" style="225" customWidth="1"/>
    <col min="15917" max="15917" width="10.25" style="225"/>
    <col min="15918" max="15924" width="10.25" style="225" hidden="1" customWidth="1"/>
    <col min="15925" max="15925" width="10.25" style="225"/>
    <col min="15926" max="15926" width="9.625" style="225" customWidth="1"/>
    <col min="15927" max="15927" width="10.25" style="225"/>
    <col min="15928" max="15928" width="6.75" style="225" customWidth="1"/>
    <col min="15929" max="16128" width="10.25" style="225"/>
    <col min="16129" max="16129" width="5.375" style="225" customWidth="1"/>
    <col min="16130" max="16130" width="34.625" style="225" customWidth="1"/>
    <col min="16131" max="16131" width="4.125" style="225" customWidth="1"/>
    <col min="16132" max="16134" width="10.25" style="225"/>
    <col min="16135" max="16135" width="11.625" style="225" customWidth="1"/>
    <col min="16136" max="16139" width="10.25" style="225" hidden="1" customWidth="1"/>
    <col min="16140" max="16140" width="8.375" style="225" customWidth="1"/>
    <col min="16141" max="16141" width="10.25" style="225"/>
    <col min="16142" max="16156" width="10.25" style="225" hidden="1" customWidth="1"/>
    <col min="16157" max="16157" width="8.875" style="225" customWidth="1"/>
    <col min="16158" max="16158" width="9.75" style="225" customWidth="1"/>
    <col min="16159" max="16159" width="10.25" style="225"/>
    <col min="16160" max="16163" width="10.25" style="225" hidden="1" customWidth="1"/>
    <col min="16164" max="16164" width="9" style="225" customWidth="1"/>
    <col min="16165" max="16165" width="10.25" style="225"/>
    <col min="16166" max="16168" width="10.25" style="225" hidden="1" customWidth="1"/>
    <col min="16169" max="16169" width="8.75" style="225" customWidth="1"/>
    <col min="16170" max="16170" width="10.25" style="225"/>
    <col min="16171" max="16171" width="10.25" style="225" hidden="1" customWidth="1"/>
    <col min="16172" max="16172" width="8.75" style="225" customWidth="1"/>
    <col min="16173" max="16173" width="10.25" style="225"/>
    <col min="16174" max="16180" width="10.25" style="225" hidden="1" customWidth="1"/>
    <col min="16181" max="16181" width="10.25" style="225"/>
    <col min="16182" max="16182" width="9.625" style="225" customWidth="1"/>
    <col min="16183" max="16183" width="10.25" style="225"/>
    <col min="16184" max="16184" width="6.75" style="225" customWidth="1"/>
    <col min="16185" max="16384" width="10.25" style="225"/>
  </cols>
  <sheetData>
    <row r="1" spans="1:60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83"/>
    </row>
    <row r="2" spans="1:60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83"/>
    </row>
    <row r="3" spans="1:60" ht="15" customHeight="1">
      <c r="A3" s="592" t="s">
        <v>514</v>
      </c>
      <c r="B3" s="592"/>
      <c r="C3" s="592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  <c r="AE3" s="412"/>
    </row>
    <row r="5" spans="1:60" s="273" customFormat="1" ht="45" customHeight="1">
      <c r="A5" s="276" t="s">
        <v>169</v>
      </c>
      <c r="B5" s="276" t="s">
        <v>518</v>
      </c>
      <c r="C5" s="276" t="s">
        <v>519</v>
      </c>
      <c r="D5" s="276" t="s">
        <v>569</v>
      </c>
      <c r="E5" s="276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Y5" s="276"/>
      <c r="Z5" s="276" t="s">
        <v>538</v>
      </c>
      <c r="AA5" s="276" t="s">
        <v>539</v>
      </c>
      <c r="AC5" s="408" t="s">
        <v>540</v>
      </c>
      <c r="AD5" s="512" t="s">
        <v>580</v>
      </c>
      <c r="AE5" s="408" t="s">
        <v>541</v>
      </c>
      <c r="AF5" s="276" t="s">
        <v>542</v>
      </c>
      <c r="AG5" s="276" t="s">
        <v>543</v>
      </c>
      <c r="AH5" s="276" t="s">
        <v>544</v>
      </c>
      <c r="AI5" s="276" t="s">
        <v>545</v>
      </c>
      <c r="AJ5" s="276" t="s">
        <v>546</v>
      </c>
      <c r="AK5" s="276" t="s">
        <v>547</v>
      </c>
      <c r="AL5" s="276" t="s">
        <v>548</v>
      </c>
      <c r="AM5" s="276"/>
      <c r="AN5" s="276" t="s">
        <v>549</v>
      </c>
      <c r="AO5" s="276" t="s">
        <v>550</v>
      </c>
      <c r="AP5" s="276" t="s">
        <v>551</v>
      </c>
      <c r="AR5" s="276" t="s">
        <v>552</v>
      </c>
      <c r="AS5" s="276" t="s">
        <v>553</v>
      </c>
      <c r="AT5" s="276" t="s">
        <v>554</v>
      </c>
      <c r="AU5" s="276" t="s">
        <v>555</v>
      </c>
      <c r="AV5" s="276" t="s">
        <v>556</v>
      </c>
      <c r="AW5" s="276" t="s">
        <v>557</v>
      </c>
      <c r="AX5" s="276" t="s">
        <v>558</v>
      </c>
      <c r="AY5" s="276" t="s">
        <v>559</v>
      </c>
      <c r="AZ5" s="276" t="s">
        <v>560</v>
      </c>
      <c r="BA5" s="276" t="s">
        <v>561</v>
      </c>
      <c r="BB5" s="276" t="s">
        <v>562</v>
      </c>
      <c r="BC5" s="276" t="s">
        <v>563</v>
      </c>
      <c r="BD5" s="276" t="s">
        <v>564</v>
      </c>
    </row>
    <row r="6" spans="1:60" s="274" customFormat="1" ht="15" customHeight="1">
      <c r="A6" s="277" t="s">
        <v>565</v>
      </c>
      <c r="B6" s="278"/>
      <c r="D6" s="274" t="s">
        <v>571</v>
      </c>
      <c r="E6" s="274" t="s">
        <v>572</v>
      </c>
      <c r="G6" s="279"/>
      <c r="H6" s="279"/>
      <c r="I6" s="279"/>
      <c r="P6" s="279"/>
      <c r="Q6" s="279"/>
      <c r="R6" s="279"/>
      <c r="S6" s="279"/>
      <c r="T6" s="279"/>
      <c r="U6" s="279"/>
      <c r="W6" s="279"/>
      <c r="X6" s="279"/>
      <c r="Y6" s="279"/>
      <c r="Z6" s="279"/>
      <c r="AA6" s="279"/>
      <c r="AC6" s="413"/>
      <c r="AD6" s="413"/>
      <c r="AE6" s="413"/>
      <c r="AG6" s="279"/>
      <c r="AH6" s="279"/>
      <c r="AI6" s="279"/>
      <c r="AJ6" s="279"/>
      <c r="AL6" s="279"/>
      <c r="AP6" s="279"/>
      <c r="AR6" s="279"/>
      <c r="BB6" s="279"/>
      <c r="BD6" s="284"/>
    </row>
    <row r="7" spans="1:60" ht="21" customHeight="1">
      <c r="A7" s="82" t="s">
        <v>213</v>
      </c>
      <c r="B7" s="140" t="s">
        <v>214</v>
      </c>
      <c r="C7" s="140" t="s">
        <v>573</v>
      </c>
      <c r="D7" s="280">
        <v>100</v>
      </c>
      <c r="E7" s="280">
        <v>13483.19</v>
      </c>
      <c r="F7" s="243">
        <v>100</v>
      </c>
      <c r="G7" s="243">
        <v>13709.36</v>
      </c>
      <c r="H7" s="243">
        <v>0</v>
      </c>
      <c r="I7" s="243">
        <v>0</v>
      </c>
      <c r="J7" s="243">
        <v>0</v>
      </c>
      <c r="K7" s="243">
        <v>0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43"/>
      <c r="Z7" s="243">
        <v>0</v>
      </c>
      <c r="AA7" s="243">
        <v>0</v>
      </c>
      <c r="AB7" s="235"/>
      <c r="AC7" s="410">
        <v>0</v>
      </c>
      <c r="AD7" s="410"/>
      <c r="AE7" s="410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75</v>
      </c>
      <c r="AM7" s="235"/>
      <c r="AN7" s="243">
        <v>10112.49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243">
        <v>125</v>
      </c>
      <c r="BB7" s="243">
        <v>136.64048</v>
      </c>
      <c r="BC7" s="243">
        <v>17080.060000000001</v>
      </c>
      <c r="BD7" s="270" t="s">
        <v>581</v>
      </c>
      <c r="BE7" s="244"/>
      <c r="BF7" s="244"/>
      <c r="BG7" s="244"/>
      <c r="BH7" s="244"/>
    </row>
    <row r="8" spans="1:60" ht="13.15" customHeight="1">
      <c r="A8" s="82" t="s">
        <v>257</v>
      </c>
      <c r="B8" s="140" t="s">
        <v>582</v>
      </c>
      <c r="C8" s="140" t="s">
        <v>573</v>
      </c>
      <c r="D8" s="280">
        <v>0</v>
      </c>
      <c r="E8" s="280">
        <v>0</v>
      </c>
      <c r="F8" s="243">
        <v>0</v>
      </c>
      <c r="G8" s="243">
        <v>0</v>
      </c>
      <c r="H8" s="243">
        <v>0</v>
      </c>
      <c r="I8" s="243">
        <v>0</v>
      </c>
      <c r="J8" s="243">
        <v>4500</v>
      </c>
      <c r="K8" s="243">
        <v>47250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/>
      <c r="Z8" s="243">
        <v>0</v>
      </c>
      <c r="AA8" s="243">
        <v>0</v>
      </c>
      <c r="AB8" s="235"/>
      <c r="AC8" s="410">
        <v>4500</v>
      </c>
      <c r="AD8" s="410">
        <f>+AE8/AC8</f>
        <v>10.5</v>
      </c>
      <c r="AE8" s="410">
        <v>47250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0</v>
      </c>
      <c r="AP8" s="243">
        <v>0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  <c r="BG8" s="244"/>
      <c r="BH8" s="244"/>
    </row>
    <row r="9" spans="1:60" ht="15" customHeight="1">
      <c r="A9" s="82" t="s">
        <v>309</v>
      </c>
      <c r="B9" s="140" t="s">
        <v>583</v>
      </c>
      <c r="C9" s="140" t="s">
        <v>573</v>
      </c>
      <c r="D9" s="280">
        <v>1494</v>
      </c>
      <c r="E9" s="280">
        <v>24210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0</v>
      </c>
      <c r="R9" s="243">
        <v>0</v>
      </c>
      <c r="S9" s="243">
        <v>0</v>
      </c>
      <c r="T9" s="243">
        <v>0</v>
      </c>
      <c r="U9" s="243">
        <v>0</v>
      </c>
      <c r="V9" s="243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35"/>
      <c r="AC9" s="410">
        <v>0</v>
      </c>
      <c r="AD9" s="410"/>
      <c r="AE9" s="410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43">
        <v>432</v>
      </c>
      <c r="AM9" s="235"/>
      <c r="AN9" s="243">
        <v>6952.5</v>
      </c>
      <c r="AO9" s="243">
        <v>0</v>
      </c>
      <c r="AP9" s="243">
        <v>0</v>
      </c>
      <c r="AQ9" s="235"/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243">
        <v>1062</v>
      </c>
      <c r="BB9" s="243">
        <v>16.25</v>
      </c>
      <c r="BC9" s="243">
        <v>17257.5</v>
      </c>
      <c r="BD9" s="270" t="s">
        <v>581</v>
      </c>
      <c r="BE9" s="244"/>
      <c r="BF9" s="244"/>
      <c r="BG9" s="244"/>
      <c r="BH9" s="244"/>
    </row>
    <row r="10" spans="1:60" ht="15" customHeight="1">
      <c r="A10" s="82" t="s">
        <v>313</v>
      </c>
      <c r="B10" s="140" t="s">
        <v>584</v>
      </c>
      <c r="C10" s="140" t="s">
        <v>573</v>
      </c>
      <c r="D10" s="280">
        <v>17000</v>
      </c>
      <c r="E10" s="280">
        <v>1074284.1000000001</v>
      </c>
      <c r="F10" s="243">
        <v>19000</v>
      </c>
      <c r="G10" s="243">
        <v>1290101.8999999999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35"/>
      <c r="AC10" s="410">
        <v>0</v>
      </c>
      <c r="AD10" s="410"/>
      <c r="AE10" s="410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43">
        <v>12000</v>
      </c>
      <c r="AM10" s="235"/>
      <c r="AN10" s="243">
        <v>757195.4</v>
      </c>
      <c r="AO10" s="243">
        <v>0</v>
      </c>
      <c r="AP10" s="243">
        <v>0</v>
      </c>
      <c r="AQ10" s="235"/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243">
        <v>24000</v>
      </c>
      <c r="BB10" s="243">
        <v>66.966274999999996</v>
      </c>
      <c r="BC10" s="243">
        <v>1607190.6</v>
      </c>
      <c r="BD10" s="270" t="s">
        <v>581</v>
      </c>
      <c r="BE10" s="244"/>
      <c r="BF10" s="244"/>
      <c r="BG10" s="244"/>
      <c r="BH10" s="244"/>
    </row>
    <row r="11" spans="1:60" ht="15" customHeight="1">
      <c r="A11" s="82" t="s">
        <v>585</v>
      </c>
      <c r="B11" s="140" t="s">
        <v>586</v>
      </c>
      <c r="C11" s="140" t="s">
        <v>573</v>
      </c>
      <c r="D11" s="280">
        <v>0</v>
      </c>
      <c r="E11" s="280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8280</v>
      </c>
      <c r="K11" s="243">
        <v>79290.559999999998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35"/>
      <c r="AC11" s="410">
        <v>8280</v>
      </c>
      <c r="AD11" s="410">
        <f>+AE11/AC11</f>
        <v>9.5761545893719813</v>
      </c>
      <c r="AE11" s="410">
        <v>79290.559999999998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43">
        <v>0</v>
      </c>
      <c r="AM11" s="235"/>
      <c r="AN11" s="243">
        <v>0</v>
      </c>
      <c r="AO11" s="243">
        <v>0</v>
      </c>
      <c r="AP11" s="243">
        <v>0</v>
      </c>
      <c r="AQ11" s="235"/>
      <c r="AR11" s="243">
        <v>0</v>
      </c>
      <c r="AS11" s="243">
        <v>0</v>
      </c>
      <c r="AT11" s="243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243">
        <v>0</v>
      </c>
      <c r="BB11" s="243">
        <v>0</v>
      </c>
      <c r="BC11" s="243">
        <v>0</v>
      </c>
      <c r="BD11" s="270" t="s">
        <v>581</v>
      </c>
      <c r="BE11" s="244"/>
      <c r="BF11" s="244"/>
      <c r="BG11" s="244"/>
      <c r="BH11" s="244"/>
    </row>
    <row r="12" spans="1:60" ht="15" customHeight="1">
      <c r="A12" s="82" t="s">
        <v>329</v>
      </c>
      <c r="B12" s="140" t="s">
        <v>330</v>
      </c>
      <c r="C12" s="140" t="s">
        <v>573</v>
      </c>
      <c r="D12" s="280">
        <v>0</v>
      </c>
      <c r="E12" s="280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900</v>
      </c>
      <c r="K12" s="243">
        <v>8550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43"/>
      <c r="Z12" s="243">
        <v>0</v>
      </c>
      <c r="AA12" s="243">
        <v>0</v>
      </c>
      <c r="AB12" s="235"/>
      <c r="AC12" s="410">
        <v>900</v>
      </c>
      <c r="AD12" s="410">
        <f>+AE12/AC12</f>
        <v>9.5</v>
      </c>
      <c r="AE12" s="410">
        <v>8550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243">
        <v>0</v>
      </c>
      <c r="BB12" s="243">
        <v>0</v>
      </c>
      <c r="BC12" s="243">
        <v>0</v>
      </c>
      <c r="BD12" s="270" t="s">
        <v>581</v>
      </c>
      <c r="BE12" s="244"/>
      <c r="BF12" s="244"/>
      <c r="BG12" s="244"/>
      <c r="BH12" s="244"/>
    </row>
    <row r="13" spans="1:60" ht="15" customHeight="1">
      <c r="A13" s="82" t="s">
        <v>331</v>
      </c>
      <c r="B13" s="140" t="s">
        <v>587</v>
      </c>
      <c r="C13" s="140" t="s">
        <v>573</v>
      </c>
      <c r="D13" s="280">
        <v>0</v>
      </c>
      <c r="E13" s="280">
        <v>0</v>
      </c>
      <c r="F13" s="243">
        <v>0</v>
      </c>
      <c r="G13" s="243">
        <v>0</v>
      </c>
      <c r="H13" s="243">
        <v>0</v>
      </c>
      <c r="I13" s="243">
        <v>0</v>
      </c>
      <c r="J13" s="243">
        <v>3360</v>
      </c>
      <c r="K13" s="243">
        <v>52080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35"/>
      <c r="AC13" s="410">
        <v>3360</v>
      </c>
      <c r="AD13" s="410">
        <f>+AE13/AC13</f>
        <v>15.5</v>
      </c>
      <c r="AE13" s="410">
        <v>52080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35"/>
      <c r="AN13" s="243">
        <v>0</v>
      </c>
      <c r="AO13" s="243">
        <v>0</v>
      </c>
      <c r="AP13" s="243">
        <v>0</v>
      </c>
      <c r="AQ13" s="235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243">
        <v>0</v>
      </c>
      <c r="BB13" s="243">
        <v>0</v>
      </c>
      <c r="BC13" s="243">
        <v>0</v>
      </c>
      <c r="BD13" s="270" t="s">
        <v>581</v>
      </c>
      <c r="BE13" s="244"/>
      <c r="BF13" s="244"/>
      <c r="BG13" s="244"/>
      <c r="BH13" s="244"/>
    </row>
    <row r="14" spans="1:60" s="223" customFormat="1" ht="15" customHeight="1">
      <c r="A14" s="263"/>
      <c r="B14" s="231" t="s">
        <v>36</v>
      </c>
      <c r="C14" s="231"/>
      <c r="D14" s="281">
        <f>SUM(D7:D13)</f>
        <v>18594</v>
      </c>
      <c r="E14" s="281">
        <f>SUM(E7:E13)</f>
        <v>1111977.29</v>
      </c>
      <c r="F14" s="282">
        <f>SUM(F7:F13)</f>
        <v>19100</v>
      </c>
      <c r="G14" s="282">
        <f t="shared" ref="G14:BC14" si="0">SUM(G7:G13)</f>
        <v>1303811.26</v>
      </c>
      <c r="H14" s="282"/>
      <c r="I14" s="282"/>
      <c r="J14" s="282">
        <f t="shared" si="0"/>
        <v>17040</v>
      </c>
      <c r="K14" s="541">
        <f t="shared" si="0"/>
        <v>187170.56</v>
      </c>
      <c r="L14" s="282">
        <f t="shared" si="0"/>
        <v>0</v>
      </c>
      <c r="M14" s="541">
        <f t="shared" si="0"/>
        <v>0</v>
      </c>
      <c r="N14" s="282">
        <f t="shared" si="0"/>
        <v>0</v>
      </c>
      <c r="O14" s="282">
        <f t="shared" si="0"/>
        <v>0</v>
      </c>
      <c r="P14" s="282">
        <f t="shared" si="0"/>
        <v>0</v>
      </c>
      <c r="Q14" s="282">
        <f t="shared" si="0"/>
        <v>0</v>
      </c>
      <c r="R14" s="282">
        <f t="shared" si="0"/>
        <v>0</v>
      </c>
      <c r="S14" s="282">
        <f t="shared" si="0"/>
        <v>0</v>
      </c>
      <c r="T14" s="282">
        <f t="shared" si="0"/>
        <v>0</v>
      </c>
      <c r="U14" s="282">
        <f t="shared" si="0"/>
        <v>0</v>
      </c>
      <c r="V14" s="282">
        <f t="shared" si="0"/>
        <v>0</v>
      </c>
      <c r="W14" s="282">
        <f t="shared" si="0"/>
        <v>0</v>
      </c>
      <c r="X14" s="282">
        <f t="shared" si="0"/>
        <v>0</v>
      </c>
      <c r="Y14" s="282">
        <f t="shared" si="0"/>
        <v>0</v>
      </c>
      <c r="Z14" s="282">
        <f t="shared" si="0"/>
        <v>0</v>
      </c>
      <c r="AA14" s="282">
        <f t="shared" si="0"/>
        <v>0</v>
      </c>
      <c r="AB14" s="282">
        <f t="shared" si="0"/>
        <v>0</v>
      </c>
      <c r="AC14" s="282">
        <f t="shared" si="0"/>
        <v>17040</v>
      </c>
      <c r="AD14" s="282"/>
      <c r="AE14" s="282">
        <f t="shared" si="0"/>
        <v>187170.56</v>
      </c>
      <c r="AF14" s="282">
        <f t="shared" si="0"/>
        <v>0</v>
      </c>
      <c r="AG14" s="282">
        <f t="shared" si="0"/>
        <v>0</v>
      </c>
      <c r="AH14" s="282">
        <f t="shared" si="0"/>
        <v>0</v>
      </c>
      <c r="AI14" s="282">
        <f t="shared" si="0"/>
        <v>0</v>
      </c>
      <c r="AJ14" s="282">
        <f t="shared" si="0"/>
        <v>0</v>
      </c>
      <c r="AK14" s="282">
        <f t="shared" si="0"/>
        <v>0</v>
      </c>
      <c r="AL14" s="282">
        <f t="shared" si="0"/>
        <v>12507</v>
      </c>
      <c r="AM14" s="282">
        <f t="shared" si="0"/>
        <v>0</v>
      </c>
      <c r="AN14" s="282">
        <f t="shared" si="0"/>
        <v>774260.39</v>
      </c>
      <c r="AO14" s="282">
        <f t="shared" si="0"/>
        <v>0</v>
      </c>
      <c r="AP14" s="282">
        <f t="shared" si="0"/>
        <v>0</v>
      </c>
      <c r="AQ14" s="282">
        <f t="shared" si="0"/>
        <v>0</v>
      </c>
      <c r="AR14" s="282">
        <f t="shared" si="0"/>
        <v>0</v>
      </c>
      <c r="AS14" s="282">
        <f t="shared" si="0"/>
        <v>0</v>
      </c>
      <c r="AT14" s="282">
        <f t="shared" si="0"/>
        <v>0</v>
      </c>
      <c r="AU14" s="282">
        <f t="shared" si="0"/>
        <v>0</v>
      </c>
      <c r="AV14" s="282">
        <f t="shared" si="0"/>
        <v>0</v>
      </c>
      <c r="AW14" s="282">
        <f t="shared" si="0"/>
        <v>0</v>
      </c>
      <c r="AX14" s="282">
        <f t="shared" si="0"/>
        <v>0</v>
      </c>
      <c r="AY14" s="282">
        <f t="shared" si="0"/>
        <v>0</v>
      </c>
      <c r="AZ14" s="282">
        <f t="shared" si="0"/>
        <v>0</v>
      </c>
      <c r="BA14" s="282">
        <f t="shared" si="0"/>
        <v>25187</v>
      </c>
      <c r="BB14" s="282"/>
      <c r="BC14" s="282">
        <f t="shared" si="0"/>
        <v>1641528.1600000001</v>
      </c>
      <c r="BD14" s="285"/>
    </row>
    <row r="16" spans="1:60" s="224" customFormat="1" ht="15" customHeight="1">
      <c r="C16" s="224" t="s">
        <v>567</v>
      </c>
      <c r="D16" s="246">
        <v>18594</v>
      </c>
      <c r="E16" s="246">
        <v>1111977.29</v>
      </c>
      <c r="G16" s="246">
        <f>'1008-402'!F38</f>
        <v>1303811.17</v>
      </c>
      <c r="H16" s="246"/>
      <c r="I16" s="246"/>
      <c r="AC16" s="246"/>
      <c r="AE16" s="246"/>
      <c r="BA16" s="286">
        <f>+D14+F14+J14-AC14-AH14-AJ14-AL14+L14</f>
        <v>25187</v>
      </c>
      <c r="BC16" s="286">
        <f>+E14+G14+K14-AE14-AI14-AK14-AN14+M14</f>
        <v>1641528.1599999997</v>
      </c>
      <c r="BD16" s="287"/>
    </row>
    <row r="17" spans="4:60" ht="15" customHeight="1">
      <c r="G17" s="247">
        <f>+G14-G16</f>
        <v>9.0000000083819032E-2</v>
      </c>
      <c r="H17" s="247"/>
      <c r="I17" s="247"/>
      <c r="AE17" s="412"/>
      <c r="BA17" s="244"/>
      <c r="BC17" s="244"/>
    </row>
    <row r="18" spans="4:60" ht="15" customHeight="1">
      <c r="E18" s="241"/>
      <c r="G18" s="244"/>
      <c r="H18" s="244"/>
      <c r="I18" s="244"/>
      <c r="AC18" s="412"/>
      <c r="AD18" s="412"/>
      <c r="AE18" s="412"/>
      <c r="BA18" s="244"/>
      <c r="BC18" s="244"/>
    </row>
    <row r="19" spans="4:60" ht="15" customHeight="1">
      <c r="E19" s="241"/>
      <c r="G19" s="417"/>
      <c r="H19" s="244"/>
      <c r="I19" s="244"/>
      <c r="AI19" s="244"/>
      <c r="BD19" s="225"/>
    </row>
    <row r="20" spans="4:60" ht="15" customHeight="1">
      <c r="E20" s="241"/>
      <c r="G20" s="244"/>
      <c r="H20" s="244"/>
      <c r="I20" s="244"/>
      <c r="AE20" s="412"/>
    </row>
    <row r="21" spans="4:60" ht="15" customHeight="1">
      <c r="D21" s="241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412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</row>
    <row r="22" spans="4:60" ht="15" customHeight="1">
      <c r="AE22" s="412"/>
    </row>
    <row r="23" spans="4:60" ht="15" customHeight="1">
      <c r="G23" s="244"/>
      <c r="H23" s="244"/>
      <c r="I23" s="244"/>
    </row>
  </sheetData>
  <mergeCells count="1">
    <mergeCell ref="A3:C3"/>
  </mergeCells>
  <pageMargins left="0" right="0" top="0.5" bottom="0" header="0.3" footer="0.3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XH108"/>
  <sheetViews>
    <sheetView zoomScaleNormal="100" workbookViewId="0">
      <pane xSplit="3" ySplit="6" topLeftCell="D7" activePane="bottomRight" state="frozen"/>
      <selection pane="topRight"/>
      <selection pane="bottomLeft"/>
      <selection pane="bottomRight" activeCell="B27" sqref="B27"/>
    </sheetView>
  </sheetViews>
  <sheetFormatPr defaultColWidth="6.25" defaultRowHeight="16.149999999999999" customHeight="1"/>
  <cols>
    <col min="1" max="1" width="5.375" style="225" customWidth="1"/>
    <col min="2" max="2" width="18.375" style="225" customWidth="1"/>
    <col min="3" max="3" width="3.75" style="225" customWidth="1"/>
    <col min="4" max="4" width="8.625" style="252" customWidth="1"/>
    <col min="5" max="5" width="9.75" style="252" customWidth="1"/>
    <col min="6" max="7" width="7" style="225" customWidth="1"/>
    <col min="8" max="8" width="8" style="225" customWidth="1"/>
    <col min="9" max="9" width="8.875" style="225" customWidth="1"/>
    <col min="10" max="10" width="9.25" style="225" customWidth="1"/>
    <col min="11" max="11" width="9.875" style="225" customWidth="1"/>
    <col min="12" max="12" width="6.875" style="225" customWidth="1"/>
    <col min="13" max="13" width="7.75" style="225" customWidth="1"/>
    <col min="14" max="14" width="8.625" style="225" hidden="1" customWidth="1"/>
    <col min="15" max="15" width="9" style="225" hidden="1" customWidth="1"/>
    <col min="16" max="16" width="11.375" style="225" hidden="1" customWidth="1"/>
    <col min="17" max="17" width="7.25" style="225" customWidth="1"/>
    <col min="18" max="18" width="8.75" style="225" customWidth="1"/>
    <col min="19" max="19" width="7.125" style="225" hidden="1" customWidth="1"/>
    <col min="20" max="20" width="8.625" style="225" hidden="1" customWidth="1"/>
    <col min="21" max="21" width="10.5" style="225" hidden="1" customWidth="1"/>
    <col min="22" max="22" width="12.875" style="225" hidden="1" customWidth="1"/>
    <col min="23" max="23" width="9.75" style="225" hidden="1" customWidth="1"/>
    <col min="24" max="24" width="11.375" style="225" hidden="1" customWidth="1"/>
    <col min="25" max="25" width="0.875" style="225" hidden="1" customWidth="1"/>
    <col min="26" max="26" width="9.75" style="225" hidden="1" customWidth="1"/>
    <col min="27" max="27" width="11.75" style="225" hidden="1" customWidth="1"/>
    <col min="28" max="28" width="0.125" style="225" customWidth="1"/>
    <col min="29" max="29" width="8.75" style="407" customWidth="1"/>
    <col min="30" max="30" width="6.75" style="407" customWidth="1"/>
    <col min="31" max="31" width="10.75" style="407" customWidth="1"/>
    <col min="32" max="32" width="6.375" style="225" hidden="1" customWidth="1"/>
    <col min="33" max="33" width="7.25" style="225" hidden="1" customWidth="1"/>
    <col min="34" max="34" width="9.5" style="225" hidden="1" customWidth="1"/>
    <col min="35" max="35" width="10.75" style="225" hidden="1" customWidth="1"/>
    <col min="36" max="36" width="9.25" style="225" hidden="1" customWidth="1"/>
    <col min="37" max="37" width="11.125" style="225" hidden="1" customWidth="1"/>
    <col min="38" max="38" width="8.875" style="225" hidden="1" customWidth="1"/>
    <col min="39" max="39" width="7.25" style="225" hidden="1" customWidth="1"/>
    <col min="40" max="40" width="9.25" style="225" hidden="1" customWidth="1"/>
    <col min="41" max="41" width="7.25" style="225" customWidth="1"/>
    <col min="42" max="42" width="9" style="225" customWidth="1"/>
    <col min="43" max="43" width="5.25" style="225" hidden="1" customWidth="1"/>
    <col min="44" max="44" width="6.75" style="225" hidden="1" customWidth="1"/>
    <col min="45" max="45" width="7.5" style="225" hidden="1" customWidth="1"/>
    <col min="46" max="51" width="9.375" style="225" hidden="1" customWidth="1"/>
    <col min="52" max="52" width="1.5" style="225" hidden="1" customWidth="1"/>
    <col min="53" max="53" width="9.375" style="225" customWidth="1"/>
    <col min="54" max="54" width="6.125" style="225" customWidth="1"/>
    <col min="55" max="55" width="9.25" style="225" customWidth="1"/>
    <col min="56" max="56" width="5" style="253" customWidth="1"/>
    <col min="57" max="57" width="11.625" style="225" customWidth="1"/>
    <col min="58" max="58" width="9.125" style="225" customWidth="1"/>
    <col min="59" max="256" width="6.25" style="225"/>
    <col min="257" max="257" width="6.75" style="225" customWidth="1"/>
    <col min="258" max="258" width="30.75" style="225" customWidth="1"/>
    <col min="259" max="259" width="4.5" style="225" customWidth="1"/>
    <col min="260" max="260" width="8.5" style="225" customWidth="1"/>
    <col min="261" max="261" width="10.125" style="225" customWidth="1"/>
    <col min="262" max="262" width="8.625" style="225" customWidth="1"/>
    <col min="263" max="263" width="9.75" style="225" customWidth="1"/>
    <col min="264" max="265" width="6.25" style="225" hidden="1" customWidth="1"/>
    <col min="266" max="266" width="11" style="225" customWidth="1"/>
    <col min="267" max="267" width="10.75" style="225" customWidth="1"/>
    <col min="268" max="268" width="10" style="225" customWidth="1"/>
    <col min="269" max="269" width="10.75" style="225" customWidth="1"/>
    <col min="270" max="274" width="6.25" style="225" hidden="1" customWidth="1"/>
    <col min="275" max="275" width="13.125" style="225" customWidth="1"/>
    <col min="276" max="276" width="11" style="225" customWidth="1"/>
    <col min="277" max="283" width="6.25" style="225" hidden="1" customWidth="1"/>
    <col min="284" max="284" width="0.125" style="225" customWidth="1"/>
    <col min="285" max="285" width="9.5" style="225" customWidth="1"/>
    <col min="286" max="286" width="7.5" style="225" customWidth="1"/>
    <col min="287" max="287" width="10.875" style="225" customWidth="1"/>
    <col min="288" max="299" width="6.25" style="225" hidden="1" customWidth="1"/>
    <col min="300" max="300" width="8.25" style="225" customWidth="1"/>
    <col min="301" max="301" width="10" style="225" customWidth="1"/>
    <col min="302" max="308" width="6.25" style="225" hidden="1" customWidth="1"/>
    <col min="309" max="309" width="9.875" style="225" customWidth="1"/>
    <col min="310" max="310" width="8.375" style="225" customWidth="1"/>
    <col min="311" max="311" width="10.75" style="225" customWidth="1"/>
    <col min="312" max="312" width="6.375" style="225" customWidth="1"/>
    <col min="313" max="313" width="11.625" style="225" customWidth="1"/>
    <col min="314" max="314" width="9.125" style="225" customWidth="1"/>
    <col min="315" max="512" width="6.25" style="225"/>
    <col min="513" max="513" width="6.75" style="225" customWidth="1"/>
    <col min="514" max="514" width="30.75" style="225" customWidth="1"/>
    <col min="515" max="515" width="4.5" style="225" customWidth="1"/>
    <col min="516" max="516" width="8.5" style="225" customWidth="1"/>
    <col min="517" max="517" width="10.125" style="225" customWidth="1"/>
    <col min="518" max="518" width="8.625" style="225" customWidth="1"/>
    <col min="519" max="519" width="9.75" style="225" customWidth="1"/>
    <col min="520" max="521" width="6.25" style="225" hidden="1" customWidth="1"/>
    <col min="522" max="522" width="11" style="225" customWidth="1"/>
    <col min="523" max="523" width="10.75" style="225" customWidth="1"/>
    <col min="524" max="524" width="10" style="225" customWidth="1"/>
    <col min="525" max="525" width="10.75" style="225" customWidth="1"/>
    <col min="526" max="530" width="6.25" style="225" hidden="1" customWidth="1"/>
    <col min="531" max="531" width="13.125" style="225" customWidth="1"/>
    <col min="532" max="532" width="11" style="225" customWidth="1"/>
    <col min="533" max="539" width="6.25" style="225" hidden="1" customWidth="1"/>
    <col min="540" max="540" width="0.125" style="225" customWidth="1"/>
    <col min="541" max="541" width="9.5" style="225" customWidth="1"/>
    <col min="542" max="542" width="7.5" style="225" customWidth="1"/>
    <col min="543" max="543" width="10.875" style="225" customWidth="1"/>
    <col min="544" max="555" width="6.25" style="225" hidden="1" customWidth="1"/>
    <col min="556" max="556" width="8.25" style="225" customWidth="1"/>
    <col min="557" max="557" width="10" style="225" customWidth="1"/>
    <col min="558" max="564" width="6.25" style="225" hidden="1" customWidth="1"/>
    <col min="565" max="565" width="9.875" style="225" customWidth="1"/>
    <col min="566" max="566" width="8.375" style="225" customWidth="1"/>
    <col min="567" max="567" width="10.75" style="225" customWidth="1"/>
    <col min="568" max="568" width="6.375" style="225" customWidth="1"/>
    <col min="569" max="569" width="11.625" style="225" customWidth="1"/>
    <col min="570" max="570" width="9.125" style="225" customWidth="1"/>
    <col min="571" max="768" width="6.25" style="225"/>
    <col min="769" max="769" width="6.75" style="225" customWidth="1"/>
    <col min="770" max="770" width="30.75" style="225" customWidth="1"/>
    <col min="771" max="771" width="4.5" style="225" customWidth="1"/>
    <col min="772" max="772" width="8.5" style="225" customWidth="1"/>
    <col min="773" max="773" width="10.125" style="225" customWidth="1"/>
    <col min="774" max="774" width="8.625" style="225" customWidth="1"/>
    <col min="775" max="775" width="9.75" style="225" customWidth="1"/>
    <col min="776" max="777" width="6.25" style="225" hidden="1" customWidth="1"/>
    <col min="778" max="778" width="11" style="225" customWidth="1"/>
    <col min="779" max="779" width="10.75" style="225" customWidth="1"/>
    <col min="780" max="780" width="10" style="225" customWidth="1"/>
    <col min="781" max="781" width="10.75" style="225" customWidth="1"/>
    <col min="782" max="786" width="6.25" style="225" hidden="1" customWidth="1"/>
    <col min="787" max="787" width="13.125" style="225" customWidth="1"/>
    <col min="788" max="788" width="11" style="225" customWidth="1"/>
    <col min="789" max="795" width="6.25" style="225" hidden="1" customWidth="1"/>
    <col min="796" max="796" width="0.125" style="225" customWidth="1"/>
    <col min="797" max="797" width="9.5" style="225" customWidth="1"/>
    <col min="798" max="798" width="7.5" style="225" customWidth="1"/>
    <col min="799" max="799" width="10.875" style="225" customWidth="1"/>
    <col min="800" max="811" width="6.25" style="225" hidden="1" customWidth="1"/>
    <col min="812" max="812" width="8.25" style="225" customWidth="1"/>
    <col min="813" max="813" width="10" style="225" customWidth="1"/>
    <col min="814" max="820" width="6.25" style="225" hidden="1" customWidth="1"/>
    <col min="821" max="821" width="9.875" style="225" customWidth="1"/>
    <col min="822" max="822" width="8.375" style="225" customWidth="1"/>
    <col min="823" max="823" width="10.75" style="225" customWidth="1"/>
    <col min="824" max="824" width="6.375" style="225" customWidth="1"/>
    <col min="825" max="825" width="11.625" style="225" customWidth="1"/>
    <col min="826" max="826" width="9.125" style="225" customWidth="1"/>
    <col min="827" max="1024" width="6.25" style="225"/>
    <col min="1025" max="1025" width="6.75" style="225" customWidth="1"/>
    <col min="1026" max="1026" width="30.75" style="225" customWidth="1"/>
    <col min="1027" max="1027" width="4.5" style="225" customWidth="1"/>
    <col min="1028" max="1028" width="8.5" style="225" customWidth="1"/>
    <col min="1029" max="1029" width="10.125" style="225" customWidth="1"/>
    <col min="1030" max="1030" width="8.625" style="225" customWidth="1"/>
    <col min="1031" max="1031" width="9.75" style="225" customWidth="1"/>
    <col min="1032" max="1033" width="6.25" style="225" hidden="1" customWidth="1"/>
    <col min="1034" max="1034" width="11" style="225" customWidth="1"/>
    <col min="1035" max="1035" width="10.75" style="225" customWidth="1"/>
    <col min="1036" max="1036" width="10" style="225" customWidth="1"/>
    <col min="1037" max="1037" width="10.75" style="225" customWidth="1"/>
    <col min="1038" max="1042" width="6.25" style="225" hidden="1" customWidth="1"/>
    <col min="1043" max="1043" width="13.125" style="225" customWidth="1"/>
    <col min="1044" max="1044" width="11" style="225" customWidth="1"/>
    <col min="1045" max="1051" width="6.25" style="225" hidden="1" customWidth="1"/>
    <col min="1052" max="1052" width="0.125" style="225" customWidth="1"/>
    <col min="1053" max="1053" width="9.5" style="225" customWidth="1"/>
    <col min="1054" max="1054" width="7.5" style="225" customWidth="1"/>
    <col min="1055" max="1055" width="10.875" style="225" customWidth="1"/>
    <col min="1056" max="1067" width="6.25" style="225" hidden="1" customWidth="1"/>
    <col min="1068" max="1068" width="8.25" style="225" customWidth="1"/>
    <col min="1069" max="1069" width="10" style="225" customWidth="1"/>
    <col min="1070" max="1076" width="6.25" style="225" hidden="1" customWidth="1"/>
    <col min="1077" max="1077" width="9.875" style="225" customWidth="1"/>
    <col min="1078" max="1078" width="8.375" style="225" customWidth="1"/>
    <col min="1079" max="1079" width="10.75" style="225" customWidth="1"/>
    <col min="1080" max="1080" width="6.375" style="225" customWidth="1"/>
    <col min="1081" max="1081" width="11.625" style="225" customWidth="1"/>
    <col min="1082" max="1082" width="9.125" style="225" customWidth="1"/>
    <col min="1083" max="1280" width="6.25" style="225"/>
    <col min="1281" max="1281" width="6.75" style="225" customWidth="1"/>
    <col min="1282" max="1282" width="30.75" style="225" customWidth="1"/>
    <col min="1283" max="1283" width="4.5" style="225" customWidth="1"/>
    <col min="1284" max="1284" width="8.5" style="225" customWidth="1"/>
    <col min="1285" max="1285" width="10.125" style="225" customWidth="1"/>
    <col min="1286" max="1286" width="8.625" style="225" customWidth="1"/>
    <col min="1287" max="1287" width="9.75" style="225" customWidth="1"/>
    <col min="1288" max="1289" width="6.25" style="225" hidden="1" customWidth="1"/>
    <col min="1290" max="1290" width="11" style="225" customWidth="1"/>
    <col min="1291" max="1291" width="10.75" style="225" customWidth="1"/>
    <col min="1292" max="1292" width="10" style="225" customWidth="1"/>
    <col min="1293" max="1293" width="10.75" style="225" customWidth="1"/>
    <col min="1294" max="1298" width="6.25" style="225" hidden="1" customWidth="1"/>
    <col min="1299" max="1299" width="13.125" style="225" customWidth="1"/>
    <col min="1300" max="1300" width="11" style="225" customWidth="1"/>
    <col min="1301" max="1307" width="6.25" style="225" hidden="1" customWidth="1"/>
    <col min="1308" max="1308" width="0.125" style="225" customWidth="1"/>
    <col min="1309" max="1309" width="9.5" style="225" customWidth="1"/>
    <col min="1310" max="1310" width="7.5" style="225" customWidth="1"/>
    <col min="1311" max="1311" width="10.875" style="225" customWidth="1"/>
    <col min="1312" max="1323" width="6.25" style="225" hidden="1" customWidth="1"/>
    <col min="1324" max="1324" width="8.25" style="225" customWidth="1"/>
    <col min="1325" max="1325" width="10" style="225" customWidth="1"/>
    <col min="1326" max="1332" width="6.25" style="225" hidden="1" customWidth="1"/>
    <col min="1333" max="1333" width="9.875" style="225" customWidth="1"/>
    <col min="1334" max="1334" width="8.375" style="225" customWidth="1"/>
    <col min="1335" max="1335" width="10.75" style="225" customWidth="1"/>
    <col min="1336" max="1336" width="6.375" style="225" customWidth="1"/>
    <col min="1337" max="1337" width="11.625" style="225" customWidth="1"/>
    <col min="1338" max="1338" width="9.125" style="225" customWidth="1"/>
    <col min="1339" max="1536" width="6.25" style="225"/>
    <col min="1537" max="1537" width="6.75" style="225" customWidth="1"/>
    <col min="1538" max="1538" width="30.75" style="225" customWidth="1"/>
    <col min="1539" max="1539" width="4.5" style="225" customWidth="1"/>
    <col min="1540" max="1540" width="8.5" style="225" customWidth="1"/>
    <col min="1541" max="1541" width="10.125" style="225" customWidth="1"/>
    <col min="1542" max="1542" width="8.625" style="225" customWidth="1"/>
    <col min="1543" max="1543" width="9.75" style="225" customWidth="1"/>
    <col min="1544" max="1545" width="6.25" style="225" hidden="1" customWidth="1"/>
    <col min="1546" max="1546" width="11" style="225" customWidth="1"/>
    <col min="1547" max="1547" width="10.75" style="225" customWidth="1"/>
    <col min="1548" max="1548" width="10" style="225" customWidth="1"/>
    <col min="1549" max="1549" width="10.75" style="225" customWidth="1"/>
    <col min="1550" max="1554" width="6.25" style="225" hidden="1" customWidth="1"/>
    <col min="1555" max="1555" width="13.125" style="225" customWidth="1"/>
    <col min="1556" max="1556" width="11" style="225" customWidth="1"/>
    <col min="1557" max="1563" width="6.25" style="225" hidden="1" customWidth="1"/>
    <col min="1564" max="1564" width="0.125" style="225" customWidth="1"/>
    <col min="1565" max="1565" width="9.5" style="225" customWidth="1"/>
    <col min="1566" max="1566" width="7.5" style="225" customWidth="1"/>
    <col min="1567" max="1567" width="10.875" style="225" customWidth="1"/>
    <col min="1568" max="1579" width="6.25" style="225" hidden="1" customWidth="1"/>
    <col min="1580" max="1580" width="8.25" style="225" customWidth="1"/>
    <col min="1581" max="1581" width="10" style="225" customWidth="1"/>
    <col min="1582" max="1588" width="6.25" style="225" hidden="1" customWidth="1"/>
    <col min="1589" max="1589" width="9.875" style="225" customWidth="1"/>
    <col min="1590" max="1590" width="8.375" style="225" customWidth="1"/>
    <col min="1591" max="1591" width="10.75" style="225" customWidth="1"/>
    <col min="1592" max="1592" width="6.375" style="225" customWidth="1"/>
    <col min="1593" max="1593" width="11.625" style="225" customWidth="1"/>
    <col min="1594" max="1594" width="9.125" style="225" customWidth="1"/>
    <col min="1595" max="1792" width="6.25" style="225"/>
    <col min="1793" max="1793" width="6.75" style="225" customWidth="1"/>
    <col min="1794" max="1794" width="30.75" style="225" customWidth="1"/>
    <col min="1795" max="1795" width="4.5" style="225" customWidth="1"/>
    <col min="1796" max="1796" width="8.5" style="225" customWidth="1"/>
    <col min="1797" max="1797" width="10.125" style="225" customWidth="1"/>
    <col min="1798" max="1798" width="8.625" style="225" customWidth="1"/>
    <col min="1799" max="1799" width="9.75" style="225" customWidth="1"/>
    <col min="1800" max="1801" width="6.25" style="225" hidden="1" customWidth="1"/>
    <col min="1802" max="1802" width="11" style="225" customWidth="1"/>
    <col min="1803" max="1803" width="10.75" style="225" customWidth="1"/>
    <col min="1804" max="1804" width="10" style="225" customWidth="1"/>
    <col min="1805" max="1805" width="10.75" style="225" customWidth="1"/>
    <col min="1806" max="1810" width="6.25" style="225" hidden="1" customWidth="1"/>
    <col min="1811" max="1811" width="13.125" style="225" customWidth="1"/>
    <col min="1812" max="1812" width="11" style="225" customWidth="1"/>
    <col min="1813" max="1819" width="6.25" style="225" hidden="1" customWidth="1"/>
    <col min="1820" max="1820" width="0.125" style="225" customWidth="1"/>
    <col min="1821" max="1821" width="9.5" style="225" customWidth="1"/>
    <col min="1822" max="1822" width="7.5" style="225" customWidth="1"/>
    <col min="1823" max="1823" width="10.875" style="225" customWidth="1"/>
    <col min="1824" max="1835" width="6.25" style="225" hidden="1" customWidth="1"/>
    <col min="1836" max="1836" width="8.25" style="225" customWidth="1"/>
    <col min="1837" max="1837" width="10" style="225" customWidth="1"/>
    <col min="1838" max="1844" width="6.25" style="225" hidden="1" customWidth="1"/>
    <col min="1845" max="1845" width="9.875" style="225" customWidth="1"/>
    <col min="1846" max="1846" width="8.375" style="225" customWidth="1"/>
    <col min="1847" max="1847" width="10.75" style="225" customWidth="1"/>
    <col min="1848" max="1848" width="6.375" style="225" customWidth="1"/>
    <col min="1849" max="1849" width="11.625" style="225" customWidth="1"/>
    <col min="1850" max="1850" width="9.125" style="225" customWidth="1"/>
    <col min="1851" max="2048" width="6.25" style="225"/>
    <col min="2049" max="2049" width="6.75" style="225" customWidth="1"/>
    <col min="2050" max="2050" width="30.75" style="225" customWidth="1"/>
    <col min="2051" max="2051" width="4.5" style="225" customWidth="1"/>
    <col min="2052" max="2052" width="8.5" style="225" customWidth="1"/>
    <col min="2053" max="2053" width="10.125" style="225" customWidth="1"/>
    <col min="2054" max="2054" width="8.625" style="225" customWidth="1"/>
    <col min="2055" max="2055" width="9.75" style="225" customWidth="1"/>
    <col min="2056" max="2057" width="6.25" style="225" hidden="1" customWidth="1"/>
    <col min="2058" max="2058" width="11" style="225" customWidth="1"/>
    <col min="2059" max="2059" width="10.75" style="225" customWidth="1"/>
    <col min="2060" max="2060" width="10" style="225" customWidth="1"/>
    <col min="2061" max="2061" width="10.75" style="225" customWidth="1"/>
    <col min="2062" max="2066" width="6.25" style="225" hidden="1" customWidth="1"/>
    <col min="2067" max="2067" width="13.125" style="225" customWidth="1"/>
    <col min="2068" max="2068" width="11" style="225" customWidth="1"/>
    <col min="2069" max="2075" width="6.25" style="225" hidden="1" customWidth="1"/>
    <col min="2076" max="2076" width="0.125" style="225" customWidth="1"/>
    <col min="2077" max="2077" width="9.5" style="225" customWidth="1"/>
    <col min="2078" max="2078" width="7.5" style="225" customWidth="1"/>
    <col min="2079" max="2079" width="10.875" style="225" customWidth="1"/>
    <col min="2080" max="2091" width="6.25" style="225" hidden="1" customWidth="1"/>
    <col min="2092" max="2092" width="8.25" style="225" customWidth="1"/>
    <col min="2093" max="2093" width="10" style="225" customWidth="1"/>
    <col min="2094" max="2100" width="6.25" style="225" hidden="1" customWidth="1"/>
    <col min="2101" max="2101" width="9.875" style="225" customWidth="1"/>
    <col min="2102" max="2102" width="8.375" style="225" customWidth="1"/>
    <col min="2103" max="2103" width="10.75" style="225" customWidth="1"/>
    <col min="2104" max="2104" width="6.375" style="225" customWidth="1"/>
    <col min="2105" max="2105" width="11.625" style="225" customWidth="1"/>
    <col min="2106" max="2106" width="9.125" style="225" customWidth="1"/>
    <col min="2107" max="2304" width="6.25" style="225"/>
    <col min="2305" max="2305" width="6.75" style="225" customWidth="1"/>
    <col min="2306" max="2306" width="30.75" style="225" customWidth="1"/>
    <col min="2307" max="2307" width="4.5" style="225" customWidth="1"/>
    <col min="2308" max="2308" width="8.5" style="225" customWidth="1"/>
    <col min="2309" max="2309" width="10.125" style="225" customWidth="1"/>
    <col min="2310" max="2310" width="8.625" style="225" customWidth="1"/>
    <col min="2311" max="2311" width="9.75" style="225" customWidth="1"/>
    <col min="2312" max="2313" width="6.25" style="225" hidden="1" customWidth="1"/>
    <col min="2314" max="2314" width="11" style="225" customWidth="1"/>
    <col min="2315" max="2315" width="10.75" style="225" customWidth="1"/>
    <col min="2316" max="2316" width="10" style="225" customWidth="1"/>
    <col min="2317" max="2317" width="10.75" style="225" customWidth="1"/>
    <col min="2318" max="2322" width="6.25" style="225" hidden="1" customWidth="1"/>
    <col min="2323" max="2323" width="13.125" style="225" customWidth="1"/>
    <col min="2324" max="2324" width="11" style="225" customWidth="1"/>
    <col min="2325" max="2331" width="6.25" style="225" hidden="1" customWidth="1"/>
    <col min="2332" max="2332" width="0.125" style="225" customWidth="1"/>
    <col min="2333" max="2333" width="9.5" style="225" customWidth="1"/>
    <col min="2334" max="2334" width="7.5" style="225" customWidth="1"/>
    <col min="2335" max="2335" width="10.875" style="225" customWidth="1"/>
    <col min="2336" max="2347" width="6.25" style="225" hidden="1" customWidth="1"/>
    <col min="2348" max="2348" width="8.25" style="225" customWidth="1"/>
    <col min="2349" max="2349" width="10" style="225" customWidth="1"/>
    <col min="2350" max="2356" width="6.25" style="225" hidden="1" customWidth="1"/>
    <col min="2357" max="2357" width="9.875" style="225" customWidth="1"/>
    <col min="2358" max="2358" width="8.375" style="225" customWidth="1"/>
    <col min="2359" max="2359" width="10.75" style="225" customWidth="1"/>
    <col min="2360" max="2360" width="6.375" style="225" customWidth="1"/>
    <col min="2361" max="2361" width="11.625" style="225" customWidth="1"/>
    <col min="2362" max="2362" width="9.125" style="225" customWidth="1"/>
    <col min="2363" max="2560" width="6.25" style="225"/>
    <col min="2561" max="2561" width="6.75" style="225" customWidth="1"/>
    <col min="2562" max="2562" width="30.75" style="225" customWidth="1"/>
    <col min="2563" max="2563" width="4.5" style="225" customWidth="1"/>
    <col min="2564" max="2564" width="8.5" style="225" customWidth="1"/>
    <col min="2565" max="2565" width="10.125" style="225" customWidth="1"/>
    <col min="2566" max="2566" width="8.625" style="225" customWidth="1"/>
    <col min="2567" max="2567" width="9.75" style="225" customWidth="1"/>
    <col min="2568" max="2569" width="6.25" style="225" hidden="1" customWidth="1"/>
    <col min="2570" max="2570" width="11" style="225" customWidth="1"/>
    <col min="2571" max="2571" width="10.75" style="225" customWidth="1"/>
    <col min="2572" max="2572" width="10" style="225" customWidth="1"/>
    <col min="2573" max="2573" width="10.75" style="225" customWidth="1"/>
    <col min="2574" max="2578" width="6.25" style="225" hidden="1" customWidth="1"/>
    <col min="2579" max="2579" width="13.125" style="225" customWidth="1"/>
    <col min="2580" max="2580" width="11" style="225" customWidth="1"/>
    <col min="2581" max="2587" width="6.25" style="225" hidden="1" customWidth="1"/>
    <col min="2588" max="2588" width="0.125" style="225" customWidth="1"/>
    <col min="2589" max="2589" width="9.5" style="225" customWidth="1"/>
    <col min="2590" max="2590" width="7.5" style="225" customWidth="1"/>
    <col min="2591" max="2591" width="10.875" style="225" customWidth="1"/>
    <col min="2592" max="2603" width="6.25" style="225" hidden="1" customWidth="1"/>
    <col min="2604" max="2604" width="8.25" style="225" customWidth="1"/>
    <col min="2605" max="2605" width="10" style="225" customWidth="1"/>
    <col min="2606" max="2612" width="6.25" style="225" hidden="1" customWidth="1"/>
    <col min="2613" max="2613" width="9.875" style="225" customWidth="1"/>
    <col min="2614" max="2614" width="8.375" style="225" customWidth="1"/>
    <col min="2615" max="2615" width="10.75" style="225" customWidth="1"/>
    <col min="2616" max="2616" width="6.375" style="225" customWidth="1"/>
    <col min="2617" max="2617" width="11.625" style="225" customWidth="1"/>
    <col min="2618" max="2618" width="9.125" style="225" customWidth="1"/>
    <col min="2619" max="2816" width="6.25" style="225"/>
    <col min="2817" max="2817" width="6.75" style="225" customWidth="1"/>
    <col min="2818" max="2818" width="30.75" style="225" customWidth="1"/>
    <col min="2819" max="2819" width="4.5" style="225" customWidth="1"/>
    <col min="2820" max="2820" width="8.5" style="225" customWidth="1"/>
    <col min="2821" max="2821" width="10.125" style="225" customWidth="1"/>
    <col min="2822" max="2822" width="8.625" style="225" customWidth="1"/>
    <col min="2823" max="2823" width="9.75" style="225" customWidth="1"/>
    <col min="2824" max="2825" width="6.25" style="225" hidden="1" customWidth="1"/>
    <col min="2826" max="2826" width="11" style="225" customWidth="1"/>
    <col min="2827" max="2827" width="10.75" style="225" customWidth="1"/>
    <col min="2828" max="2828" width="10" style="225" customWidth="1"/>
    <col min="2829" max="2829" width="10.75" style="225" customWidth="1"/>
    <col min="2830" max="2834" width="6.25" style="225" hidden="1" customWidth="1"/>
    <col min="2835" max="2835" width="13.125" style="225" customWidth="1"/>
    <col min="2836" max="2836" width="11" style="225" customWidth="1"/>
    <col min="2837" max="2843" width="6.25" style="225" hidden="1" customWidth="1"/>
    <col min="2844" max="2844" width="0.125" style="225" customWidth="1"/>
    <col min="2845" max="2845" width="9.5" style="225" customWidth="1"/>
    <col min="2846" max="2846" width="7.5" style="225" customWidth="1"/>
    <col min="2847" max="2847" width="10.875" style="225" customWidth="1"/>
    <col min="2848" max="2859" width="6.25" style="225" hidden="1" customWidth="1"/>
    <col min="2860" max="2860" width="8.25" style="225" customWidth="1"/>
    <col min="2861" max="2861" width="10" style="225" customWidth="1"/>
    <col min="2862" max="2868" width="6.25" style="225" hidden="1" customWidth="1"/>
    <col min="2869" max="2869" width="9.875" style="225" customWidth="1"/>
    <col min="2870" max="2870" width="8.375" style="225" customWidth="1"/>
    <col min="2871" max="2871" width="10.75" style="225" customWidth="1"/>
    <col min="2872" max="2872" width="6.375" style="225" customWidth="1"/>
    <col min="2873" max="2873" width="11.625" style="225" customWidth="1"/>
    <col min="2874" max="2874" width="9.125" style="225" customWidth="1"/>
    <col min="2875" max="3072" width="6.25" style="225"/>
    <col min="3073" max="3073" width="6.75" style="225" customWidth="1"/>
    <col min="3074" max="3074" width="30.75" style="225" customWidth="1"/>
    <col min="3075" max="3075" width="4.5" style="225" customWidth="1"/>
    <col min="3076" max="3076" width="8.5" style="225" customWidth="1"/>
    <col min="3077" max="3077" width="10.125" style="225" customWidth="1"/>
    <col min="3078" max="3078" width="8.625" style="225" customWidth="1"/>
    <col min="3079" max="3079" width="9.75" style="225" customWidth="1"/>
    <col min="3080" max="3081" width="6.25" style="225" hidden="1" customWidth="1"/>
    <col min="3082" max="3082" width="11" style="225" customWidth="1"/>
    <col min="3083" max="3083" width="10.75" style="225" customWidth="1"/>
    <col min="3084" max="3084" width="10" style="225" customWidth="1"/>
    <col min="3085" max="3085" width="10.75" style="225" customWidth="1"/>
    <col min="3086" max="3090" width="6.25" style="225" hidden="1" customWidth="1"/>
    <col min="3091" max="3091" width="13.125" style="225" customWidth="1"/>
    <col min="3092" max="3092" width="11" style="225" customWidth="1"/>
    <col min="3093" max="3099" width="6.25" style="225" hidden="1" customWidth="1"/>
    <col min="3100" max="3100" width="0.125" style="225" customWidth="1"/>
    <col min="3101" max="3101" width="9.5" style="225" customWidth="1"/>
    <col min="3102" max="3102" width="7.5" style="225" customWidth="1"/>
    <col min="3103" max="3103" width="10.875" style="225" customWidth="1"/>
    <col min="3104" max="3115" width="6.25" style="225" hidden="1" customWidth="1"/>
    <col min="3116" max="3116" width="8.25" style="225" customWidth="1"/>
    <col min="3117" max="3117" width="10" style="225" customWidth="1"/>
    <col min="3118" max="3124" width="6.25" style="225" hidden="1" customWidth="1"/>
    <col min="3125" max="3125" width="9.875" style="225" customWidth="1"/>
    <col min="3126" max="3126" width="8.375" style="225" customWidth="1"/>
    <col min="3127" max="3127" width="10.75" style="225" customWidth="1"/>
    <col min="3128" max="3128" width="6.375" style="225" customWidth="1"/>
    <col min="3129" max="3129" width="11.625" style="225" customWidth="1"/>
    <col min="3130" max="3130" width="9.125" style="225" customWidth="1"/>
    <col min="3131" max="3328" width="6.25" style="225"/>
    <col min="3329" max="3329" width="6.75" style="225" customWidth="1"/>
    <col min="3330" max="3330" width="30.75" style="225" customWidth="1"/>
    <col min="3331" max="3331" width="4.5" style="225" customWidth="1"/>
    <col min="3332" max="3332" width="8.5" style="225" customWidth="1"/>
    <col min="3333" max="3333" width="10.125" style="225" customWidth="1"/>
    <col min="3334" max="3334" width="8.625" style="225" customWidth="1"/>
    <col min="3335" max="3335" width="9.75" style="225" customWidth="1"/>
    <col min="3336" max="3337" width="6.25" style="225" hidden="1" customWidth="1"/>
    <col min="3338" max="3338" width="11" style="225" customWidth="1"/>
    <col min="3339" max="3339" width="10.75" style="225" customWidth="1"/>
    <col min="3340" max="3340" width="10" style="225" customWidth="1"/>
    <col min="3341" max="3341" width="10.75" style="225" customWidth="1"/>
    <col min="3342" max="3346" width="6.25" style="225" hidden="1" customWidth="1"/>
    <col min="3347" max="3347" width="13.125" style="225" customWidth="1"/>
    <col min="3348" max="3348" width="11" style="225" customWidth="1"/>
    <col min="3349" max="3355" width="6.25" style="225" hidden="1" customWidth="1"/>
    <col min="3356" max="3356" width="0.125" style="225" customWidth="1"/>
    <col min="3357" max="3357" width="9.5" style="225" customWidth="1"/>
    <col min="3358" max="3358" width="7.5" style="225" customWidth="1"/>
    <col min="3359" max="3359" width="10.875" style="225" customWidth="1"/>
    <col min="3360" max="3371" width="6.25" style="225" hidden="1" customWidth="1"/>
    <col min="3372" max="3372" width="8.25" style="225" customWidth="1"/>
    <col min="3373" max="3373" width="10" style="225" customWidth="1"/>
    <col min="3374" max="3380" width="6.25" style="225" hidden="1" customWidth="1"/>
    <col min="3381" max="3381" width="9.875" style="225" customWidth="1"/>
    <col min="3382" max="3382" width="8.375" style="225" customWidth="1"/>
    <col min="3383" max="3383" width="10.75" style="225" customWidth="1"/>
    <col min="3384" max="3384" width="6.375" style="225" customWidth="1"/>
    <col min="3385" max="3385" width="11.625" style="225" customWidth="1"/>
    <col min="3386" max="3386" width="9.125" style="225" customWidth="1"/>
    <col min="3387" max="3584" width="6.25" style="225"/>
    <col min="3585" max="3585" width="6.75" style="225" customWidth="1"/>
    <col min="3586" max="3586" width="30.75" style="225" customWidth="1"/>
    <col min="3587" max="3587" width="4.5" style="225" customWidth="1"/>
    <col min="3588" max="3588" width="8.5" style="225" customWidth="1"/>
    <col min="3589" max="3589" width="10.125" style="225" customWidth="1"/>
    <col min="3590" max="3590" width="8.625" style="225" customWidth="1"/>
    <col min="3591" max="3591" width="9.75" style="225" customWidth="1"/>
    <col min="3592" max="3593" width="6.25" style="225" hidden="1" customWidth="1"/>
    <col min="3594" max="3594" width="11" style="225" customWidth="1"/>
    <col min="3595" max="3595" width="10.75" style="225" customWidth="1"/>
    <col min="3596" max="3596" width="10" style="225" customWidth="1"/>
    <col min="3597" max="3597" width="10.75" style="225" customWidth="1"/>
    <col min="3598" max="3602" width="6.25" style="225" hidden="1" customWidth="1"/>
    <col min="3603" max="3603" width="13.125" style="225" customWidth="1"/>
    <col min="3604" max="3604" width="11" style="225" customWidth="1"/>
    <col min="3605" max="3611" width="6.25" style="225" hidden="1" customWidth="1"/>
    <col min="3612" max="3612" width="0.125" style="225" customWidth="1"/>
    <col min="3613" max="3613" width="9.5" style="225" customWidth="1"/>
    <col min="3614" max="3614" width="7.5" style="225" customWidth="1"/>
    <col min="3615" max="3615" width="10.875" style="225" customWidth="1"/>
    <col min="3616" max="3627" width="6.25" style="225" hidden="1" customWidth="1"/>
    <col min="3628" max="3628" width="8.25" style="225" customWidth="1"/>
    <col min="3629" max="3629" width="10" style="225" customWidth="1"/>
    <col min="3630" max="3636" width="6.25" style="225" hidden="1" customWidth="1"/>
    <col min="3637" max="3637" width="9.875" style="225" customWidth="1"/>
    <col min="3638" max="3638" width="8.375" style="225" customWidth="1"/>
    <col min="3639" max="3639" width="10.75" style="225" customWidth="1"/>
    <col min="3640" max="3640" width="6.375" style="225" customWidth="1"/>
    <col min="3641" max="3641" width="11.625" style="225" customWidth="1"/>
    <col min="3642" max="3642" width="9.125" style="225" customWidth="1"/>
    <col min="3643" max="3840" width="6.25" style="225"/>
    <col min="3841" max="3841" width="6.75" style="225" customWidth="1"/>
    <col min="3842" max="3842" width="30.75" style="225" customWidth="1"/>
    <col min="3843" max="3843" width="4.5" style="225" customWidth="1"/>
    <col min="3844" max="3844" width="8.5" style="225" customWidth="1"/>
    <col min="3845" max="3845" width="10.125" style="225" customWidth="1"/>
    <col min="3846" max="3846" width="8.625" style="225" customWidth="1"/>
    <col min="3847" max="3847" width="9.75" style="225" customWidth="1"/>
    <col min="3848" max="3849" width="6.25" style="225" hidden="1" customWidth="1"/>
    <col min="3850" max="3850" width="11" style="225" customWidth="1"/>
    <col min="3851" max="3851" width="10.75" style="225" customWidth="1"/>
    <col min="3852" max="3852" width="10" style="225" customWidth="1"/>
    <col min="3853" max="3853" width="10.75" style="225" customWidth="1"/>
    <col min="3854" max="3858" width="6.25" style="225" hidden="1" customWidth="1"/>
    <col min="3859" max="3859" width="13.125" style="225" customWidth="1"/>
    <col min="3860" max="3860" width="11" style="225" customWidth="1"/>
    <col min="3861" max="3867" width="6.25" style="225" hidden="1" customWidth="1"/>
    <col min="3868" max="3868" width="0.125" style="225" customWidth="1"/>
    <col min="3869" max="3869" width="9.5" style="225" customWidth="1"/>
    <col min="3870" max="3870" width="7.5" style="225" customWidth="1"/>
    <col min="3871" max="3871" width="10.875" style="225" customWidth="1"/>
    <col min="3872" max="3883" width="6.25" style="225" hidden="1" customWidth="1"/>
    <col min="3884" max="3884" width="8.25" style="225" customWidth="1"/>
    <col min="3885" max="3885" width="10" style="225" customWidth="1"/>
    <col min="3886" max="3892" width="6.25" style="225" hidden="1" customWidth="1"/>
    <col min="3893" max="3893" width="9.875" style="225" customWidth="1"/>
    <col min="3894" max="3894" width="8.375" style="225" customWidth="1"/>
    <col min="3895" max="3895" width="10.75" style="225" customWidth="1"/>
    <col min="3896" max="3896" width="6.375" style="225" customWidth="1"/>
    <col min="3897" max="3897" width="11.625" style="225" customWidth="1"/>
    <col min="3898" max="3898" width="9.125" style="225" customWidth="1"/>
    <col min="3899" max="4096" width="6.25" style="225"/>
    <col min="4097" max="4097" width="6.75" style="225" customWidth="1"/>
    <col min="4098" max="4098" width="30.75" style="225" customWidth="1"/>
    <col min="4099" max="4099" width="4.5" style="225" customWidth="1"/>
    <col min="4100" max="4100" width="8.5" style="225" customWidth="1"/>
    <col min="4101" max="4101" width="10.125" style="225" customWidth="1"/>
    <col min="4102" max="4102" width="8.625" style="225" customWidth="1"/>
    <col min="4103" max="4103" width="9.75" style="225" customWidth="1"/>
    <col min="4104" max="4105" width="6.25" style="225" hidden="1" customWidth="1"/>
    <col min="4106" max="4106" width="11" style="225" customWidth="1"/>
    <col min="4107" max="4107" width="10.75" style="225" customWidth="1"/>
    <col min="4108" max="4108" width="10" style="225" customWidth="1"/>
    <col min="4109" max="4109" width="10.75" style="225" customWidth="1"/>
    <col min="4110" max="4114" width="6.25" style="225" hidden="1" customWidth="1"/>
    <col min="4115" max="4115" width="13.125" style="225" customWidth="1"/>
    <col min="4116" max="4116" width="11" style="225" customWidth="1"/>
    <col min="4117" max="4123" width="6.25" style="225" hidden="1" customWidth="1"/>
    <col min="4124" max="4124" width="0.125" style="225" customWidth="1"/>
    <col min="4125" max="4125" width="9.5" style="225" customWidth="1"/>
    <col min="4126" max="4126" width="7.5" style="225" customWidth="1"/>
    <col min="4127" max="4127" width="10.875" style="225" customWidth="1"/>
    <col min="4128" max="4139" width="6.25" style="225" hidden="1" customWidth="1"/>
    <col min="4140" max="4140" width="8.25" style="225" customWidth="1"/>
    <col min="4141" max="4141" width="10" style="225" customWidth="1"/>
    <col min="4142" max="4148" width="6.25" style="225" hidden="1" customWidth="1"/>
    <col min="4149" max="4149" width="9.875" style="225" customWidth="1"/>
    <col min="4150" max="4150" width="8.375" style="225" customWidth="1"/>
    <col min="4151" max="4151" width="10.75" style="225" customWidth="1"/>
    <col min="4152" max="4152" width="6.375" style="225" customWidth="1"/>
    <col min="4153" max="4153" width="11.625" style="225" customWidth="1"/>
    <col min="4154" max="4154" width="9.125" style="225" customWidth="1"/>
    <col min="4155" max="4352" width="6.25" style="225"/>
    <col min="4353" max="4353" width="6.75" style="225" customWidth="1"/>
    <col min="4354" max="4354" width="30.75" style="225" customWidth="1"/>
    <col min="4355" max="4355" width="4.5" style="225" customWidth="1"/>
    <col min="4356" max="4356" width="8.5" style="225" customWidth="1"/>
    <col min="4357" max="4357" width="10.125" style="225" customWidth="1"/>
    <col min="4358" max="4358" width="8.625" style="225" customWidth="1"/>
    <col min="4359" max="4359" width="9.75" style="225" customWidth="1"/>
    <col min="4360" max="4361" width="6.25" style="225" hidden="1" customWidth="1"/>
    <col min="4362" max="4362" width="11" style="225" customWidth="1"/>
    <col min="4363" max="4363" width="10.75" style="225" customWidth="1"/>
    <col min="4364" max="4364" width="10" style="225" customWidth="1"/>
    <col min="4365" max="4365" width="10.75" style="225" customWidth="1"/>
    <col min="4366" max="4370" width="6.25" style="225" hidden="1" customWidth="1"/>
    <col min="4371" max="4371" width="13.125" style="225" customWidth="1"/>
    <col min="4372" max="4372" width="11" style="225" customWidth="1"/>
    <col min="4373" max="4379" width="6.25" style="225" hidden="1" customWidth="1"/>
    <col min="4380" max="4380" width="0.125" style="225" customWidth="1"/>
    <col min="4381" max="4381" width="9.5" style="225" customWidth="1"/>
    <col min="4382" max="4382" width="7.5" style="225" customWidth="1"/>
    <col min="4383" max="4383" width="10.875" style="225" customWidth="1"/>
    <col min="4384" max="4395" width="6.25" style="225" hidden="1" customWidth="1"/>
    <col min="4396" max="4396" width="8.25" style="225" customWidth="1"/>
    <col min="4397" max="4397" width="10" style="225" customWidth="1"/>
    <col min="4398" max="4404" width="6.25" style="225" hidden="1" customWidth="1"/>
    <col min="4405" max="4405" width="9.875" style="225" customWidth="1"/>
    <col min="4406" max="4406" width="8.375" style="225" customWidth="1"/>
    <col min="4407" max="4407" width="10.75" style="225" customWidth="1"/>
    <col min="4408" max="4408" width="6.375" style="225" customWidth="1"/>
    <col min="4409" max="4409" width="11.625" style="225" customWidth="1"/>
    <col min="4410" max="4410" width="9.125" style="225" customWidth="1"/>
    <col min="4411" max="4608" width="6.25" style="225"/>
    <col min="4609" max="4609" width="6.75" style="225" customWidth="1"/>
    <col min="4610" max="4610" width="30.75" style="225" customWidth="1"/>
    <col min="4611" max="4611" width="4.5" style="225" customWidth="1"/>
    <col min="4612" max="4612" width="8.5" style="225" customWidth="1"/>
    <col min="4613" max="4613" width="10.125" style="225" customWidth="1"/>
    <col min="4614" max="4614" width="8.625" style="225" customWidth="1"/>
    <col min="4615" max="4615" width="9.75" style="225" customWidth="1"/>
    <col min="4616" max="4617" width="6.25" style="225" hidden="1" customWidth="1"/>
    <col min="4618" max="4618" width="11" style="225" customWidth="1"/>
    <col min="4619" max="4619" width="10.75" style="225" customWidth="1"/>
    <col min="4620" max="4620" width="10" style="225" customWidth="1"/>
    <col min="4621" max="4621" width="10.75" style="225" customWidth="1"/>
    <col min="4622" max="4626" width="6.25" style="225" hidden="1" customWidth="1"/>
    <col min="4627" max="4627" width="13.125" style="225" customWidth="1"/>
    <col min="4628" max="4628" width="11" style="225" customWidth="1"/>
    <col min="4629" max="4635" width="6.25" style="225" hidden="1" customWidth="1"/>
    <col min="4636" max="4636" width="0.125" style="225" customWidth="1"/>
    <col min="4637" max="4637" width="9.5" style="225" customWidth="1"/>
    <col min="4638" max="4638" width="7.5" style="225" customWidth="1"/>
    <col min="4639" max="4639" width="10.875" style="225" customWidth="1"/>
    <col min="4640" max="4651" width="6.25" style="225" hidden="1" customWidth="1"/>
    <col min="4652" max="4652" width="8.25" style="225" customWidth="1"/>
    <col min="4653" max="4653" width="10" style="225" customWidth="1"/>
    <col min="4654" max="4660" width="6.25" style="225" hidden="1" customWidth="1"/>
    <col min="4661" max="4661" width="9.875" style="225" customWidth="1"/>
    <col min="4662" max="4662" width="8.375" style="225" customWidth="1"/>
    <col min="4663" max="4663" width="10.75" style="225" customWidth="1"/>
    <col min="4664" max="4664" width="6.375" style="225" customWidth="1"/>
    <col min="4665" max="4665" width="11.625" style="225" customWidth="1"/>
    <col min="4666" max="4666" width="9.125" style="225" customWidth="1"/>
    <col min="4667" max="4864" width="6.25" style="225"/>
    <col min="4865" max="4865" width="6.75" style="225" customWidth="1"/>
    <col min="4866" max="4866" width="30.75" style="225" customWidth="1"/>
    <col min="4867" max="4867" width="4.5" style="225" customWidth="1"/>
    <col min="4868" max="4868" width="8.5" style="225" customWidth="1"/>
    <col min="4869" max="4869" width="10.125" style="225" customWidth="1"/>
    <col min="4870" max="4870" width="8.625" style="225" customWidth="1"/>
    <col min="4871" max="4871" width="9.75" style="225" customWidth="1"/>
    <col min="4872" max="4873" width="6.25" style="225" hidden="1" customWidth="1"/>
    <col min="4874" max="4874" width="11" style="225" customWidth="1"/>
    <col min="4875" max="4875" width="10.75" style="225" customWidth="1"/>
    <col min="4876" max="4876" width="10" style="225" customWidth="1"/>
    <col min="4877" max="4877" width="10.75" style="225" customWidth="1"/>
    <col min="4878" max="4882" width="6.25" style="225" hidden="1" customWidth="1"/>
    <col min="4883" max="4883" width="13.125" style="225" customWidth="1"/>
    <col min="4884" max="4884" width="11" style="225" customWidth="1"/>
    <col min="4885" max="4891" width="6.25" style="225" hidden="1" customWidth="1"/>
    <col min="4892" max="4892" width="0.125" style="225" customWidth="1"/>
    <col min="4893" max="4893" width="9.5" style="225" customWidth="1"/>
    <col min="4894" max="4894" width="7.5" style="225" customWidth="1"/>
    <col min="4895" max="4895" width="10.875" style="225" customWidth="1"/>
    <col min="4896" max="4907" width="6.25" style="225" hidden="1" customWidth="1"/>
    <col min="4908" max="4908" width="8.25" style="225" customWidth="1"/>
    <col min="4909" max="4909" width="10" style="225" customWidth="1"/>
    <col min="4910" max="4916" width="6.25" style="225" hidden="1" customWidth="1"/>
    <col min="4917" max="4917" width="9.875" style="225" customWidth="1"/>
    <col min="4918" max="4918" width="8.375" style="225" customWidth="1"/>
    <col min="4919" max="4919" width="10.75" style="225" customWidth="1"/>
    <col min="4920" max="4920" width="6.375" style="225" customWidth="1"/>
    <col min="4921" max="4921" width="11.625" style="225" customWidth="1"/>
    <col min="4922" max="4922" width="9.125" style="225" customWidth="1"/>
    <col min="4923" max="5120" width="6.25" style="225"/>
    <col min="5121" max="5121" width="6.75" style="225" customWidth="1"/>
    <col min="5122" max="5122" width="30.75" style="225" customWidth="1"/>
    <col min="5123" max="5123" width="4.5" style="225" customWidth="1"/>
    <col min="5124" max="5124" width="8.5" style="225" customWidth="1"/>
    <col min="5125" max="5125" width="10.125" style="225" customWidth="1"/>
    <col min="5126" max="5126" width="8.625" style="225" customWidth="1"/>
    <col min="5127" max="5127" width="9.75" style="225" customWidth="1"/>
    <col min="5128" max="5129" width="6.25" style="225" hidden="1" customWidth="1"/>
    <col min="5130" max="5130" width="11" style="225" customWidth="1"/>
    <col min="5131" max="5131" width="10.75" style="225" customWidth="1"/>
    <col min="5132" max="5132" width="10" style="225" customWidth="1"/>
    <col min="5133" max="5133" width="10.75" style="225" customWidth="1"/>
    <col min="5134" max="5138" width="6.25" style="225" hidden="1" customWidth="1"/>
    <col min="5139" max="5139" width="13.125" style="225" customWidth="1"/>
    <col min="5140" max="5140" width="11" style="225" customWidth="1"/>
    <col min="5141" max="5147" width="6.25" style="225" hidden="1" customWidth="1"/>
    <col min="5148" max="5148" width="0.125" style="225" customWidth="1"/>
    <col min="5149" max="5149" width="9.5" style="225" customWidth="1"/>
    <col min="5150" max="5150" width="7.5" style="225" customWidth="1"/>
    <col min="5151" max="5151" width="10.875" style="225" customWidth="1"/>
    <col min="5152" max="5163" width="6.25" style="225" hidden="1" customWidth="1"/>
    <col min="5164" max="5164" width="8.25" style="225" customWidth="1"/>
    <col min="5165" max="5165" width="10" style="225" customWidth="1"/>
    <col min="5166" max="5172" width="6.25" style="225" hidden="1" customWidth="1"/>
    <col min="5173" max="5173" width="9.875" style="225" customWidth="1"/>
    <col min="5174" max="5174" width="8.375" style="225" customWidth="1"/>
    <col min="5175" max="5175" width="10.75" style="225" customWidth="1"/>
    <col min="5176" max="5176" width="6.375" style="225" customWidth="1"/>
    <col min="5177" max="5177" width="11.625" style="225" customWidth="1"/>
    <col min="5178" max="5178" width="9.125" style="225" customWidth="1"/>
    <col min="5179" max="5376" width="6.25" style="225"/>
    <col min="5377" max="5377" width="6.75" style="225" customWidth="1"/>
    <col min="5378" max="5378" width="30.75" style="225" customWidth="1"/>
    <col min="5379" max="5379" width="4.5" style="225" customWidth="1"/>
    <col min="5380" max="5380" width="8.5" style="225" customWidth="1"/>
    <col min="5381" max="5381" width="10.125" style="225" customWidth="1"/>
    <col min="5382" max="5382" width="8.625" style="225" customWidth="1"/>
    <col min="5383" max="5383" width="9.75" style="225" customWidth="1"/>
    <col min="5384" max="5385" width="6.25" style="225" hidden="1" customWidth="1"/>
    <col min="5386" max="5386" width="11" style="225" customWidth="1"/>
    <col min="5387" max="5387" width="10.75" style="225" customWidth="1"/>
    <col min="5388" max="5388" width="10" style="225" customWidth="1"/>
    <col min="5389" max="5389" width="10.75" style="225" customWidth="1"/>
    <col min="5390" max="5394" width="6.25" style="225" hidden="1" customWidth="1"/>
    <col min="5395" max="5395" width="13.125" style="225" customWidth="1"/>
    <col min="5396" max="5396" width="11" style="225" customWidth="1"/>
    <col min="5397" max="5403" width="6.25" style="225" hidden="1" customWidth="1"/>
    <col min="5404" max="5404" width="0.125" style="225" customWidth="1"/>
    <col min="5405" max="5405" width="9.5" style="225" customWidth="1"/>
    <col min="5406" max="5406" width="7.5" style="225" customWidth="1"/>
    <col min="5407" max="5407" width="10.875" style="225" customWidth="1"/>
    <col min="5408" max="5419" width="6.25" style="225" hidden="1" customWidth="1"/>
    <col min="5420" max="5420" width="8.25" style="225" customWidth="1"/>
    <col min="5421" max="5421" width="10" style="225" customWidth="1"/>
    <col min="5422" max="5428" width="6.25" style="225" hidden="1" customWidth="1"/>
    <col min="5429" max="5429" width="9.875" style="225" customWidth="1"/>
    <col min="5430" max="5430" width="8.375" style="225" customWidth="1"/>
    <col min="5431" max="5431" width="10.75" style="225" customWidth="1"/>
    <col min="5432" max="5432" width="6.375" style="225" customWidth="1"/>
    <col min="5433" max="5433" width="11.625" style="225" customWidth="1"/>
    <col min="5434" max="5434" width="9.125" style="225" customWidth="1"/>
    <col min="5435" max="5632" width="6.25" style="225"/>
    <col min="5633" max="5633" width="6.75" style="225" customWidth="1"/>
    <col min="5634" max="5634" width="30.75" style="225" customWidth="1"/>
    <col min="5635" max="5635" width="4.5" style="225" customWidth="1"/>
    <col min="5636" max="5636" width="8.5" style="225" customWidth="1"/>
    <col min="5637" max="5637" width="10.125" style="225" customWidth="1"/>
    <col min="5638" max="5638" width="8.625" style="225" customWidth="1"/>
    <col min="5639" max="5639" width="9.75" style="225" customWidth="1"/>
    <col min="5640" max="5641" width="6.25" style="225" hidden="1" customWidth="1"/>
    <col min="5642" max="5642" width="11" style="225" customWidth="1"/>
    <col min="5643" max="5643" width="10.75" style="225" customWidth="1"/>
    <col min="5644" max="5644" width="10" style="225" customWidth="1"/>
    <col min="5645" max="5645" width="10.75" style="225" customWidth="1"/>
    <col min="5646" max="5650" width="6.25" style="225" hidden="1" customWidth="1"/>
    <col min="5651" max="5651" width="13.125" style="225" customWidth="1"/>
    <col min="5652" max="5652" width="11" style="225" customWidth="1"/>
    <col min="5653" max="5659" width="6.25" style="225" hidden="1" customWidth="1"/>
    <col min="5660" max="5660" width="0.125" style="225" customWidth="1"/>
    <col min="5661" max="5661" width="9.5" style="225" customWidth="1"/>
    <col min="5662" max="5662" width="7.5" style="225" customWidth="1"/>
    <col min="5663" max="5663" width="10.875" style="225" customWidth="1"/>
    <col min="5664" max="5675" width="6.25" style="225" hidden="1" customWidth="1"/>
    <col min="5676" max="5676" width="8.25" style="225" customWidth="1"/>
    <col min="5677" max="5677" width="10" style="225" customWidth="1"/>
    <col min="5678" max="5684" width="6.25" style="225" hidden="1" customWidth="1"/>
    <col min="5685" max="5685" width="9.875" style="225" customWidth="1"/>
    <col min="5686" max="5686" width="8.375" style="225" customWidth="1"/>
    <col min="5687" max="5687" width="10.75" style="225" customWidth="1"/>
    <col min="5688" max="5688" width="6.375" style="225" customWidth="1"/>
    <col min="5689" max="5689" width="11.625" style="225" customWidth="1"/>
    <col min="5690" max="5690" width="9.125" style="225" customWidth="1"/>
    <col min="5691" max="5888" width="6.25" style="225"/>
    <col min="5889" max="5889" width="6.75" style="225" customWidth="1"/>
    <col min="5890" max="5890" width="30.75" style="225" customWidth="1"/>
    <col min="5891" max="5891" width="4.5" style="225" customWidth="1"/>
    <col min="5892" max="5892" width="8.5" style="225" customWidth="1"/>
    <col min="5893" max="5893" width="10.125" style="225" customWidth="1"/>
    <col min="5894" max="5894" width="8.625" style="225" customWidth="1"/>
    <col min="5895" max="5895" width="9.75" style="225" customWidth="1"/>
    <col min="5896" max="5897" width="6.25" style="225" hidden="1" customWidth="1"/>
    <col min="5898" max="5898" width="11" style="225" customWidth="1"/>
    <col min="5899" max="5899" width="10.75" style="225" customWidth="1"/>
    <col min="5900" max="5900" width="10" style="225" customWidth="1"/>
    <col min="5901" max="5901" width="10.75" style="225" customWidth="1"/>
    <col min="5902" max="5906" width="6.25" style="225" hidden="1" customWidth="1"/>
    <col min="5907" max="5907" width="13.125" style="225" customWidth="1"/>
    <col min="5908" max="5908" width="11" style="225" customWidth="1"/>
    <col min="5909" max="5915" width="6.25" style="225" hidden="1" customWidth="1"/>
    <col min="5916" max="5916" width="0.125" style="225" customWidth="1"/>
    <col min="5917" max="5917" width="9.5" style="225" customWidth="1"/>
    <col min="5918" max="5918" width="7.5" style="225" customWidth="1"/>
    <col min="5919" max="5919" width="10.875" style="225" customWidth="1"/>
    <col min="5920" max="5931" width="6.25" style="225" hidden="1" customWidth="1"/>
    <col min="5932" max="5932" width="8.25" style="225" customWidth="1"/>
    <col min="5933" max="5933" width="10" style="225" customWidth="1"/>
    <col min="5934" max="5940" width="6.25" style="225" hidden="1" customWidth="1"/>
    <col min="5941" max="5941" width="9.875" style="225" customWidth="1"/>
    <col min="5942" max="5942" width="8.375" style="225" customWidth="1"/>
    <col min="5943" max="5943" width="10.75" style="225" customWidth="1"/>
    <col min="5944" max="5944" width="6.375" style="225" customWidth="1"/>
    <col min="5945" max="5945" width="11.625" style="225" customWidth="1"/>
    <col min="5946" max="5946" width="9.125" style="225" customWidth="1"/>
    <col min="5947" max="6144" width="6.25" style="225"/>
    <col min="6145" max="6145" width="6.75" style="225" customWidth="1"/>
    <col min="6146" max="6146" width="30.75" style="225" customWidth="1"/>
    <col min="6147" max="6147" width="4.5" style="225" customWidth="1"/>
    <col min="6148" max="6148" width="8.5" style="225" customWidth="1"/>
    <col min="6149" max="6149" width="10.125" style="225" customWidth="1"/>
    <col min="6150" max="6150" width="8.625" style="225" customWidth="1"/>
    <col min="6151" max="6151" width="9.75" style="225" customWidth="1"/>
    <col min="6152" max="6153" width="6.25" style="225" hidden="1" customWidth="1"/>
    <col min="6154" max="6154" width="11" style="225" customWidth="1"/>
    <col min="6155" max="6155" width="10.75" style="225" customWidth="1"/>
    <col min="6156" max="6156" width="10" style="225" customWidth="1"/>
    <col min="6157" max="6157" width="10.75" style="225" customWidth="1"/>
    <col min="6158" max="6162" width="6.25" style="225" hidden="1" customWidth="1"/>
    <col min="6163" max="6163" width="13.125" style="225" customWidth="1"/>
    <col min="6164" max="6164" width="11" style="225" customWidth="1"/>
    <col min="6165" max="6171" width="6.25" style="225" hidden="1" customWidth="1"/>
    <col min="6172" max="6172" width="0.125" style="225" customWidth="1"/>
    <col min="6173" max="6173" width="9.5" style="225" customWidth="1"/>
    <col min="6174" max="6174" width="7.5" style="225" customWidth="1"/>
    <col min="6175" max="6175" width="10.875" style="225" customWidth="1"/>
    <col min="6176" max="6187" width="6.25" style="225" hidden="1" customWidth="1"/>
    <col min="6188" max="6188" width="8.25" style="225" customWidth="1"/>
    <col min="6189" max="6189" width="10" style="225" customWidth="1"/>
    <col min="6190" max="6196" width="6.25" style="225" hidden="1" customWidth="1"/>
    <col min="6197" max="6197" width="9.875" style="225" customWidth="1"/>
    <col min="6198" max="6198" width="8.375" style="225" customWidth="1"/>
    <col min="6199" max="6199" width="10.75" style="225" customWidth="1"/>
    <col min="6200" max="6200" width="6.375" style="225" customWidth="1"/>
    <col min="6201" max="6201" width="11.625" style="225" customWidth="1"/>
    <col min="6202" max="6202" width="9.125" style="225" customWidth="1"/>
    <col min="6203" max="6400" width="6.25" style="225"/>
    <col min="6401" max="6401" width="6.75" style="225" customWidth="1"/>
    <col min="6402" max="6402" width="30.75" style="225" customWidth="1"/>
    <col min="6403" max="6403" width="4.5" style="225" customWidth="1"/>
    <col min="6404" max="6404" width="8.5" style="225" customWidth="1"/>
    <col min="6405" max="6405" width="10.125" style="225" customWidth="1"/>
    <col min="6406" max="6406" width="8.625" style="225" customWidth="1"/>
    <col min="6407" max="6407" width="9.75" style="225" customWidth="1"/>
    <col min="6408" max="6409" width="6.25" style="225" hidden="1" customWidth="1"/>
    <col min="6410" max="6410" width="11" style="225" customWidth="1"/>
    <col min="6411" max="6411" width="10.75" style="225" customWidth="1"/>
    <col min="6412" max="6412" width="10" style="225" customWidth="1"/>
    <col min="6413" max="6413" width="10.75" style="225" customWidth="1"/>
    <col min="6414" max="6418" width="6.25" style="225" hidden="1" customWidth="1"/>
    <col min="6419" max="6419" width="13.125" style="225" customWidth="1"/>
    <col min="6420" max="6420" width="11" style="225" customWidth="1"/>
    <col min="6421" max="6427" width="6.25" style="225" hidden="1" customWidth="1"/>
    <col min="6428" max="6428" width="0.125" style="225" customWidth="1"/>
    <col min="6429" max="6429" width="9.5" style="225" customWidth="1"/>
    <col min="6430" max="6430" width="7.5" style="225" customWidth="1"/>
    <col min="6431" max="6431" width="10.875" style="225" customWidth="1"/>
    <col min="6432" max="6443" width="6.25" style="225" hidden="1" customWidth="1"/>
    <col min="6444" max="6444" width="8.25" style="225" customWidth="1"/>
    <col min="6445" max="6445" width="10" style="225" customWidth="1"/>
    <col min="6446" max="6452" width="6.25" style="225" hidden="1" customWidth="1"/>
    <col min="6453" max="6453" width="9.875" style="225" customWidth="1"/>
    <col min="6454" max="6454" width="8.375" style="225" customWidth="1"/>
    <col min="6455" max="6455" width="10.75" style="225" customWidth="1"/>
    <col min="6456" max="6456" width="6.375" style="225" customWidth="1"/>
    <col min="6457" max="6457" width="11.625" style="225" customWidth="1"/>
    <col min="6458" max="6458" width="9.125" style="225" customWidth="1"/>
    <col min="6459" max="6656" width="6.25" style="225"/>
    <col min="6657" max="6657" width="6.75" style="225" customWidth="1"/>
    <col min="6658" max="6658" width="30.75" style="225" customWidth="1"/>
    <col min="6659" max="6659" width="4.5" style="225" customWidth="1"/>
    <col min="6660" max="6660" width="8.5" style="225" customWidth="1"/>
    <col min="6661" max="6661" width="10.125" style="225" customWidth="1"/>
    <col min="6662" max="6662" width="8.625" style="225" customWidth="1"/>
    <col min="6663" max="6663" width="9.75" style="225" customWidth="1"/>
    <col min="6664" max="6665" width="6.25" style="225" hidden="1" customWidth="1"/>
    <col min="6666" max="6666" width="11" style="225" customWidth="1"/>
    <col min="6667" max="6667" width="10.75" style="225" customWidth="1"/>
    <col min="6668" max="6668" width="10" style="225" customWidth="1"/>
    <col min="6669" max="6669" width="10.75" style="225" customWidth="1"/>
    <col min="6670" max="6674" width="6.25" style="225" hidden="1" customWidth="1"/>
    <col min="6675" max="6675" width="13.125" style="225" customWidth="1"/>
    <col min="6676" max="6676" width="11" style="225" customWidth="1"/>
    <col min="6677" max="6683" width="6.25" style="225" hidden="1" customWidth="1"/>
    <col min="6684" max="6684" width="0.125" style="225" customWidth="1"/>
    <col min="6685" max="6685" width="9.5" style="225" customWidth="1"/>
    <col min="6686" max="6686" width="7.5" style="225" customWidth="1"/>
    <col min="6687" max="6687" width="10.875" style="225" customWidth="1"/>
    <col min="6688" max="6699" width="6.25" style="225" hidden="1" customWidth="1"/>
    <col min="6700" max="6700" width="8.25" style="225" customWidth="1"/>
    <col min="6701" max="6701" width="10" style="225" customWidth="1"/>
    <col min="6702" max="6708" width="6.25" style="225" hidden="1" customWidth="1"/>
    <col min="6709" max="6709" width="9.875" style="225" customWidth="1"/>
    <col min="6710" max="6710" width="8.375" style="225" customWidth="1"/>
    <col min="6711" max="6711" width="10.75" style="225" customWidth="1"/>
    <col min="6712" max="6712" width="6.375" style="225" customWidth="1"/>
    <col min="6713" max="6713" width="11.625" style="225" customWidth="1"/>
    <col min="6714" max="6714" width="9.125" style="225" customWidth="1"/>
    <col min="6715" max="6912" width="6.25" style="225"/>
    <col min="6913" max="6913" width="6.75" style="225" customWidth="1"/>
    <col min="6914" max="6914" width="30.75" style="225" customWidth="1"/>
    <col min="6915" max="6915" width="4.5" style="225" customWidth="1"/>
    <col min="6916" max="6916" width="8.5" style="225" customWidth="1"/>
    <col min="6917" max="6917" width="10.125" style="225" customWidth="1"/>
    <col min="6918" max="6918" width="8.625" style="225" customWidth="1"/>
    <col min="6919" max="6919" width="9.75" style="225" customWidth="1"/>
    <col min="6920" max="6921" width="6.25" style="225" hidden="1" customWidth="1"/>
    <col min="6922" max="6922" width="11" style="225" customWidth="1"/>
    <col min="6923" max="6923" width="10.75" style="225" customWidth="1"/>
    <col min="6924" max="6924" width="10" style="225" customWidth="1"/>
    <col min="6925" max="6925" width="10.75" style="225" customWidth="1"/>
    <col min="6926" max="6930" width="6.25" style="225" hidden="1" customWidth="1"/>
    <col min="6931" max="6931" width="13.125" style="225" customWidth="1"/>
    <col min="6932" max="6932" width="11" style="225" customWidth="1"/>
    <col min="6933" max="6939" width="6.25" style="225" hidden="1" customWidth="1"/>
    <col min="6940" max="6940" width="0.125" style="225" customWidth="1"/>
    <col min="6941" max="6941" width="9.5" style="225" customWidth="1"/>
    <col min="6942" max="6942" width="7.5" style="225" customWidth="1"/>
    <col min="6943" max="6943" width="10.875" style="225" customWidth="1"/>
    <col min="6944" max="6955" width="6.25" style="225" hidden="1" customWidth="1"/>
    <col min="6956" max="6956" width="8.25" style="225" customWidth="1"/>
    <col min="6957" max="6957" width="10" style="225" customWidth="1"/>
    <col min="6958" max="6964" width="6.25" style="225" hidden="1" customWidth="1"/>
    <col min="6965" max="6965" width="9.875" style="225" customWidth="1"/>
    <col min="6966" max="6966" width="8.375" style="225" customWidth="1"/>
    <col min="6967" max="6967" width="10.75" style="225" customWidth="1"/>
    <col min="6968" max="6968" width="6.375" style="225" customWidth="1"/>
    <col min="6969" max="6969" width="11.625" style="225" customWidth="1"/>
    <col min="6970" max="6970" width="9.125" style="225" customWidth="1"/>
    <col min="6971" max="7168" width="6.25" style="225"/>
    <col min="7169" max="7169" width="6.75" style="225" customWidth="1"/>
    <col min="7170" max="7170" width="30.75" style="225" customWidth="1"/>
    <col min="7171" max="7171" width="4.5" style="225" customWidth="1"/>
    <col min="7172" max="7172" width="8.5" style="225" customWidth="1"/>
    <col min="7173" max="7173" width="10.125" style="225" customWidth="1"/>
    <col min="7174" max="7174" width="8.625" style="225" customWidth="1"/>
    <col min="7175" max="7175" width="9.75" style="225" customWidth="1"/>
    <col min="7176" max="7177" width="6.25" style="225" hidden="1" customWidth="1"/>
    <col min="7178" max="7178" width="11" style="225" customWidth="1"/>
    <col min="7179" max="7179" width="10.75" style="225" customWidth="1"/>
    <col min="7180" max="7180" width="10" style="225" customWidth="1"/>
    <col min="7181" max="7181" width="10.75" style="225" customWidth="1"/>
    <col min="7182" max="7186" width="6.25" style="225" hidden="1" customWidth="1"/>
    <col min="7187" max="7187" width="13.125" style="225" customWidth="1"/>
    <col min="7188" max="7188" width="11" style="225" customWidth="1"/>
    <col min="7189" max="7195" width="6.25" style="225" hidden="1" customWidth="1"/>
    <col min="7196" max="7196" width="0.125" style="225" customWidth="1"/>
    <col min="7197" max="7197" width="9.5" style="225" customWidth="1"/>
    <col min="7198" max="7198" width="7.5" style="225" customWidth="1"/>
    <col min="7199" max="7199" width="10.875" style="225" customWidth="1"/>
    <col min="7200" max="7211" width="6.25" style="225" hidden="1" customWidth="1"/>
    <col min="7212" max="7212" width="8.25" style="225" customWidth="1"/>
    <col min="7213" max="7213" width="10" style="225" customWidth="1"/>
    <col min="7214" max="7220" width="6.25" style="225" hidden="1" customWidth="1"/>
    <col min="7221" max="7221" width="9.875" style="225" customWidth="1"/>
    <col min="7222" max="7222" width="8.375" style="225" customWidth="1"/>
    <col min="7223" max="7223" width="10.75" style="225" customWidth="1"/>
    <col min="7224" max="7224" width="6.375" style="225" customWidth="1"/>
    <col min="7225" max="7225" width="11.625" style="225" customWidth="1"/>
    <col min="7226" max="7226" width="9.125" style="225" customWidth="1"/>
    <col min="7227" max="7424" width="6.25" style="225"/>
    <col min="7425" max="7425" width="6.75" style="225" customWidth="1"/>
    <col min="7426" max="7426" width="30.75" style="225" customWidth="1"/>
    <col min="7427" max="7427" width="4.5" style="225" customWidth="1"/>
    <col min="7428" max="7428" width="8.5" style="225" customWidth="1"/>
    <col min="7429" max="7429" width="10.125" style="225" customWidth="1"/>
    <col min="7430" max="7430" width="8.625" style="225" customWidth="1"/>
    <col min="7431" max="7431" width="9.75" style="225" customWidth="1"/>
    <col min="7432" max="7433" width="6.25" style="225" hidden="1" customWidth="1"/>
    <col min="7434" max="7434" width="11" style="225" customWidth="1"/>
    <col min="7435" max="7435" width="10.75" style="225" customWidth="1"/>
    <col min="7436" max="7436" width="10" style="225" customWidth="1"/>
    <col min="7437" max="7437" width="10.75" style="225" customWidth="1"/>
    <col min="7438" max="7442" width="6.25" style="225" hidden="1" customWidth="1"/>
    <col min="7443" max="7443" width="13.125" style="225" customWidth="1"/>
    <col min="7444" max="7444" width="11" style="225" customWidth="1"/>
    <col min="7445" max="7451" width="6.25" style="225" hidden="1" customWidth="1"/>
    <col min="7452" max="7452" width="0.125" style="225" customWidth="1"/>
    <col min="7453" max="7453" width="9.5" style="225" customWidth="1"/>
    <col min="7454" max="7454" width="7.5" style="225" customWidth="1"/>
    <col min="7455" max="7455" width="10.875" style="225" customWidth="1"/>
    <col min="7456" max="7467" width="6.25" style="225" hidden="1" customWidth="1"/>
    <col min="7468" max="7468" width="8.25" style="225" customWidth="1"/>
    <col min="7469" max="7469" width="10" style="225" customWidth="1"/>
    <col min="7470" max="7476" width="6.25" style="225" hidden="1" customWidth="1"/>
    <col min="7477" max="7477" width="9.875" style="225" customWidth="1"/>
    <col min="7478" max="7478" width="8.375" style="225" customWidth="1"/>
    <col min="7479" max="7479" width="10.75" style="225" customWidth="1"/>
    <col min="7480" max="7480" width="6.375" style="225" customWidth="1"/>
    <col min="7481" max="7481" width="11.625" style="225" customWidth="1"/>
    <col min="7482" max="7482" width="9.125" style="225" customWidth="1"/>
    <col min="7483" max="7680" width="6.25" style="225"/>
    <col min="7681" max="7681" width="6.75" style="225" customWidth="1"/>
    <col min="7682" max="7682" width="30.75" style="225" customWidth="1"/>
    <col min="7683" max="7683" width="4.5" style="225" customWidth="1"/>
    <col min="7684" max="7684" width="8.5" style="225" customWidth="1"/>
    <col min="7685" max="7685" width="10.125" style="225" customWidth="1"/>
    <col min="7686" max="7686" width="8.625" style="225" customWidth="1"/>
    <col min="7687" max="7687" width="9.75" style="225" customWidth="1"/>
    <col min="7688" max="7689" width="6.25" style="225" hidden="1" customWidth="1"/>
    <col min="7690" max="7690" width="11" style="225" customWidth="1"/>
    <col min="7691" max="7691" width="10.75" style="225" customWidth="1"/>
    <col min="7692" max="7692" width="10" style="225" customWidth="1"/>
    <col min="7693" max="7693" width="10.75" style="225" customWidth="1"/>
    <col min="7694" max="7698" width="6.25" style="225" hidden="1" customWidth="1"/>
    <col min="7699" max="7699" width="13.125" style="225" customWidth="1"/>
    <col min="7700" max="7700" width="11" style="225" customWidth="1"/>
    <col min="7701" max="7707" width="6.25" style="225" hidden="1" customWidth="1"/>
    <col min="7708" max="7708" width="0.125" style="225" customWidth="1"/>
    <col min="7709" max="7709" width="9.5" style="225" customWidth="1"/>
    <col min="7710" max="7710" width="7.5" style="225" customWidth="1"/>
    <col min="7711" max="7711" width="10.875" style="225" customWidth="1"/>
    <col min="7712" max="7723" width="6.25" style="225" hidden="1" customWidth="1"/>
    <col min="7724" max="7724" width="8.25" style="225" customWidth="1"/>
    <col min="7725" max="7725" width="10" style="225" customWidth="1"/>
    <col min="7726" max="7732" width="6.25" style="225" hidden="1" customWidth="1"/>
    <col min="7733" max="7733" width="9.875" style="225" customWidth="1"/>
    <col min="7734" max="7734" width="8.375" style="225" customWidth="1"/>
    <col min="7735" max="7735" width="10.75" style="225" customWidth="1"/>
    <col min="7736" max="7736" width="6.375" style="225" customWidth="1"/>
    <col min="7737" max="7737" width="11.625" style="225" customWidth="1"/>
    <col min="7738" max="7738" width="9.125" style="225" customWidth="1"/>
    <col min="7739" max="7936" width="6.25" style="225"/>
    <col min="7937" max="7937" width="6.75" style="225" customWidth="1"/>
    <col min="7938" max="7938" width="30.75" style="225" customWidth="1"/>
    <col min="7939" max="7939" width="4.5" style="225" customWidth="1"/>
    <col min="7940" max="7940" width="8.5" style="225" customWidth="1"/>
    <col min="7941" max="7941" width="10.125" style="225" customWidth="1"/>
    <col min="7942" max="7942" width="8.625" style="225" customWidth="1"/>
    <col min="7943" max="7943" width="9.75" style="225" customWidth="1"/>
    <col min="7944" max="7945" width="6.25" style="225" hidden="1" customWidth="1"/>
    <col min="7946" max="7946" width="11" style="225" customWidth="1"/>
    <col min="7947" max="7947" width="10.75" style="225" customWidth="1"/>
    <col min="7948" max="7948" width="10" style="225" customWidth="1"/>
    <col min="7949" max="7949" width="10.75" style="225" customWidth="1"/>
    <col min="7950" max="7954" width="6.25" style="225" hidden="1" customWidth="1"/>
    <col min="7955" max="7955" width="13.125" style="225" customWidth="1"/>
    <col min="7956" max="7956" width="11" style="225" customWidth="1"/>
    <col min="7957" max="7963" width="6.25" style="225" hidden="1" customWidth="1"/>
    <col min="7964" max="7964" width="0.125" style="225" customWidth="1"/>
    <col min="7965" max="7965" width="9.5" style="225" customWidth="1"/>
    <col min="7966" max="7966" width="7.5" style="225" customWidth="1"/>
    <col min="7967" max="7967" width="10.875" style="225" customWidth="1"/>
    <col min="7968" max="7979" width="6.25" style="225" hidden="1" customWidth="1"/>
    <col min="7980" max="7980" width="8.25" style="225" customWidth="1"/>
    <col min="7981" max="7981" width="10" style="225" customWidth="1"/>
    <col min="7982" max="7988" width="6.25" style="225" hidden="1" customWidth="1"/>
    <col min="7989" max="7989" width="9.875" style="225" customWidth="1"/>
    <col min="7990" max="7990" width="8.375" style="225" customWidth="1"/>
    <col min="7991" max="7991" width="10.75" style="225" customWidth="1"/>
    <col min="7992" max="7992" width="6.375" style="225" customWidth="1"/>
    <col min="7993" max="7993" width="11.625" style="225" customWidth="1"/>
    <col min="7994" max="7994" width="9.125" style="225" customWidth="1"/>
    <col min="7995" max="8192" width="6.25" style="225"/>
    <col min="8193" max="8193" width="6.75" style="225" customWidth="1"/>
    <col min="8194" max="8194" width="30.75" style="225" customWidth="1"/>
    <col min="8195" max="8195" width="4.5" style="225" customWidth="1"/>
    <col min="8196" max="8196" width="8.5" style="225" customWidth="1"/>
    <col min="8197" max="8197" width="10.125" style="225" customWidth="1"/>
    <col min="8198" max="8198" width="8.625" style="225" customWidth="1"/>
    <col min="8199" max="8199" width="9.75" style="225" customWidth="1"/>
    <col min="8200" max="8201" width="6.25" style="225" hidden="1" customWidth="1"/>
    <col min="8202" max="8202" width="11" style="225" customWidth="1"/>
    <col min="8203" max="8203" width="10.75" style="225" customWidth="1"/>
    <col min="8204" max="8204" width="10" style="225" customWidth="1"/>
    <col min="8205" max="8205" width="10.75" style="225" customWidth="1"/>
    <col min="8206" max="8210" width="6.25" style="225" hidden="1" customWidth="1"/>
    <col min="8211" max="8211" width="13.125" style="225" customWidth="1"/>
    <col min="8212" max="8212" width="11" style="225" customWidth="1"/>
    <col min="8213" max="8219" width="6.25" style="225" hidden="1" customWidth="1"/>
    <col min="8220" max="8220" width="0.125" style="225" customWidth="1"/>
    <col min="8221" max="8221" width="9.5" style="225" customWidth="1"/>
    <col min="8222" max="8222" width="7.5" style="225" customWidth="1"/>
    <col min="8223" max="8223" width="10.875" style="225" customWidth="1"/>
    <col min="8224" max="8235" width="6.25" style="225" hidden="1" customWidth="1"/>
    <col min="8236" max="8236" width="8.25" style="225" customWidth="1"/>
    <col min="8237" max="8237" width="10" style="225" customWidth="1"/>
    <col min="8238" max="8244" width="6.25" style="225" hidden="1" customWidth="1"/>
    <col min="8245" max="8245" width="9.875" style="225" customWidth="1"/>
    <col min="8246" max="8246" width="8.375" style="225" customWidth="1"/>
    <col min="8247" max="8247" width="10.75" style="225" customWidth="1"/>
    <col min="8248" max="8248" width="6.375" style="225" customWidth="1"/>
    <col min="8249" max="8249" width="11.625" style="225" customWidth="1"/>
    <col min="8250" max="8250" width="9.125" style="225" customWidth="1"/>
    <col min="8251" max="8448" width="6.25" style="225"/>
    <col min="8449" max="8449" width="6.75" style="225" customWidth="1"/>
    <col min="8450" max="8450" width="30.75" style="225" customWidth="1"/>
    <col min="8451" max="8451" width="4.5" style="225" customWidth="1"/>
    <col min="8452" max="8452" width="8.5" style="225" customWidth="1"/>
    <col min="8453" max="8453" width="10.125" style="225" customWidth="1"/>
    <col min="8454" max="8454" width="8.625" style="225" customWidth="1"/>
    <col min="8455" max="8455" width="9.75" style="225" customWidth="1"/>
    <col min="8456" max="8457" width="6.25" style="225" hidden="1" customWidth="1"/>
    <col min="8458" max="8458" width="11" style="225" customWidth="1"/>
    <col min="8459" max="8459" width="10.75" style="225" customWidth="1"/>
    <col min="8460" max="8460" width="10" style="225" customWidth="1"/>
    <col min="8461" max="8461" width="10.75" style="225" customWidth="1"/>
    <col min="8462" max="8466" width="6.25" style="225" hidden="1" customWidth="1"/>
    <col min="8467" max="8467" width="13.125" style="225" customWidth="1"/>
    <col min="8468" max="8468" width="11" style="225" customWidth="1"/>
    <col min="8469" max="8475" width="6.25" style="225" hidden="1" customWidth="1"/>
    <col min="8476" max="8476" width="0.125" style="225" customWidth="1"/>
    <col min="8477" max="8477" width="9.5" style="225" customWidth="1"/>
    <col min="8478" max="8478" width="7.5" style="225" customWidth="1"/>
    <col min="8479" max="8479" width="10.875" style="225" customWidth="1"/>
    <col min="8480" max="8491" width="6.25" style="225" hidden="1" customWidth="1"/>
    <col min="8492" max="8492" width="8.25" style="225" customWidth="1"/>
    <col min="8493" max="8493" width="10" style="225" customWidth="1"/>
    <col min="8494" max="8500" width="6.25" style="225" hidden="1" customWidth="1"/>
    <col min="8501" max="8501" width="9.875" style="225" customWidth="1"/>
    <col min="8502" max="8502" width="8.375" style="225" customWidth="1"/>
    <col min="8503" max="8503" width="10.75" style="225" customWidth="1"/>
    <col min="8504" max="8504" width="6.375" style="225" customWidth="1"/>
    <col min="8505" max="8505" width="11.625" style="225" customWidth="1"/>
    <col min="8506" max="8506" width="9.125" style="225" customWidth="1"/>
    <col min="8507" max="8704" width="6.25" style="225"/>
    <col min="8705" max="8705" width="6.75" style="225" customWidth="1"/>
    <col min="8706" max="8706" width="30.75" style="225" customWidth="1"/>
    <col min="8707" max="8707" width="4.5" style="225" customWidth="1"/>
    <col min="8708" max="8708" width="8.5" style="225" customWidth="1"/>
    <col min="8709" max="8709" width="10.125" style="225" customWidth="1"/>
    <col min="8710" max="8710" width="8.625" style="225" customWidth="1"/>
    <col min="8711" max="8711" width="9.75" style="225" customWidth="1"/>
    <col min="8712" max="8713" width="6.25" style="225" hidden="1" customWidth="1"/>
    <col min="8714" max="8714" width="11" style="225" customWidth="1"/>
    <col min="8715" max="8715" width="10.75" style="225" customWidth="1"/>
    <col min="8716" max="8716" width="10" style="225" customWidth="1"/>
    <col min="8717" max="8717" width="10.75" style="225" customWidth="1"/>
    <col min="8718" max="8722" width="6.25" style="225" hidden="1" customWidth="1"/>
    <col min="8723" max="8723" width="13.125" style="225" customWidth="1"/>
    <col min="8724" max="8724" width="11" style="225" customWidth="1"/>
    <col min="8725" max="8731" width="6.25" style="225" hidden="1" customWidth="1"/>
    <col min="8732" max="8732" width="0.125" style="225" customWidth="1"/>
    <col min="8733" max="8733" width="9.5" style="225" customWidth="1"/>
    <col min="8734" max="8734" width="7.5" style="225" customWidth="1"/>
    <col min="8735" max="8735" width="10.875" style="225" customWidth="1"/>
    <col min="8736" max="8747" width="6.25" style="225" hidden="1" customWidth="1"/>
    <col min="8748" max="8748" width="8.25" style="225" customWidth="1"/>
    <col min="8749" max="8749" width="10" style="225" customWidth="1"/>
    <col min="8750" max="8756" width="6.25" style="225" hidden="1" customWidth="1"/>
    <col min="8757" max="8757" width="9.875" style="225" customWidth="1"/>
    <col min="8758" max="8758" width="8.375" style="225" customWidth="1"/>
    <col min="8759" max="8759" width="10.75" style="225" customWidth="1"/>
    <col min="8760" max="8760" width="6.375" style="225" customWidth="1"/>
    <col min="8761" max="8761" width="11.625" style="225" customWidth="1"/>
    <col min="8762" max="8762" width="9.125" style="225" customWidth="1"/>
    <col min="8763" max="8960" width="6.25" style="225"/>
    <col min="8961" max="8961" width="6.75" style="225" customWidth="1"/>
    <col min="8962" max="8962" width="30.75" style="225" customWidth="1"/>
    <col min="8963" max="8963" width="4.5" style="225" customWidth="1"/>
    <col min="8964" max="8964" width="8.5" style="225" customWidth="1"/>
    <col min="8965" max="8965" width="10.125" style="225" customWidth="1"/>
    <col min="8966" max="8966" width="8.625" style="225" customWidth="1"/>
    <col min="8967" max="8967" width="9.75" style="225" customWidth="1"/>
    <col min="8968" max="8969" width="6.25" style="225" hidden="1" customWidth="1"/>
    <col min="8970" max="8970" width="11" style="225" customWidth="1"/>
    <col min="8971" max="8971" width="10.75" style="225" customWidth="1"/>
    <col min="8972" max="8972" width="10" style="225" customWidth="1"/>
    <col min="8973" max="8973" width="10.75" style="225" customWidth="1"/>
    <col min="8974" max="8978" width="6.25" style="225" hidden="1" customWidth="1"/>
    <col min="8979" max="8979" width="13.125" style="225" customWidth="1"/>
    <col min="8980" max="8980" width="11" style="225" customWidth="1"/>
    <col min="8981" max="8987" width="6.25" style="225" hidden="1" customWidth="1"/>
    <col min="8988" max="8988" width="0.125" style="225" customWidth="1"/>
    <col min="8989" max="8989" width="9.5" style="225" customWidth="1"/>
    <col min="8990" max="8990" width="7.5" style="225" customWidth="1"/>
    <col min="8991" max="8991" width="10.875" style="225" customWidth="1"/>
    <col min="8992" max="9003" width="6.25" style="225" hidden="1" customWidth="1"/>
    <col min="9004" max="9004" width="8.25" style="225" customWidth="1"/>
    <col min="9005" max="9005" width="10" style="225" customWidth="1"/>
    <col min="9006" max="9012" width="6.25" style="225" hidden="1" customWidth="1"/>
    <col min="9013" max="9013" width="9.875" style="225" customWidth="1"/>
    <col min="9014" max="9014" width="8.375" style="225" customWidth="1"/>
    <col min="9015" max="9015" width="10.75" style="225" customWidth="1"/>
    <col min="9016" max="9016" width="6.375" style="225" customWidth="1"/>
    <col min="9017" max="9017" width="11.625" style="225" customWidth="1"/>
    <col min="9018" max="9018" width="9.125" style="225" customWidth="1"/>
    <col min="9019" max="9216" width="6.25" style="225"/>
    <col min="9217" max="9217" width="6.75" style="225" customWidth="1"/>
    <col min="9218" max="9218" width="30.75" style="225" customWidth="1"/>
    <col min="9219" max="9219" width="4.5" style="225" customWidth="1"/>
    <col min="9220" max="9220" width="8.5" style="225" customWidth="1"/>
    <col min="9221" max="9221" width="10.125" style="225" customWidth="1"/>
    <col min="9222" max="9222" width="8.625" style="225" customWidth="1"/>
    <col min="9223" max="9223" width="9.75" style="225" customWidth="1"/>
    <col min="9224" max="9225" width="6.25" style="225" hidden="1" customWidth="1"/>
    <col min="9226" max="9226" width="11" style="225" customWidth="1"/>
    <col min="9227" max="9227" width="10.75" style="225" customWidth="1"/>
    <col min="9228" max="9228" width="10" style="225" customWidth="1"/>
    <col min="9229" max="9229" width="10.75" style="225" customWidth="1"/>
    <col min="9230" max="9234" width="6.25" style="225" hidden="1" customWidth="1"/>
    <col min="9235" max="9235" width="13.125" style="225" customWidth="1"/>
    <col min="9236" max="9236" width="11" style="225" customWidth="1"/>
    <col min="9237" max="9243" width="6.25" style="225" hidden="1" customWidth="1"/>
    <col min="9244" max="9244" width="0.125" style="225" customWidth="1"/>
    <col min="9245" max="9245" width="9.5" style="225" customWidth="1"/>
    <col min="9246" max="9246" width="7.5" style="225" customWidth="1"/>
    <col min="9247" max="9247" width="10.875" style="225" customWidth="1"/>
    <col min="9248" max="9259" width="6.25" style="225" hidden="1" customWidth="1"/>
    <col min="9260" max="9260" width="8.25" style="225" customWidth="1"/>
    <col min="9261" max="9261" width="10" style="225" customWidth="1"/>
    <col min="9262" max="9268" width="6.25" style="225" hidden="1" customWidth="1"/>
    <col min="9269" max="9269" width="9.875" style="225" customWidth="1"/>
    <col min="9270" max="9270" width="8.375" style="225" customWidth="1"/>
    <col min="9271" max="9271" width="10.75" style="225" customWidth="1"/>
    <col min="9272" max="9272" width="6.375" style="225" customWidth="1"/>
    <col min="9273" max="9273" width="11.625" style="225" customWidth="1"/>
    <col min="9274" max="9274" width="9.125" style="225" customWidth="1"/>
    <col min="9275" max="9472" width="6.25" style="225"/>
    <col min="9473" max="9473" width="6.75" style="225" customWidth="1"/>
    <col min="9474" max="9474" width="30.75" style="225" customWidth="1"/>
    <col min="9475" max="9475" width="4.5" style="225" customWidth="1"/>
    <col min="9476" max="9476" width="8.5" style="225" customWidth="1"/>
    <col min="9477" max="9477" width="10.125" style="225" customWidth="1"/>
    <col min="9478" max="9478" width="8.625" style="225" customWidth="1"/>
    <col min="9479" max="9479" width="9.75" style="225" customWidth="1"/>
    <col min="9480" max="9481" width="6.25" style="225" hidden="1" customWidth="1"/>
    <col min="9482" max="9482" width="11" style="225" customWidth="1"/>
    <col min="9483" max="9483" width="10.75" style="225" customWidth="1"/>
    <col min="9484" max="9484" width="10" style="225" customWidth="1"/>
    <col min="9485" max="9485" width="10.75" style="225" customWidth="1"/>
    <col min="9486" max="9490" width="6.25" style="225" hidden="1" customWidth="1"/>
    <col min="9491" max="9491" width="13.125" style="225" customWidth="1"/>
    <col min="9492" max="9492" width="11" style="225" customWidth="1"/>
    <col min="9493" max="9499" width="6.25" style="225" hidden="1" customWidth="1"/>
    <col min="9500" max="9500" width="0.125" style="225" customWidth="1"/>
    <col min="9501" max="9501" width="9.5" style="225" customWidth="1"/>
    <col min="9502" max="9502" width="7.5" style="225" customWidth="1"/>
    <col min="9503" max="9503" width="10.875" style="225" customWidth="1"/>
    <col min="9504" max="9515" width="6.25" style="225" hidden="1" customWidth="1"/>
    <col min="9516" max="9516" width="8.25" style="225" customWidth="1"/>
    <col min="9517" max="9517" width="10" style="225" customWidth="1"/>
    <col min="9518" max="9524" width="6.25" style="225" hidden="1" customWidth="1"/>
    <col min="9525" max="9525" width="9.875" style="225" customWidth="1"/>
    <col min="9526" max="9526" width="8.375" style="225" customWidth="1"/>
    <col min="9527" max="9527" width="10.75" style="225" customWidth="1"/>
    <col min="9528" max="9528" width="6.375" style="225" customWidth="1"/>
    <col min="9529" max="9529" width="11.625" style="225" customWidth="1"/>
    <col min="9530" max="9530" width="9.125" style="225" customWidth="1"/>
    <col min="9531" max="9728" width="6.25" style="225"/>
    <col min="9729" max="9729" width="6.75" style="225" customWidth="1"/>
    <col min="9730" max="9730" width="30.75" style="225" customWidth="1"/>
    <col min="9731" max="9731" width="4.5" style="225" customWidth="1"/>
    <col min="9732" max="9732" width="8.5" style="225" customWidth="1"/>
    <col min="9733" max="9733" width="10.125" style="225" customWidth="1"/>
    <col min="9734" max="9734" width="8.625" style="225" customWidth="1"/>
    <col min="9735" max="9735" width="9.75" style="225" customWidth="1"/>
    <col min="9736" max="9737" width="6.25" style="225" hidden="1" customWidth="1"/>
    <col min="9738" max="9738" width="11" style="225" customWidth="1"/>
    <col min="9739" max="9739" width="10.75" style="225" customWidth="1"/>
    <col min="9740" max="9740" width="10" style="225" customWidth="1"/>
    <col min="9741" max="9741" width="10.75" style="225" customWidth="1"/>
    <col min="9742" max="9746" width="6.25" style="225" hidden="1" customWidth="1"/>
    <col min="9747" max="9747" width="13.125" style="225" customWidth="1"/>
    <col min="9748" max="9748" width="11" style="225" customWidth="1"/>
    <col min="9749" max="9755" width="6.25" style="225" hidden="1" customWidth="1"/>
    <col min="9756" max="9756" width="0.125" style="225" customWidth="1"/>
    <col min="9757" max="9757" width="9.5" style="225" customWidth="1"/>
    <col min="9758" max="9758" width="7.5" style="225" customWidth="1"/>
    <col min="9759" max="9759" width="10.875" style="225" customWidth="1"/>
    <col min="9760" max="9771" width="6.25" style="225" hidden="1" customWidth="1"/>
    <col min="9772" max="9772" width="8.25" style="225" customWidth="1"/>
    <col min="9773" max="9773" width="10" style="225" customWidth="1"/>
    <col min="9774" max="9780" width="6.25" style="225" hidden="1" customWidth="1"/>
    <col min="9781" max="9781" width="9.875" style="225" customWidth="1"/>
    <col min="9782" max="9782" width="8.375" style="225" customWidth="1"/>
    <col min="9783" max="9783" width="10.75" style="225" customWidth="1"/>
    <col min="9784" max="9784" width="6.375" style="225" customWidth="1"/>
    <col min="9785" max="9785" width="11.625" style="225" customWidth="1"/>
    <col min="9786" max="9786" width="9.125" style="225" customWidth="1"/>
    <col min="9787" max="9984" width="6.25" style="225"/>
    <col min="9985" max="9985" width="6.75" style="225" customWidth="1"/>
    <col min="9986" max="9986" width="30.75" style="225" customWidth="1"/>
    <col min="9987" max="9987" width="4.5" style="225" customWidth="1"/>
    <col min="9988" max="9988" width="8.5" style="225" customWidth="1"/>
    <col min="9989" max="9989" width="10.125" style="225" customWidth="1"/>
    <col min="9990" max="9990" width="8.625" style="225" customWidth="1"/>
    <col min="9991" max="9991" width="9.75" style="225" customWidth="1"/>
    <col min="9992" max="9993" width="6.25" style="225" hidden="1" customWidth="1"/>
    <col min="9994" max="9994" width="11" style="225" customWidth="1"/>
    <col min="9995" max="9995" width="10.75" style="225" customWidth="1"/>
    <col min="9996" max="9996" width="10" style="225" customWidth="1"/>
    <col min="9997" max="9997" width="10.75" style="225" customWidth="1"/>
    <col min="9998" max="10002" width="6.25" style="225" hidden="1" customWidth="1"/>
    <col min="10003" max="10003" width="13.125" style="225" customWidth="1"/>
    <col min="10004" max="10004" width="11" style="225" customWidth="1"/>
    <col min="10005" max="10011" width="6.25" style="225" hidden="1" customWidth="1"/>
    <col min="10012" max="10012" width="0.125" style="225" customWidth="1"/>
    <col min="10013" max="10013" width="9.5" style="225" customWidth="1"/>
    <col min="10014" max="10014" width="7.5" style="225" customWidth="1"/>
    <col min="10015" max="10015" width="10.875" style="225" customWidth="1"/>
    <col min="10016" max="10027" width="6.25" style="225" hidden="1" customWidth="1"/>
    <col min="10028" max="10028" width="8.25" style="225" customWidth="1"/>
    <col min="10029" max="10029" width="10" style="225" customWidth="1"/>
    <col min="10030" max="10036" width="6.25" style="225" hidden="1" customWidth="1"/>
    <col min="10037" max="10037" width="9.875" style="225" customWidth="1"/>
    <col min="10038" max="10038" width="8.375" style="225" customWidth="1"/>
    <col min="10039" max="10039" width="10.75" style="225" customWidth="1"/>
    <col min="10040" max="10040" width="6.375" style="225" customWidth="1"/>
    <col min="10041" max="10041" width="11.625" style="225" customWidth="1"/>
    <col min="10042" max="10042" width="9.125" style="225" customWidth="1"/>
    <col min="10043" max="10240" width="6.25" style="225"/>
    <col min="10241" max="10241" width="6.75" style="225" customWidth="1"/>
    <col min="10242" max="10242" width="30.75" style="225" customWidth="1"/>
    <col min="10243" max="10243" width="4.5" style="225" customWidth="1"/>
    <col min="10244" max="10244" width="8.5" style="225" customWidth="1"/>
    <col min="10245" max="10245" width="10.125" style="225" customWidth="1"/>
    <col min="10246" max="10246" width="8.625" style="225" customWidth="1"/>
    <col min="10247" max="10247" width="9.75" style="225" customWidth="1"/>
    <col min="10248" max="10249" width="6.25" style="225" hidden="1" customWidth="1"/>
    <col min="10250" max="10250" width="11" style="225" customWidth="1"/>
    <col min="10251" max="10251" width="10.75" style="225" customWidth="1"/>
    <col min="10252" max="10252" width="10" style="225" customWidth="1"/>
    <col min="10253" max="10253" width="10.75" style="225" customWidth="1"/>
    <col min="10254" max="10258" width="6.25" style="225" hidden="1" customWidth="1"/>
    <col min="10259" max="10259" width="13.125" style="225" customWidth="1"/>
    <col min="10260" max="10260" width="11" style="225" customWidth="1"/>
    <col min="10261" max="10267" width="6.25" style="225" hidden="1" customWidth="1"/>
    <col min="10268" max="10268" width="0.125" style="225" customWidth="1"/>
    <col min="10269" max="10269" width="9.5" style="225" customWidth="1"/>
    <col min="10270" max="10270" width="7.5" style="225" customWidth="1"/>
    <col min="10271" max="10271" width="10.875" style="225" customWidth="1"/>
    <col min="10272" max="10283" width="6.25" style="225" hidden="1" customWidth="1"/>
    <col min="10284" max="10284" width="8.25" style="225" customWidth="1"/>
    <col min="10285" max="10285" width="10" style="225" customWidth="1"/>
    <col min="10286" max="10292" width="6.25" style="225" hidden="1" customWidth="1"/>
    <col min="10293" max="10293" width="9.875" style="225" customWidth="1"/>
    <col min="10294" max="10294" width="8.375" style="225" customWidth="1"/>
    <col min="10295" max="10295" width="10.75" style="225" customWidth="1"/>
    <col min="10296" max="10296" width="6.375" style="225" customWidth="1"/>
    <col min="10297" max="10297" width="11.625" style="225" customWidth="1"/>
    <col min="10298" max="10298" width="9.125" style="225" customWidth="1"/>
    <col min="10299" max="10496" width="6.25" style="225"/>
    <col min="10497" max="10497" width="6.75" style="225" customWidth="1"/>
    <col min="10498" max="10498" width="30.75" style="225" customWidth="1"/>
    <col min="10499" max="10499" width="4.5" style="225" customWidth="1"/>
    <col min="10500" max="10500" width="8.5" style="225" customWidth="1"/>
    <col min="10501" max="10501" width="10.125" style="225" customWidth="1"/>
    <col min="10502" max="10502" width="8.625" style="225" customWidth="1"/>
    <col min="10503" max="10503" width="9.75" style="225" customWidth="1"/>
    <col min="10504" max="10505" width="6.25" style="225" hidden="1" customWidth="1"/>
    <col min="10506" max="10506" width="11" style="225" customWidth="1"/>
    <col min="10507" max="10507" width="10.75" style="225" customWidth="1"/>
    <col min="10508" max="10508" width="10" style="225" customWidth="1"/>
    <col min="10509" max="10509" width="10.75" style="225" customWidth="1"/>
    <col min="10510" max="10514" width="6.25" style="225" hidden="1" customWidth="1"/>
    <col min="10515" max="10515" width="13.125" style="225" customWidth="1"/>
    <col min="10516" max="10516" width="11" style="225" customWidth="1"/>
    <col min="10517" max="10523" width="6.25" style="225" hidden="1" customWidth="1"/>
    <col min="10524" max="10524" width="0.125" style="225" customWidth="1"/>
    <col min="10525" max="10525" width="9.5" style="225" customWidth="1"/>
    <col min="10526" max="10526" width="7.5" style="225" customWidth="1"/>
    <col min="10527" max="10527" width="10.875" style="225" customWidth="1"/>
    <col min="10528" max="10539" width="6.25" style="225" hidden="1" customWidth="1"/>
    <col min="10540" max="10540" width="8.25" style="225" customWidth="1"/>
    <col min="10541" max="10541" width="10" style="225" customWidth="1"/>
    <col min="10542" max="10548" width="6.25" style="225" hidden="1" customWidth="1"/>
    <col min="10549" max="10549" width="9.875" style="225" customWidth="1"/>
    <col min="10550" max="10550" width="8.375" style="225" customWidth="1"/>
    <col min="10551" max="10551" width="10.75" style="225" customWidth="1"/>
    <col min="10552" max="10552" width="6.375" style="225" customWidth="1"/>
    <col min="10553" max="10553" width="11.625" style="225" customWidth="1"/>
    <col min="10554" max="10554" width="9.125" style="225" customWidth="1"/>
    <col min="10555" max="10752" width="6.25" style="225"/>
    <col min="10753" max="10753" width="6.75" style="225" customWidth="1"/>
    <col min="10754" max="10754" width="30.75" style="225" customWidth="1"/>
    <col min="10755" max="10755" width="4.5" style="225" customWidth="1"/>
    <col min="10756" max="10756" width="8.5" style="225" customWidth="1"/>
    <col min="10757" max="10757" width="10.125" style="225" customWidth="1"/>
    <col min="10758" max="10758" width="8.625" style="225" customWidth="1"/>
    <col min="10759" max="10759" width="9.75" style="225" customWidth="1"/>
    <col min="10760" max="10761" width="6.25" style="225" hidden="1" customWidth="1"/>
    <col min="10762" max="10762" width="11" style="225" customWidth="1"/>
    <col min="10763" max="10763" width="10.75" style="225" customWidth="1"/>
    <col min="10764" max="10764" width="10" style="225" customWidth="1"/>
    <col min="10765" max="10765" width="10.75" style="225" customWidth="1"/>
    <col min="10766" max="10770" width="6.25" style="225" hidden="1" customWidth="1"/>
    <col min="10771" max="10771" width="13.125" style="225" customWidth="1"/>
    <col min="10772" max="10772" width="11" style="225" customWidth="1"/>
    <col min="10773" max="10779" width="6.25" style="225" hidden="1" customWidth="1"/>
    <col min="10780" max="10780" width="0.125" style="225" customWidth="1"/>
    <col min="10781" max="10781" width="9.5" style="225" customWidth="1"/>
    <col min="10782" max="10782" width="7.5" style="225" customWidth="1"/>
    <col min="10783" max="10783" width="10.875" style="225" customWidth="1"/>
    <col min="10784" max="10795" width="6.25" style="225" hidden="1" customWidth="1"/>
    <col min="10796" max="10796" width="8.25" style="225" customWidth="1"/>
    <col min="10797" max="10797" width="10" style="225" customWidth="1"/>
    <col min="10798" max="10804" width="6.25" style="225" hidden="1" customWidth="1"/>
    <col min="10805" max="10805" width="9.875" style="225" customWidth="1"/>
    <col min="10806" max="10806" width="8.375" style="225" customWidth="1"/>
    <col min="10807" max="10807" width="10.75" style="225" customWidth="1"/>
    <col min="10808" max="10808" width="6.375" style="225" customWidth="1"/>
    <col min="10809" max="10809" width="11.625" style="225" customWidth="1"/>
    <col min="10810" max="10810" width="9.125" style="225" customWidth="1"/>
    <col min="10811" max="11008" width="6.25" style="225"/>
    <col min="11009" max="11009" width="6.75" style="225" customWidth="1"/>
    <col min="11010" max="11010" width="30.75" style="225" customWidth="1"/>
    <col min="11011" max="11011" width="4.5" style="225" customWidth="1"/>
    <col min="11012" max="11012" width="8.5" style="225" customWidth="1"/>
    <col min="11013" max="11013" width="10.125" style="225" customWidth="1"/>
    <col min="11014" max="11014" width="8.625" style="225" customWidth="1"/>
    <col min="11015" max="11015" width="9.75" style="225" customWidth="1"/>
    <col min="11016" max="11017" width="6.25" style="225" hidden="1" customWidth="1"/>
    <col min="11018" max="11018" width="11" style="225" customWidth="1"/>
    <col min="11019" max="11019" width="10.75" style="225" customWidth="1"/>
    <col min="11020" max="11020" width="10" style="225" customWidth="1"/>
    <col min="11021" max="11021" width="10.75" style="225" customWidth="1"/>
    <col min="11022" max="11026" width="6.25" style="225" hidden="1" customWidth="1"/>
    <col min="11027" max="11027" width="13.125" style="225" customWidth="1"/>
    <col min="11028" max="11028" width="11" style="225" customWidth="1"/>
    <col min="11029" max="11035" width="6.25" style="225" hidden="1" customWidth="1"/>
    <col min="11036" max="11036" width="0.125" style="225" customWidth="1"/>
    <col min="11037" max="11037" width="9.5" style="225" customWidth="1"/>
    <col min="11038" max="11038" width="7.5" style="225" customWidth="1"/>
    <col min="11039" max="11039" width="10.875" style="225" customWidth="1"/>
    <col min="11040" max="11051" width="6.25" style="225" hidden="1" customWidth="1"/>
    <col min="11052" max="11052" width="8.25" style="225" customWidth="1"/>
    <col min="11053" max="11053" width="10" style="225" customWidth="1"/>
    <col min="11054" max="11060" width="6.25" style="225" hidden="1" customWidth="1"/>
    <col min="11061" max="11061" width="9.875" style="225" customWidth="1"/>
    <col min="11062" max="11062" width="8.375" style="225" customWidth="1"/>
    <col min="11063" max="11063" width="10.75" style="225" customWidth="1"/>
    <col min="11064" max="11064" width="6.375" style="225" customWidth="1"/>
    <col min="11065" max="11065" width="11.625" style="225" customWidth="1"/>
    <col min="11066" max="11066" width="9.125" style="225" customWidth="1"/>
    <col min="11067" max="11264" width="6.25" style="225"/>
    <col min="11265" max="11265" width="6.75" style="225" customWidth="1"/>
    <col min="11266" max="11266" width="30.75" style="225" customWidth="1"/>
    <col min="11267" max="11267" width="4.5" style="225" customWidth="1"/>
    <col min="11268" max="11268" width="8.5" style="225" customWidth="1"/>
    <col min="11269" max="11269" width="10.125" style="225" customWidth="1"/>
    <col min="11270" max="11270" width="8.625" style="225" customWidth="1"/>
    <col min="11271" max="11271" width="9.75" style="225" customWidth="1"/>
    <col min="11272" max="11273" width="6.25" style="225" hidden="1" customWidth="1"/>
    <col min="11274" max="11274" width="11" style="225" customWidth="1"/>
    <col min="11275" max="11275" width="10.75" style="225" customWidth="1"/>
    <col min="11276" max="11276" width="10" style="225" customWidth="1"/>
    <col min="11277" max="11277" width="10.75" style="225" customWidth="1"/>
    <col min="11278" max="11282" width="6.25" style="225" hidden="1" customWidth="1"/>
    <col min="11283" max="11283" width="13.125" style="225" customWidth="1"/>
    <col min="11284" max="11284" width="11" style="225" customWidth="1"/>
    <col min="11285" max="11291" width="6.25" style="225" hidden="1" customWidth="1"/>
    <col min="11292" max="11292" width="0.125" style="225" customWidth="1"/>
    <col min="11293" max="11293" width="9.5" style="225" customWidth="1"/>
    <col min="11294" max="11294" width="7.5" style="225" customWidth="1"/>
    <col min="11295" max="11295" width="10.875" style="225" customWidth="1"/>
    <col min="11296" max="11307" width="6.25" style="225" hidden="1" customWidth="1"/>
    <col min="11308" max="11308" width="8.25" style="225" customWidth="1"/>
    <col min="11309" max="11309" width="10" style="225" customWidth="1"/>
    <col min="11310" max="11316" width="6.25" style="225" hidden="1" customWidth="1"/>
    <col min="11317" max="11317" width="9.875" style="225" customWidth="1"/>
    <col min="11318" max="11318" width="8.375" style="225" customWidth="1"/>
    <col min="11319" max="11319" width="10.75" style="225" customWidth="1"/>
    <col min="11320" max="11320" width="6.375" style="225" customWidth="1"/>
    <col min="11321" max="11321" width="11.625" style="225" customWidth="1"/>
    <col min="11322" max="11322" width="9.125" style="225" customWidth="1"/>
    <col min="11323" max="11520" width="6.25" style="225"/>
    <col min="11521" max="11521" width="6.75" style="225" customWidth="1"/>
    <col min="11522" max="11522" width="30.75" style="225" customWidth="1"/>
    <col min="11523" max="11523" width="4.5" style="225" customWidth="1"/>
    <col min="11524" max="11524" width="8.5" style="225" customWidth="1"/>
    <col min="11525" max="11525" width="10.125" style="225" customWidth="1"/>
    <col min="11526" max="11526" width="8.625" style="225" customWidth="1"/>
    <col min="11527" max="11527" width="9.75" style="225" customWidth="1"/>
    <col min="11528" max="11529" width="6.25" style="225" hidden="1" customWidth="1"/>
    <col min="11530" max="11530" width="11" style="225" customWidth="1"/>
    <col min="11531" max="11531" width="10.75" style="225" customWidth="1"/>
    <col min="11532" max="11532" width="10" style="225" customWidth="1"/>
    <col min="11533" max="11533" width="10.75" style="225" customWidth="1"/>
    <col min="11534" max="11538" width="6.25" style="225" hidden="1" customWidth="1"/>
    <col min="11539" max="11539" width="13.125" style="225" customWidth="1"/>
    <col min="11540" max="11540" width="11" style="225" customWidth="1"/>
    <col min="11541" max="11547" width="6.25" style="225" hidden="1" customWidth="1"/>
    <col min="11548" max="11548" width="0.125" style="225" customWidth="1"/>
    <col min="11549" max="11549" width="9.5" style="225" customWidth="1"/>
    <col min="11550" max="11550" width="7.5" style="225" customWidth="1"/>
    <col min="11551" max="11551" width="10.875" style="225" customWidth="1"/>
    <col min="11552" max="11563" width="6.25" style="225" hidden="1" customWidth="1"/>
    <col min="11564" max="11564" width="8.25" style="225" customWidth="1"/>
    <col min="11565" max="11565" width="10" style="225" customWidth="1"/>
    <col min="11566" max="11572" width="6.25" style="225" hidden="1" customWidth="1"/>
    <col min="11573" max="11573" width="9.875" style="225" customWidth="1"/>
    <col min="11574" max="11574" width="8.375" style="225" customWidth="1"/>
    <col min="11575" max="11575" width="10.75" style="225" customWidth="1"/>
    <col min="11576" max="11576" width="6.375" style="225" customWidth="1"/>
    <col min="11577" max="11577" width="11.625" style="225" customWidth="1"/>
    <col min="11578" max="11578" width="9.125" style="225" customWidth="1"/>
    <col min="11579" max="11776" width="6.25" style="225"/>
    <col min="11777" max="11777" width="6.75" style="225" customWidth="1"/>
    <col min="11778" max="11778" width="30.75" style="225" customWidth="1"/>
    <col min="11779" max="11779" width="4.5" style="225" customWidth="1"/>
    <col min="11780" max="11780" width="8.5" style="225" customWidth="1"/>
    <col min="11781" max="11781" width="10.125" style="225" customWidth="1"/>
    <col min="11782" max="11782" width="8.625" style="225" customWidth="1"/>
    <col min="11783" max="11783" width="9.75" style="225" customWidth="1"/>
    <col min="11784" max="11785" width="6.25" style="225" hidden="1" customWidth="1"/>
    <col min="11786" max="11786" width="11" style="225" customWidth="1"/>
    <col min="11787" max="11787" width="10.75" style="225" customWidth="1"/>
    <col min="11788" max="11788" width="10" style="225" customWidth="1"/>
    <col min="11789" max="11789" width="10.75" style="225" customWidth="1"/>
    <col min="11790" max="11794" width="6.25" style="225" hidden="1" customWidth="1"/>
    <col min="11795" max="11795" width="13.125" style="225" customWidth="1"/>
    <col min="11796" max="11796" width="11" style="225" customWidth="1"/>
    <col min="11797" max="11803" width="6.25" style="225" hidden="1" customWidth="1"/>
    <col min="11804" max="11804" width="0.125" style="225" customWidth="1"/>
    <col min="11805" max="11805" width="9.5" style="225" customWidth="1"/>
    <col min="11806" max="11806" width="7.5" style="225" customWidth="1"/>
    <col min="11807" max="11807" width="10.875" style="225" customWidth="1"/>
    <col min="11808" max="11819" width="6.25" style="225" hidden="1" customWidth="1"/>
    <col min="11820" max="11820" width="8.25" style="225" customWidth="1"/>
    <col min="11821" max="11821" width="10" style="225" customWidth="1"/>
    <col min="11822" max="11828" width="6.25" style="225" hidden="1" customWidth="1"/>
    <col min="11829" max="11829" width="9.875" style="225" customWidth="1"/>
    <col min="11830" max="11830" width="8.375" style="225" customWidth="1"/>
    <col min="11831" max="11831" width="10.75" style="225" customWidth="1"/>
    <col min="11832" max="11832" width="6.375" style="225" customWidth="1"/>
    <col min="11833" max="11833" width="11.625" style="225" customWidth="1"/>
    <col min="11834" max="11834" width="9.125" style="225" customWidth="1"/>
    <col min="11835" max="12032" width="6.25" style="225"/>
    <col min="12033" max="12033" width="6.75" style="225" customWidth="1"/>
    <col min="12034" max="12034" width="30.75" style="225" customWidth="1"/>
    <col min="12035" max="12035" width="4.5" style="225" customWidth="1"/>
    <col min="12036" max="12036" width="8.5" style="225" customWidth="1"/>
    <col min="12037" max="12037" width="10.125" style="225" customWidth="1"/>
    <col min="12038" max="12038" width="8.625" style="225" customWidth="1"/>
    <col min="12039" max="12039" width="9.75" style="225" customWidth="1"/>
    <col min="12040" max="12041" width="6.25" style="225" hidden="1" customWidth="1"/>
    <col min="12042" max="12042" width="11" style="225" customWidth="1"/>
    <col min="12043" max="12043" width="10.75" style="225" customWidth="1"/>
    <col min="12044" max="12044" width="10" style="225" customWidth="1"/>
    <col min="12045" max="12045" width="10.75" style="225" customWidth="1"/>
    <col min="12046" max="12050" width="6.25" style="225" hidden="1" customWidth="1"/>
    <col min="12051" max="12051" width="13.125" style="225" customWidth="1"/>
    <col min="12052" max="12052" width="11" style="225" customWidth="1"/>
    <col min="12053" max="12059" width="6.25" style="225" hidden="1" customWidth="1"/>
    <col min="12060" max="12060" width="0.125" style="225" customWidth="1"/>
    <col min="12061" max="12061" width="9.5" style="225" customWidth="1"/>
    <col min="12062" max="12062" width="7.5" style="225" customWidth="1"/>
    <col min="12063" max="12063" width="10.875" style="225" customWidth="1"/>
    <col min="12064" max="12075" width="6.25" style="225" hidden="1" customWidth="1"/>
    <col min="12076" max="12076" width="8.25" style="225" customWidth="1"/>
    <col min="12077" max="12077" width="10" style="225" customWidth="1"/>
    <col min="12078" max="12084" width="6.25" style="225" hidden="1" customWidth="1"/>
    <col min="12085" max="12085" width="9.875" style="225" customWidth="1"/>
    <col min="12086" max="12086" width="8.375" style="225" customWidth="1"/>
    <col min="12087" max="12087" width="10.75" style="225" customWidth="1"/>
    <col min="12088" max="12088" width="6.375" style="225" customWidth="1"/>
    <col min="12089" max="12089" width="11.625" style="225" customWidth="1"/>
    <col min="12090" max="12090" width="9.125" style="225" customWidth="1"/>
    <col min="12091" max="12288" width="6.25" style="225"/>
    <col min="12289" max="12289" width="6.75" style="225" customWidth="1"/>
    <col min="12290" max="12290" width="30.75" style="225" customWidth="1"/>
    <col min="12291" max="12291" width="4.5" style="225" customWidth="1"/>
    <col min="12292" max="12292" width="8.5" style="225" customWidth="1"/>
    <col min="12293" max="12293" width="10.125" style="225" customWidth="1"/>
    <col min="12294" max="12294" width="8.625" style="225" customWidth="1"/>
    <col min="12295" max="12295" width="9.75" style="225" customWidth="1"/>
    <col min="12296" max="12297" width="6.25" style="225" hidden="1" customWidth="1"/>
    <col min="12298" max="12298" width="11" style="225" customWidth="1"/>
    <col min="12299" max="12299" width="10.75" style="225" customWidth="1"/>
    <col min="12300" max="12300" width="10" style="225" customWidth="1"/>
    <col min="12301" max="12301" width="10.75" style="225" customWidth="1"/>
    <col min="12302" max="12306" width="6.25" style="225" hidden="1" customWidth="1"/>
    <col min="12307" max="12307" width="13.125" style="225" customWidth="1"/>
    <col min="12308" max="12308" width="11" style="225" customWidth="1"/>
    <col min="12309" max="12315" width="6.25" style="225" hidden="1" customWidth="1"/>
    <col min="12316" max="12316" width="0.125" style="225" customWidth="1"/>
    <col min="12317" max="12317" width="9.5" style="225" customWidth="1"/>
    <col min="12318" max="12318" width="7.5" style="225" customWidth="1"/>
    <col min="12319" max="12319" width="10.875" style="225" customWidth="1"/>
    <col min="12320" max="12331" width="6.25" style="225" hidden="1" customWidth="1"/>
    <col min="12332" max="12332" width="8.25" style="225" customWidth="1"/>
    <col min="12333" max="12333" width="10" style="225" customWidth="1"/>
    <col min="12334" max="12340" width="6.25" style="225" hidden="1" customWidth="1"/>
    <col min="12341" max="12341" width="9.875" style="225" customWidth="1"/>
    <col min="12342" max="12342" width="8.375" style="225" customWidth="1"/>
    <col min="12343" max="12343" width="10.75" style="225" customWidth="1"/>
    <col min="12344" max="12344" width="6.375" style="225" customWidth="1"/>
    <col min="12345" max="12345" width="11.625" style="225" customWidth="1"/>
    <col min="12346" max="12346" width="9.125" style="225" customWidth="1"/>
    <col min="12347" max="12544" width="6.25" style="225"/>
    <col min="12545" max="12545" width="6.75" style="225" customWidth="1"/>
    <col min="12546" max="12546" width="30.75" style="225" customWidth="1"/>
    <col min="12547" max="12547" width="4.5" style="225" customWidth="1"/>
    <col min="12548" max="12548" width="8.5" style="225" customWidth="1"/>
    <col min="12549" max="12549" width="10.125" style="225" customWidth="1"/>
    <col min="12550" max="12550" width="8.625" style="225" customWidth="1"/>
    <col min="12551" max="12551" width="9.75" style="225" customWidth="1"/>
    <col min="12552" max="12553" width="6.25" style="225" hidden="1" customWidth="1"/>
    <col min="12554" max="12554" width="11" style="225" customWidth="1"/>
    <col min="12555" max="12555" width="10.75" style="225" customWidth="1"/>
    <col min="12556" max="12556" width="10" style="225" customWidth="1"/>
    <col min="12557" max="12557" width="10.75" style="225" customWidth="1"/>
    <col min="12558" max="12562" width="6.25" style="225" hidden="1" customWidth="1"/>
    <col min="12563" max="12563" width="13.125" style="225" customWidth="1"/>
    <col min="12564" max="12564" width="11" style="225" customWidth="1"/>
    <col min="12565" max="12571" width="6.25" style="225" hidden="1" customWidth="1"/>
    <col min="12572" max="12572" width="0.125" style="225" customWidth="1"/>
    <col min="12573" max="12573" width="9.5" style="225" customWidth="1"/>
    <col min="12574" max="12574" width="7.5" style="225" customWidth="1"/>
    <col min="12575" max="12575" width="10.875" style="225" customWidth="1"/>
    <col min="12576" max="12587" width="6.25" style="225" hidden="1" customWidth="1"/>
    <col min="12588" max="12588" width="8.25" style="225" customWidth="1"/>
    <col min="12589" max="12589" width="10" style="225" customWidth="1"/>
    <col min="12590" max="12596" width="6.25" style="225" hidden="1" customWidth="1"/>
    <col min="12597" max="12597" width="9.875" style="225" customWidth="1"/>
    <col min="12598" max="12598" width="8.375" style="225" customWidth="1"/>
    <col min="12599" max="12599" width="10.75" style="225" customWidth="1"/>
    <col min="12600" max="12600" width="6.375" style="225" customWidth="1"/>
    <col min="12601" max="12601" width="11.625" style="225" customWidth="1"/>
    <col min="12602" max="12602" width="9.125" style="225" customWidth="1"/>
    <col min="12603" max="12800" width="6.25" style="225"/>
    <col min="12801" max="12801" width="6.75" style="225" customWidth="1"/>
    <col min="12802" max="12802" width="30.75" style="225" customWidth="1"/>
    <col min="12803" max="12803" width="4.5" style="225" customWidth="1"/>
    <col min="12804" max="12804" width="8.5" style="225" customWidth="1"/>
    <col min="12805" max="12805" width="10.125" style="225" customWidth="1"/>
    <col min="12806" max="12806" width="8.625" style="225" customWidth="1"/>
    <col min="12807" max="12807" width="9.75" style="225" customWidth="1"/>
    <col min="12808" max="12809" width="6.25" style="225" hidden="1" customWidth="1"/>
    <col min="12810" max="12810" width="11" style="225" customWidth="1"/>
    <col min="12811" max="12811" width="10.75" style="225" customWidth="1"/>
    <col min="12812" max="12812" width="10" style="225" customWidth="1"/>
    <col min="12813" max="12813" width="10.75" style="225" customWidth="1"/>
    <col min="12814" max="12818" width="6.25" style="225" hidden="1" customWidth="1"/>
    <col min="12819" max="12819" width="13.125" style="225" customWidth="1"/>
    <col min="12820" max="12820" width="11" style="225" customWidth="1"/>
    <col min="12821" max="12827" width="6.25" style="225" hidden="1" customWidth="1"/>
    <col min="12828" max="12828" width="0.125" style="225" customWidth="1"/>
    <col min="12829" max="12829" width="9.5" style="225" customWidth="1"/>
    <col min="12830" max="12830" width="7.5" style="225" customWidth="1"/>
    <col min="12831" max="12831" width="10.875" style="225" customWidth="1"/>
    <col min="12832" max="12843" width="6.25" style="225" hidden="1" customWidth="1"/>
    <col min="12844" max="12844" width="8.25" style="225" customWidth="1"/>
    <col min="12845" max="12845" width="10" style="225" customWidth="1"/>
    <col min="12846" max="12852" width="6.25" style="225" hidden="1" customWidth="1"/>
    <col min="12853" max="12853" width="9.875" style="225" customWidth="1"/>
    <col min="12854" max="12854" width="8.375" style="225" customWidth="1"/>
    <col min="12855" max="12855" width="10.75" style="225" customWidth="1"/>
    <col min="12856" max="12856" width="6.375" style="225" customWidth="1"/>
    <col min="12857" max="12857" width="11.625" style="225" customWidth="1"/>
    <col min="12858" max="12858" width="9.125" style="225" customWidth="1"/>
    <col min="12859" max="13056" width="6.25" style="225"/>
    <col min="13057" max="13057" width="6.75" style="225" customWidth="1"/>
    <col min="13058" max="13058" width="30.75" style="225" customWidth="1"/>
    <col min="13059" max="13059" width="4.5" style="225" customWidth="1"/>
    <col min="13060" max="13060" width="8.5" style="225" customWidth="1"/>
    <col min="13061" max="13061" width="10.125" style="225" customWidth="1"/>
    <col min="13062" max="13062" width="8.625" style="225" customWidth="1"/>
    <col min="13063" max="13063" width="9.75" style="225" customWidth="1"/>
    <col min="13064" max="13065" width="6.25" style="225" hidden="1" customWidth="1"/>
    <col min="13066" max="13066" width="11" style="225" customWidth="1"/>
    <col min="13067" max="13067" width="10.75" style="225" customWidth="1"/>
    <col min="13068" max="13068" width="10" style="225" customWidth="1"/>
    <col min="13069" max="13069" width="10.75" style="225" customWidth="1"/>
    <col min="13070" max="13074" width="6.25" style="225" hidden="1" customWidth="1"/>
    <col min="13075" max="13075" width="13.125" style="225" customWidth="1"/>
    <col min="13076" max="13076" width="11" style="225" customWidth="1"/>
    <col min="13077" max="13083" width="6.25" style="225" hidden="1" customWidth="1"/>
    <col min="13084" max="13084" width="0.125" style="225" customWidth="1"/>
    <col min="13085" max="13085" width="9.5" style="225" customWidth="1"/>
    <col min="13086" max="13086" width="7.5" style="225" customWidth="1"/>
    <col min="13087" max="13087" width="10.875" style="225" customWidth="1"/>
    <col min="13088" max="13099" width="6.25" style="225" hidden="1" customWidth="1"/>
    <col min="13100" max="13100" width="8.25" style="225" customWidth="1"/>
    <col min="13101" max="13101" width="10" style="225" customWidth="1"/>
    <col min="13102" max="13108" width="6.25" style="225" hidden="1" customWidth="1"/>
    <col min="13109" max="13109" width="9.875" style="225" customWidth="1"/>
    <col min="13110" max="13110" width="8.375" style="225" customWidth="1"/>
    <col min="13111" max="13111" width="10.75" style="225" customWidth="1"/>
    <col min="13112" max="13112" width="6.375" style="225" customWidth="1"/>
    <col min="13113" max="13113" width="11.625" style="225" customWidth="1"/>
    <col min="13114" max="13114" width="9.125" style="225" customWidth="1"/>
    <col min="13115" max="13312" width="6.25" style="225"/>
    <col min="13313" max="13313" width="6.75" style="225" customWidth="1"/>
    <col min="13314" max="13314" width="30.75" style="225" customWidth="1"/>
    <col min="13315" max="13315" width="4.5" style="225" customWidth="1"/>
    <col min="13316" max="13316" width="8.5" style="225" customWidth="1"/>
    <col min="13317" max="13317" width="10.125" style="225" customWidth="1"/>
    <col min="13318" max="13318" width="8.625" style="225" customWidth="1"/>
    <col min="13319" max="13319" width="9.75" style="225" customWidth="1"/>
    <col min="13320" max="13321" width="6.25" style="225" hidden="1" customWidth="1"/>
    <col min="13322" max="13322" width="11" style="225" customWidth="1"/>
    <col min="13323" max="13323" width="10.75" style="225" customWidth="1"/>
    <col min="13324" max="13324" width="10" style="225" customWidth="1"/>
    <col min="13325" max="13325" width="10.75" style="225" customWidth="1"/>
    <col min="13326" max="13330" width="6.25" style="225" hidden="1" customWidth="1"/>
    <col min="13331" max="13331" width="13.125" style="225" customWidth="1"/>
    <col min="13332" max="13332" width="11" style="225" customWidth="1"/>
    <col min="13333" max="13339" width="6.25" style="225" hidden="1" customWidth="1"/>
    <col min="13340" max="13340" width="0.125" style="225" customWidth="1"/>
    <col min="13341" max="13341" width="9.5" style="225" customWidth="1"/>
    <col min="13342" max="13342" width="7.5" style="225" customWidth="1"/>
    <col min="13343" max="13343" width="10.875" style="225" customWidth="1"/>
    <col min="13344" max="13355" width="6.25" style="225" hidden="1" customWidth="1"/>
    <col min="13356" max="13356" width="8.25" style="225" customWidth="1"/>
    <col min="13357" max="13357" width="10" style="225" customWidth="1"/>
    <col min="13358" max="13364" width="6.25" style="225" hidden="1" customWidth="1"/>
    <col min="13365" max="13365" width="9.875" style="225" customWidth="1"/>
    <col min="13366" max="13366" width="8.375" style="225" customWidth="1"/>
    <col min="13367" max="13367" width="10.75" style="225" customWidth="1"/>
    <col min="13368" max="13368" width="6.375" style="225" customWidth="1"/>
    <col min="13369" max="13369" width="11.625" style="225" customWidth="1"/>
    <col min="13370" max="13370" width="9.125" style="225" customWidth="1"/>
    <col min="13371" max="13568" width="6.25" style="225"/>
    <col min="13569" max="13569" width="6.75" style="225" customWidth="1"/>
    <col min="13570" max="13570" width="30.75" style="225" customWidth="1"/>
    <col min="13571" max="13571" width="4.5" style="225" customWidth="1"/>
    <col min="13572" max="13572" width="8.5" style="225" customWidth="1"/>
    <col min="13573" max="13573" width="10.125" style="225" customWidth="1"/>
    <col min="13574" max="13574" width="8.625" style="225" customWidth="1"/>
    <col min="13575" max="13575" width="9.75" style="225" customWidth="1"/>
    <col min="13576" max="13577" width="6.25" style="225" hidden="1" customWidth="1"/>
    <col min="13578" max="13578" width="11" style="225" customWidth="1"/>
    <col min="13579" max="13579" width="10.75" style="225" customWidth="1"/>
    <col min="13580" max="13580" width="10" style="225" customWidth="1"/>
    <col min="13581" max="13581" width="10.75" style="225" customWidth="1"/>
    <col min="13582" max="13586" width="6.25" style="225" hidden="1" customWidth="1"/>
    <col min="13587" max="13587" width="13.125" style="225" customWidth="1"/>
    <col min="13588" max="13588" width="11" style="225" customWidth="1"/>
    <col min="13589" max="13595" width="6.25" style="225" hidden="1" customWidth="1"/>
    <col min="13596" max="13596" width="0.125" style="225" customWidth="1"/>
    <col min="13597" max="13597" width="9.5" style="225" customWidth="1"/>
    <col min="13598" max="13598" width="7.5" style="225" customWidth="1"/>
    <col min="13599" max="13599" width="10.875" style="225" customWidth="1"/>
    <col min="13600" max="13611" width="6.25" style="225" hidden="1" customWidth="1"/>
    <col min="13612" max="13612" width="8.25" style="225" customWidth="1"/>
    <col min="13613" max="13613" width="10" style="225" customWidth="1"/>
    <col min="13614" max="13620" width="6.25" style="225" hidden="1" customWidth="1"/>
    <col min="13621" max="13621" width="9.875" style="225" customWidth="1"/>
    <col min="13622" max="13622" width="8.375" style="225" customWidth="1"/>
    <col min="13623" max="13623" width="10.75" style="225" customWidth="1"/>
    <col min="13624" max="13624" width="6.375" style="225" customWidth="1"/>
    <col min="13625" max="13625" width="11.625" style="225" customWidth="1"/>
    <col min="13626" max="13626" width="9.125" style="225" customWidth="1"/>
    <col min="13627" max="13824" width="6.25" style="225"/>
    <col min="13825" max="13825" width="6.75" style="225" customWidth="1"/>
    <col min="13826" max="13826" width="30.75" style="225" customWidth="1"/>
    <col min="13827" max="13827" width="4.5" style="225" customWidth="1"/>
    <col min="13828" max="13828" width="8.5" style="225" customWidth="1"/>
    <col min="13829" max="13829" width="10.125" style="225" customWidth="1"/>
    <col min="13830" max="13830" width="8.625" style="225" customWidth="1"/>
    <col min="13831" max="13831" width="9.75" style="225" customWidth="1"/>
    <col min="13832" max="13833" width="6.25" style="225" hidden="1" customWidth="1"/>
    <col min="13834" max="13834" width="11" style="225" customWidth="1"/>
    <col min="13835" max="13835" width="10.75" style="225" customWidth="1"/>
    <col min="13836" max="13836" width="10" style="225" customWidth="1"/>
    <col min="13837" max="13837" width="10.75" style="225" customWidth="1"/>
    <col min="13838" max="13842" width="6.25" style="225" hidden="1" customWidth="1"/>
    <col min="13843" max="13843" width="13.125" style="225" customWidth="1"/>
    <col min="13844" max="13844" width="11" style="225" customWidth="1"/>
    <col min="13845" max="13851" width="6.25" style="225" hidden="1" customWidth="1"/>
    <col min="13852" max="13852" width="0.125" style="225" customWidth="1"/>
    <col min="13853" max="13853" width="9.5" style="225" customWidth="1"/>
    <col min="13854" max="13854" width="7.5" style="225" customWidth="1"/>
    <col min="13855" max="13855" width="10.875" style="225" customWidth="1"/>
    <col min="13856" max="13867" width="6.25" style="225" hidden="1" customWidth="1"/>
    <col min="13868" max="13868" width="8.25" style="225" customWidth="1"/>
    <col min="13869" max="13869" width="10" style="225" customWidth="1"/>
    <col min="13870" max="13876" width="6.25" style="225" hidden="1" customWidth="1"/>
    <col min="13877" max="13877" width="9.875" style="225" customWidth="1"/>
    <col min="13878" max="13878" width="8.375" style="225" customWidth="1"/>
    <col min="13879" max="13879" width="10.75" style="225" customWidth="1"/>
    <col min="13880" max="13880" width="6.375" style="225" customWidth="1"/>
    <col min="13881" max="13881" width="11.625" style="225" customWidth="1"/>
    <col min="13882" max="13882" width="9.125" style="225" customWidth="1"/>
    <col min="13883" max="14080" width="6.25" style="225"/>
    <col min="14081" max="14081" width="6.75" style="225" customWidth="1"/>
    <col min="14082" max="14082" width="30.75" style="225" customWidth="1"/>
    <col min="14083" max="14083" width="4.5" style="225" customWidth="1"/>
    <col min="14084" max="14084" width="8.5" style="225" customWidth="1"/>
    <col min="14085" max="14085" width="10.125" style="225" customWidth="1"/>
    <col min="14086" max="14086" width="8.625" style="225" customWidth="1"/>
    <col min="14087" max="14087" width="9.75" style="225" customWidth="1"/>
    <col min="14088" max="14089" width="6.25" style="225" hidden="1" customWidth="1"/>
    <col min="14090" max="14090" width="11" style="225" customWidth="1"/>
    <col min="14091" max="14091" width="10.75" style="225" customWidth="1"/>
    <col min="14092" max="14092" width="10" style="225" customWidth="1"/>
    <col min="14093" max="14093" width="10.75" style="225" customWidth="1"/>
    <col min="14094" max="14098" width="6.25" style="225" hidden="1" customWidth="1"/>
    <col min="14099" max="14099" width="13.125" style="225" customWidth="1"/>
    <col min="14100" max="14100" width="11" style="225" customWidth="1"/>
    <col min="14101" max="14107" width="6.25" style="225" hidden="1" customWidth="1"/>
    <col min="14108" max="14108" width="0.125" style="225" customWidth="1"/>
    <col min="14109" max="14109" width="9.5" style="225" customWidth="1"/>
    <col min="14110" max="14110" width="7.5" style="225" customWidth="1"/>
    <col min="14111" max="14111" width="10.875" style="225" customWidth="1"/>
    <col min="14112" max="14123" width="6.25" style="225" hidden="1" customWidth="1"/>
    <col min="14124" max="14124" width="8.25" style="225" customWidth="1"/>
    <col min="14125" max="14125" width="10" style="225" customWidth="1"/>
    <col min="14126" max="14132" width="6.25" style="225" hidden="1" customWidth="1"/>
    <col min="14133" max="14133" width="9.875" style="225" customWidth="1"/>
    <col min="14134" max="14134" width="8.375" style="225" customWidth="1"/>
    <col min="14135" max="14135" width="10.75" style="225" customWidth="1"/>
    <col min="14136" max="14136" width="6.375" style="225" customWidth="1"/>
    <col min="14137" max="14137" width="11.625" style="225" customWidth="1"/>
    <col min="14138" max="14138" width="9.125" style="225" customWidth="1"/>
    <col min="14139" max="14336" width="6.25" style="225"/>
    <col min="14337" max="14337" width="6.75" style="225" customWidth="1"/>
    <col min="14338" max="14338" width="30.75" style="225" customWidth="1"/>
    <col min="14339" max="14339" width="4.5" style="225" customWidth="1"/>
    <col min="14340" max="14340" width="8.5" style="225" customWidth="1"/>
    <col min="14341" max="14341" width="10.125" style="225" customWidth="1"/>
    <col min="14342" max="14342" width="8.625" style="225" customWidth="1"/>
    <col min="14343" max="14343" width="9.75" style="225" customWidth="1"/>
    <col min="14344" max="14345" width="6.25" style="225" hidden="1" customWidth="1"/>
    <col min="14346" max="14346" width="11" style="225" customWidth="1"/>
    <col min="14347" max="14347" width="10.75" style="225" customWidth="1"/>
    <col min="14348" max="14348" width="10" style="225" customWidth="1"/>
    <col min="14349" max="14349" width="10.75" style="225" customWidth="1"/>
    <col min="14350" max="14354" width="6.25" style="225" hidden="1" customWidth="1"/>
    <col min="14355" max="14355" width="13.125" style="225" customWidth="1"/>
    <col min="14356" max="14356" width="11" style="225" customWidth="1"/>
    <col min="14357" max="14363" width="6.25" style="225" hidden="1" customWidth="1"/>
    <col min="14364" max="14364" width="0.125" style="225" customWidth="1"/>
    <col min="14365" max="14365" width="9.5" style="225" customWidth="1"/>
    <col min="14366" max="14366" width="7.5" style="225" customWidth="1"/>
    <col min="14367" max="14367" width="10.875" style="225" customWidth="1"/>
    <col min="14368" max="14379" width="6.25" style="225" hidden="1" customWidth="1"/>
    <col min="14380" max="14380" width="8.25" style="225" customWidth="1"/>
    <col min="14381" max="14381" width="10" style="225" customWidth="1"/>
    <col min="14382" max="14388" width="6.25" style="225" hidden="1" customWidth="1"/>
    <col min="14389" max="14389" width="9.875" style="225" customWidth="1"/>
    <col min="14390" max="14390" width="8.375" style="225" customWidth="1"/>
    <col min="14391" max="14391" width="10.75" style="225" customWidth="1"/>
    <col min="14392" max="14392" width="6.375" style="225" customWidth="1"/>
    <col min="14393" max="14393" width="11.625" style="225" customWidth="1"/>
    <col min="14394" max="14394" width="9.125" style="225" customWidth="1"/>
    <col min="14395" max="14592" width="6.25" style="225"/>
    <col min="14593" max="14593" width="6.75" style="225" customWidth="1"/>
    <col min="14594" max="14594" width="30.75" style="225" customWidth="1"/>
    <col min="14595" max="14595" width="4.5" style="225" customWidth="1"/>
    <col min="14596" max="14596" width="8.5" style="225" customWidth="1"/>
    <col min="14597" max="14597" width="10.125" style="225" customWidth="1"/>
    <col min="14598" max="14598" width="8.625" style="225" customWidth="1"/>
    <col min="14599" max="14599" width="9.75" style="225" customWidth="1"/>
    <col min="14600" max="14601" width="6.25" style="225" hidden="1" customWidth="1"/>
    <col min="14602" max="14602" width="11" style="225" customWidth="1"/>
    <col min="14603" max="14603" width="10.75" style="225" customWidth="1"/>
    <col min="14604" max="14604" width="10" style="225" customWidth="1"/>
    <col min="14605" max="14605" width="10.75" style="225" customWidth="1"/>
    <col min="14606" max="14610" width="6.25" style="225" hidden="1" customWidth="1"/>
    <col min="14611" max="14611" width="13.125" style="225" customWidth="1"/>
    <col min="14612" max="14612" width="11" style="225" customWidth="1"/>
    <col min="14613" max="14619" width="6.25" style="225" hidden="1" customWidth="1"/>
    <col min="14620" max="14620" width="0.125" style="225" customWidth="1"/>
    <col min="14621" max="14621" width="9.5" style="225" customWidth="1"/>
    <col min="14622" max="14622" width="7.5" style="225" customWidth="1"/>
    <col min="14623" max="14623" width="10.875" style="225" customWidth="1"/>
    <col min="14624" max="14635" width="6.25" style="225" hidden="1" customWidth="1"/>
    <col min="14636" max="14636" width="8.25" style="225" customWidth="1"/>
    <col min="14637" max="14637" width="10" style="225" customWidth="1"/>
    <col min="14638" max="14644" width="6.25" style="225" hidden="1" customWidth="1"/>
    <col min="14645" max="14645" width="9.875" style="225" customWidth="1"/>
    <col min="14646" max="14646" width="8.375" style="225" customWidth="1"/>
    <col min="14647" max="14647" width="10.75" style="225" customWidth="1"/>
    <col min="14648" max="14648" width="6.375" style="225" customWidth="1"/>
    <col min="14649" max="14649" width="11.625" style="225" customWidth="1"/>
    <col min="14650" max="14650" width="9.125" style="225" customWidth="1"/>
    <col min="14651" max="14848" width="6.25" style="225"/>
    <col min="14849" max="14849" width="6.75" style="225" customWidth="1"/>
    <col min="14850" max="14850" width="30.75" style="225" customWidth="1"/>
    <col min="14851" max="14851" width="4.5" style="225" customWidth="1"/>
    <col min="14852" max="14852" width="8.5" style="225" customWidth="1"/>
    <col min="14853" max="14853" width="10.125" style="225" customWidth="1"/>
    <col min="14854" max="14854" width="8.625" style="225" customWidth="1"/>
    <col min="14855" max="14855" width="9.75" style="225" customWidth="1"/>
    <col min="14856" max="14857" width="6.25" style="225" hidden="1" customWidth="1"/>
    <col min="14858" max="14858" width="11" style="225" customWidth="1"/>
    <col min="14859" max="14859" width="10.75" style="225" customWidth="1"/>
    <col min="14860" max="14860" width="10" style="225" customWidth="1"/>
    <col min="14861" max="14861" width="10.75" style="225" customWidth="1"/>
    <col min="14862" max="14866" width="6.25" style="225" hidden="1" customWidth="1"/>
    <col min="14867" max="14867" width="13.125" style="225" customWidth="1"/>
    <col min="14868" max="14868" width="11" style="225" customWidth="1"/>
    <col min="14869" max="14875" width="6.25" style="225" hidden="1" customWidth="1"/>
    <col min="14876" max="14876" width="0.125" style="225" customWidth="1"/>
    <col min="14877" max="14877" width="9.5" style="225" customWidth="1"/>
    <col min="14878" max="14878" width="7.5" style="225" customWidth="1"/>
    <col min="14879" max="14879" width="10.875" style="225" customWidth="1"/>
    <col min="14880" max="14891" width="6.25" style="225" hidden="1" customWidth="1"/>
    <col min="14892" max="14892" width="8.25" style="225" customWidth="1"/>
    <col min="14893" max="14893" width="10" style="225" customWidth="1"/>
    <col min="14894" max="14900" width="6.25" style="225" hidden="1" customWidth="1"/>
    <col min="14901" max="14901" width="9.875" style="225" customWidth="1"/>
    <col min="14902" max="14902" width="8.375" style="225" customWidth="1"/>
    <col min="14903" max="14903" width="10.75" style="225" customWidth="1"/>
    <col min="14904" max="14904" width="6.375" style="225" customWidth="1"/>
    <col min="14905" max="14905" width="11.625" style="225" customWidth="1"/>
    <col min="14906" max="14906" width="9.125" style="225" customWidth="1"/>
    <col min="14907" max="15104" width="6.25" style="225"/>
    <col min="15105" max="15105" width="6.75" style="225" customWidth="1"/>
    <col min="15106" max="15106" width="30.75" style="225" customWidth="1"/>
    <col min="15107" max="15107" width="4.5" style="225" customWidth="1"/>
    <col min="15108" max="15108" width="8.5" style="225" customWidth="1"/>
    <col min="15109" max="15109" width="10.125" style="225" customWidth="1"/>
    <col min="15110" max="15110" width="8.625" style="225" customWidth="1"/>
    <col min="15111" max="15111" width="9.75" style="225" customWidth="1"/>
    <col min="15112" max="15113" width="6.25" style="225" hidden="1" customWidth="1"/>
    <col min="15114" max="15114" width="11" style="225" customWidth="1"/>
    <col min="15115" max="15115" width="10.75" style="225" customWidth="1"/>
    <col min="15116" max="15116" width="10" style="225" customWidth="1"/>
    <col min="15117" max="15117" width="10.75" style="225" customWidth="1"/>
    <col min="15118" max="15122" width="6.25" style="225" hidden="1" customWidth="1"/>
    <col min="15123" max="15123" width="13.125" style="225" customWidth="1"/>
    <col min="15124" max="15124" width="11" style="225" customWidth="1"/>
    <col min="15125" max="15131" width="6.25" style="225" hidden="1" customWidth="1"/>
    <col min="15132" max="15132" width="0.125" style="225" customWidth="1"/>
    <col min="15133" max="15133" width="9.5" style="225" customWidth="1"/>
    <col min="15134" max="15134" width="7.5" style="225" customWidth="1"/>
    <col min="15135" max="15135" width="10.875" style="225" customWidth="1"/>
    <col min="15136" max="15147" width="6.25" style="225" hidden="1" customWidth="1"/>
    <col min="15148" max="15148" width="8.25" style="225" customWidth="1"/>
    <col min="15149" max="15149" width="10" style="225" customWidth="1"/>
    <col min="15150" max="15156" width="6.25" style="225" hidden="1" customWidth="1"/>
    <col min="15157" max="15157" width="9.875" style="225" customWidth="1"/>
    <col min="15158" max="15158" width="8.375" style="225" customWidth="1"/>
    <col min="15159" max="15159" width="10.75" style="225" customWidth="1"/>
    <col min="15160" max="15160" width="6.375" style="225" customWidth="1"/>
    <col min="15161" max="15161" width="11.625" style="225" customWidth="1"/>
    <col min="15162" max="15162" width="9.125" style="225" customWidth="1"/>
    <col min="15163" max="15360" width="6.25" style="225"/>
    <col min="15361" max="15361" width="6.75" style="225" customWidth="1"/>
    <col min="15362" max="15362" width="30.75" style="225" customWidth="1"/>
    <col min="15363" max="15363" width="4.5" style="225" customWidth="1"/>
    <col min="15364" max="15364" width="8.5" style="225" customWidth="1"/>
    <col min="15365" max="15365" width="10.125" style="225" customWidth="1"/>
    <col min="15366" max="15366" width="8.625" style="225" customWidth="1"/>
    <col min="15367" max="15367" width="9.75" style="225" customWidth="1"/>
    <col min="15368" max="15369" width="6.25" style="225" hidden="1" customWidth="1"/>
    <col min="15370" max="15370" width="11" style="225" customWidth="1"/>
    <col min="15371" max="15371" width="10.75" style="225" customWidth="1"/>
    <col min="15372" max="15372" width="10" style="225" customWidth="1"/>
    <col min="15373" max="15373" width="10.75" style="225" customWidth="1"/>
    <col min="15374" max="15378" width="6.25" style="225" hidden="1" customWidth="1"/>
    <col min="15379" max="15379" width="13.125" style="225" customWidth="1"/>
    <col min="15380" max="15380" width="11" style="225" customWidth="1"/>
    <col min="15381" max="15387" width="6.25" style="225" hidden="1" customWidth="1"/>
    <col min="15388" max="15388" width="0.125" style="225" customWidth="1"/>
    <col min="15389" max="15389" width="9.5" style="225" customWidth="1"/>
    <col min="15390" max="15390" width="7.5" style="225" customWidth="1"/>
    <col min="15391" max="15391" width="10.875" style="225" customWidth="1"/>
    <col min="15392" max="15403" width="6.25" style="225" hidden="1" customWidth="1"/>
    <col min="15404" max="15404" width="8.25" style="225" customWidth="1"/>
    <col min="15405" max="15405" width="10" style="225" customWidth="1"/>
    <col min="15406" max="15412" width="6.25" style="225" hidden="1" customWidth="1"/>
    <col min="15413" max="15413" width="9.875" style="225" customWidth="1"/>
    <col min="15414" max="15414" width="8.375" style="225" customWidth="1"/>
    <col min="15415" max="15415" width="10.75" style="225" customWidth="1"/>
    <col min="15416" max="15416" width="6.375" style="225" customWidth="1"/>
    <col min="15417" max="15417" width="11.625" style="225" customWidth="1"/>
    <col min="15418" max="15418" width="9.125" style="225" customWidth="1"/>
    <col min="15419" max="15616" width="6.25" style="225"/>
    <col min="15617" max="15617" width="6.75" style="225" customWidth="1"/>
    <col min="15618" max="15618" width="30.75" style="225" customWidth="1"/>
    <col min="15619" max="15619" width="4.5" style="225" customWidth="1"/>
    <col min="15620" max="15620" width="8.5" style="225" customWidth="1"/>
    <col min="15621" max="15621" width="10.125" style="225" customWidth="1"/>
    <col min="15622" max="15622" width="8.625" style="225" customWidth="1"/>
    <col min="15623" max="15623" width="9.75" style="225" customWidth="1"/>
    <col min="15624" max="15625" width="6.25" style="225" hidden="1" customWidth="1"/>
    <col min="15626" max="15626" width="11" style="225" customWidth="1"/>
    <col min="15627" max="15627" width="10.75" style="225" customWidth="1"/>
    <col min="15628" max="15628" width="10" style="225" customWidth="1"/>
    <col min="15629" max="15629" width="10.75" style="225" customWidth="1"/>
    <col min="15630" max="15634" width="6.25" style="225" hidden="1" customWidth="1"/>
    <col min="15635" max="15635" width="13.125" style="225" customWidth="1"/>
    <col min="15636" max="15636" width="11" style="225" customWidth="1"/>
    <col min="15637" max="15643" width="6.25" style="225" hidden="1" customWidth="1"/>
    <col min="15644" max="15644" width="0.125" style="225" customWidth="1"/>
    <col min="15645" max="15645" width="9.5" style="225" customWidth="1"/>
    <col min="15646" max="15646" width="7.5" style="225" customWidth="1"/>
    <col min="15647" max="15647" width="10.875" style="225" customWidth="1"/>
    <col min="15648" max="15659" width="6.25" style="225" hidden="1" customWidth="1"/>
    <col min="15660" max="15660" width="8.25" style="225" customWidth="1"/>
    <col min="15661" max="15661" width="10" style="225" customWidth="1"/>
    <col min="15662" max="15668" width="6.25" style="225" hidden="1" customWidth="1"/>
    <col min="15669" max="15669" width="9.875" style="225" customWidth="1"/>
    <col min="15670" max="15670" width="8.375" style="225" customWidth="1"/>
    <col min="15671" max="15671" width="10.75" style="225" customWidth="1"/>
    <col min="15672" max="15672" width="6.375" style="225" customWidth="1"/>
    <col min="15673" max="15673" width="11.625" style="225" customWidth="1"/>
    <col min="15674" max="15674" width="9.125" style="225" customWidth="1"/>
    <col min="15675" max="15872" width="6.25" style="225"/>
    <col min="15873" max="15873" width="6.75" style="225" customWidth="1"/>
    <col min="15874" max="15874" width="30.75" style="225" customWidth="1"/>
    <col min="15875" max="15875" width="4.5" style="225" customWidth="1"/>
    <col min="15876" max="15876" width="8.5" style="225" customWidth="1"/>
    <col min="15877" max="15877" width="10.125" style="225" customWidth="1"/>
    <col min="15878" max="15878" width="8.625" style="225" customWidth="1"/>
    <col min="15879" max="15879" width="9.75" style="225" customWidth="1"/>
    <col min="15880" max="15881" width="6.25" style="225" hidden="1" customWidth="1"/>
    <col min="15882" max="15882" width="11" style="225" customWidth="1"/>
    <col min="15883" max="15883" width="10.75" style="225" customWidth="1"/>
    <col min="15884" max="15884" width="10" style="225" customWidth="1"/>
    <col min="15885" max="15885" width="10.75" style="225" customWidth="1"/>
    <col min="15886" max="15890" width="6.25" style="225" hidden="1" customWidth="1"/>
    <col min="15891" max="15891" width="13.125" style="225" customWidth="1"/>
    <col min="15892" max="15892" width="11" style="225" customWidth="1"/>
    <col min="15893" max="15899" width="6.25" style="225" hidden="1" customWidth="1"/>
    <col min="15900" max="15900" width="0.125" style="225" customWidth="1"/>
    <col min="15901" max="15901" width="9.5" style="225" customWidth="1"/>
    <col min="15902" max="15902" width="7.5" style="225" customWidth="1"/>
    <col min="15903" max="15903" width="10.875" style="225" customWidth="1"/>
    <col min="15904" max="15915" width="6.25" style="225" hidden="1" customWidth="1"/>
    <col min="15916" max="15916" width="8.25" style="225" customWidth="1"/>
    <col min="15917" max="15917" width="10" style="225" customWidth="1"/>
    <col min="15918" max="15924" width="6.25" style="225" hidden="1" customWidth="1"/>
    <col min="15925" max="15925" width="9.875" style="225" customWidth="1"/>
    <col min="15926" max="15926" width="8.375" style="225" customWidth="1"/>
    <col min="15927" max="15927" width="10.75" style="225" customWidth="1"/>
    <col min="15928" max="15928" width="6.375" style="225" customWidth="1"/>
    <col min="15929" max="15929" width="11.625" style="225" customWidth="1"/>
    <col min="15930" max="15930" width="9.125" style="225" customWidth="1"/>
    <col min="15931" max="16128" width="6.25" style="225"/>
    <col min="16129" max="16129" width="6.75" style="225" customWidth="1"/>
    <col min="16130" max="16130" width="30.75" style="225" customWidth="1"/>
    <col min="16131" max="16131" width="4.5" style="225" customWidth="1"/>
    <col min="16132" max="16132" width="8.5" style="225" customWidth="1"/>
    <col min="16133" max="16133" width="10.125" style="225" customWidth="1"/>
    <col min="16134" max="16134" width="8.625" style="225" customWidth="1"/>
    <col min="16135" max="16135" width="9.75" style="225" customWidth="1"/>
    <col min="16136" max="16137" width="6.25" style="225" hidden="1" customWidth="1"/>
    <col min="16138" max="16138" width="11" style="225" customWidth="1"/>
    <col min="16139" max="16139" width="10.75" style="225" customWidth="1"/>
    <col min="16140" max="16140" width="10" style="225" customWidth="1"/>
    <col min="16141" max="16141" width="10.75" style="225" customWidth="1"/>
    <col min="16142" max="16146" width="6.25" style="225" hidden="1" customWidth="1"/>
    <col min="16147" max="16147" width="13.125" style="225" customWidth="1"/>
    <col min="16148" max="16148" width="11" style="225" customWidth="1"/>
    <col min="16149" max="16155" width="6.25" style="225" hidden="1" customWidth="1"/>
    <col min="16156" max="16156" width="0.125" style="225" customWidth="1"/>
    <col min="16157" max="16157" width="9.5" style="225" customWidth="1"/>
    <col min="16158" max="16158" width="7.5" style="225" customWidth="1"/>
    <col min="16159" max="16159" width="10.875" style="225" customWidth="1"/>
    <col min="16160" max="16171" width="6.25" style="225" hidden="1" customWidth="1"/>
    <col min="16172" max="16172" width="8.25" style="225" customWidth="1"/>
    <col min="16173" max="16173" width="10" style="225" customWidth="1"/>
    <col min="16174" max="16180" width="6.25" style="225" hidden="1" customWidth="1"/>
    <col min="16181" max="16181" width="9.875" style="225" customWidth="1"/>
    <col min="16182" max="16182" width="8.375" style="225" customWidth="1"/>
    <col min="16183" max="16183" width="10.75" style="225" customWidth="1"/>
    <col min="16184" max="16184" width="6.375" style="225" customWidth="1"/>
    <col min="16185" max="16185" width="11.625" style="225" customWidth="1"/>
    <col min="16186" max="16186" width="9.125" style="225" customWidth="1"/>
    <col min="16187" max="16384" width="6.25" style="225"/>
  </cols>
  <sheetData>
    <row r="1" spans="1:58" ht="15" customHeight="1">
      <c r="A1" s="227" t="s">
        <v>512</v>
      </c>
      <c r="B1" s="227"/>
      <c r="C1" s="227"/>
      <c r="D1" s="254"/>
      <c r="E1" s="254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67"/>
    </row>
    <row r="2" spans="1:58" ht="22.9" customHeight="1">
      <c r="A2" s="227" t="s">
        <v>513</v>
      </c>
      <c r="B2" s="227"/>
      <c r="C2" s="227"/>
      <c r="D2" s="254"/>
      <c r="E2" s="254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67"/>
    </row>
    <row r="3" spans="1:58" ht="15" customHeight="1">
      <c r="A3" s="592" t="s">
        <v>514</v>
      </c>
      <c r="B3" s="592"/>
      <c r="C3" s="592"/>
      <c r="D3" s="509"/>
      <c r="E3" s="254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4" spans="1:58" ht="15" customHeight="1"/>
    <row r="5" spans="1:58" s="250" customFormat="1" ht="47.45" customHeight="1">
      <c r="A5" s="255" t="s">
        <v>169</v>
      </c>
      <c r="B5" s="255" t="s">
        <v>518</v>
      </c>
      <c r="C5" s="255" t="s">
        <v>519</v>
      </c>
      <c r="D5" s="256" t="s">
        <v>569</v>
      </c>
      <c r="E5" s="256"/>
      <c r="F5" s="255" t="s">
        <v>520</v>
      </c>
      <c r="G5" s="255" t="s">
        <v>521</v>
      </c>
      <c r="H5" s="255" t="s">
        <v>522</v>
      </c>
      <c r="I5" s="255" t="s">
        <v>523</v>
      </c>
      <c r="J5" s="255" t="s">
        <v>524</v>
      </c>
      <c r="K5" s="255" t="s">
        <v>525</v>
      </c>
      <c r="L5" s="255" t="s">
        <v>526</v>
      </c>
      <c r="M5" s="255" t="s">
        <v>527</v>
      </c>
      <c r="O5" s="255" t="s">
        <v>528</v>
      </c>
      <c r="P5" s="255" t="s">
        <v>529</v>
      </c>
      <c r="Q5" s="255" t="s">
        <v>530</v>
      </c>
      <c r="R5" s="255" t="s">
        <v>531</v>
      </c>
      <c r="S5" s="255" t="s">
        <v>532</v>
      </c>
      <c r="T5" s="255" t="s">
        <v>533</v>
      </c>
      <c r="U5" s="255" t="s">
        <v>534</v>
      </c>
      <c r="V5" s="255" t="s">
        <v>535</v>
      </c>
      <c r="W5" s="255" t="s">
        <v>536</v>
      </c>
      <c r="X5" s="255" t="s">
        <v>537</v>
      </c>
      <c r="Z5" s="255" t="s">
        <v>538</v>
      </c>
      <c r="AA5" s="255" t="s">
        <v>539</v>
      </c>
      <c r="AC5" s="408" t="s">
        <v>540</v>
      </c>
      <c r="AD5" s="414"/>
      <c r="AE5" s="408" t="s">
        <v>541</v>
      </c>
      <c r="AF5" s="255" t="s">
        <v>542</v>
      </c>
      <c r="AG5" s="255" t="s">
        <v>543</v>
      </c>
      <c r="AH5" s="255" t="s">
        <v>544</v>
      </c>
      <c r="AI5" s="255" t="s">
        <v>545</v>
      </c>
      <c r="AJ5" s="255" t="s">
        <v>546</v>
      </c>
      <c r="AK5" s="255" t="s">
        <v>547</v>
      </c>
      <c r="AL5" s="255" t="s">
        <v>548</v>
      </c>
      <c r="AN5" s="255" t="s">
        <v>549</v>
      </c>
      <c r="AO5" s="255" t="s">
        <v>550</v>
      </c>
      <c r="AP5" s="255" t="s">
        <v>551</v>
      </c>
      <c r="AR5" s="255" t="s">
        <v>552</v>
      </c>
      <c r="AS5" s="255" t="s">
        <v>553</v>
      </c>
      <c r="AT5" s="255" t="s">
        <v>554</v>
      </c>
      <c r="AU5" s="255" t="s">
        <v>555</v>
      </c>
      <c r="AV5" s="255" t="s">
        <v>556</v>
      </c>
      <c r="AW5" s="255" t="s">
        <v>557</v>
      </c>
      <c r="AX5" s="255" t="s">
        <v>558</v>
      </c>
      <c r="AY5" s="255" t="s">
        <v>559</v>
      </c>
      <c r="AZ5" s="255" t="s">
        <v>560</v>
      </c>
      <c r="BA5" s="255" t="s">
        <v>561</v>
      </c>
      <c r="BB5" s="255" t="s">
        <v>562</v>
      </c>
      <c r="BC5" s="255" t="s">
        <v>563</v>
      </c>
      <c r="BD5" s="268" t="s">
        <v>564</v>
      </c>
    </row>
    <row r="6" spans="1:58" s="251" customFormat="1" ht="12">
      <c r="A6" s="257" t="s">
        <v>570</v>
      </c>
      <c r="B6" s="258"/>
      <c r="D6" s="259" t="s">
        <v>588</v>
      </c>
      <c r="E6" s="259" t="s">
        <v>572</v>
      </c>
      <c r="G6" s="260"/>
      <c r="H6" s="260"/>
      <c r="I6" s="260"/>
      <c r="P6" s="260"/>
      <c r="Q6" s="260"/>
      <c r="R6" s="260"/>
      <c r="S6" s="260"/>
      <c r="T6" s="260"/>
      <c r="U6" s="260"/>
      <c r="W6" s="260"/>
      <c r="X6" s="260"/>
      <c r="Z6" s="260"/>
      <c r="AA6" s="260"/>
      <c r="AC6" s="415"/>
      <c r="AD6" s="415"/>
      <c r="AE6" s="415"/>
      <c r="AG6" s="260"/>
      <c r="AH6" s="260"/>
      <c r="AI6" s="260"/>
      <c r="AJ6" s="260"/>
      <c r="AL6" s="260"/>
      <c r="AP6" s="260"/>
      <c r="AR6" s="260"/>
      <c r="BB6" s="260"/>
      <c r="BD6" s="269"/>
    </row>
    <row r="7" spans="1:58" ht="15" customHeight="1">
      <c r="A7" s="82" t="s">
        <v>181</v>
      </c>
      <c r="B7" s="140" t="s">
        <v>589</v>
      </c>
      <c r="C7" s="140" t="s">
        <v>573</v>
      </c>
      <c r="D7" s="261">
        <v>0</v>
      </c>
      <c r="E7" s="261">
        <v>0</v>
      </c>
      <c r="F7" s="243">
        <v>0</v>
      </c>
      <c r="G7" s="243">
        <v>0</v>
      </c>
      <c r="H7" s="243">
        <v>0</v>
      </c>
      <c r="I7" s="243">
        <v>0</v>
      </c>
      <c r="J7" s="243">
        <v>1000</v>
      </c>
      <c r="K7" s="243">
        <v>32574.799999999999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20.149999999999999</v>
      </c>
      <c r="AD7" s="410">
        <f t="shared" ref="AD7:AD20" si="0">+AE7/AC7</f>
        <v>32.57468982630273</v>
      </c>
      <c r="AE7" s="410">
        <v>656.38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0</v>
      </c>
      <c r="AM7" s="235"/>
      <c r="AN7" s="243">
        <v>0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552">
        <v>979.85</v>
      </c>
      <c r="BB7" s="243">
        <v>32.574802265652906</v>
      </c>
      <c r="BC7" s="243">
        <v>31918.42</v>
      </c>
      <c r="BD7" s="270" t="s">
        <v>581</v>
      </c>
      <c r="BE7" s="244"/>
      <c r="BF7" s="244"/>
    </row>
    <row r="8" spans="1:58" ht="15" customHeight="1">
      <c r="A8" s="82" t="s">
        <v>203</v>
      </c>
      <c r="B8" s="140" t="s">
        <v>590</v>
      </c>
      <c r="C8" s="140" t="s">
        <v>573</v>
      </c>
      <c r="D8" s="261">
        <v>126.35</v>
      </c>
      <c r="E8" s="261">
        <v>27335.85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77.739999999999995</v>
      </c>
      <c r="AD8" s="410">
        <f t="shared" si="0"/>
        <v>216.34126575765373</v>
      </c>
      <c r="AE8" s="410">
        <v>16818.37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48.61</v>
      </c>
      <c r="AP8" s="243">
        <v>10517.49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</row>
    <row r="9" spans="1:58" ht="15" customHeight="1">
      <c r="A9" s="82" t="s">
        <v>211</v>
      </c>
      <c r="B9" s="140" t="s">
        <v>591</v>
      </c>
      <c r="C9" s="140" t="s">
        <v>573</v>
      </c>
      <c r="D9" s="261">
        <v>240</v>
      </c>
      <c r="E9" s="261">
        <v>13880.94</v>
      </c>
      <c r="F9" s="243">
        <v>0</v>
      </c>
      <c r="G9" s="243">
        <v>0</v>
      </c>
      <c r="H9" s="243">
        <v>0</v>
      </c>
      <c r="I9" s="243">
        <v>0</v>
      </c>
      <c r="J9" s="243">
        <v>2200</v>
      </c>
      <c r="K9" s="243">
        <v>128490.39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100</v>
      </c>
      <c r="R9" s="243">
        <v>5748.23</v>
      </c>
      <c r="S9" s="243">
        <v>0</v>
      </c>
      <c r="T9" s="243">
        <v>0</v>
      </c>
      <c r="U9" s="243">
        <v>0</v>
      </c>
      <c r="V9" s="235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43"/>
      <c r="AC9" s="410">
        <v>2090</v>
      </c>
      <c r="AD9" s="410">
        <f t="shared" si="0"/>
        <v>57.918555023923446</v>
      </c>
      <c r="AE9" s="410">
        <v>121049.78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>
        <v>0</v>
      </c>
      <c r="AM9" s="243"/>
      <c r="AN9" s="243">
        <v>0</v>
      </c>
      <c r="AO9" s="243">
        <v>0</v>
      </c>
      <c r="AP9" s="243">
        <v>0</v>
      </c>
      <c r="AQ9" s="243"/>
      <c r="AR9" s="243">
        <v>0</v>
      </c>
      <c r="AS9" s="243">
        <v>0</v>
      </c>
      <c r="AT9" s="235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547">
        <v>450</v>
      </c>
      <c r="BB9" s="235">
        <v>60.154799312003064</v>
      </c>
      <c r="BC9" s="243">
        <v>27069.78</v>
      </c>
      <c r="BD9" s="270" t="s">
        <v>581</v>
      </c>
      <c r="BE9" s="244"/>
      <c r="BF9" s="244"/>
    </row>
    <row r="10" spans="1:58" ht="15" customHeight="1">
      <c r="A10" s="82" t="s">
        <v>213</v>
      </c>
      <c r="B10" s="140" t="s">
        <v>214</v>
      </c>
      <c r="C10" s="140" t="s">
        <v>573</v>
      </c>
      <c r="D10" s="261">
        <v>80</v>
      </c>
      <c r="E10" s="261">
        <v>10784.77</v>
      </c>
      <c r="F10" s="243">
        <v>5.8</v>
      </c>
      <c r="G10" s="243">
        <v>781.78</v>
      </c>
      <c r="H10" s="243">
        <v>75</v>
      </c>
      <c r="I10" s="243">
        <v>10112.49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35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43"/>
      <c r="AC10" s="410">
        <v>108.8</v>
      </c>
      <c r="AD10" s="410">
        <f t="shared" si="0"/>
        <v>134.83382352941177</v>
      </c>
      <c r="AE10" s="410">
        <v>14669.92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>
        <v>0</v>
      </c>
      <c r="AM10" s="243"/>
      <c r="AN10" s="243">
        <v>0</v>
      </c>
      <c r="AO10" s="243">
        <v>0</v>
      </c>
      <c r="AP10" s="243">
        <v>0</v>
      </c>
      <c r="AQ10" s="243"/>
      <c r="AR10" s="243">
        <v>0</v>
      </c>
      <c r="AS10" s="243">
        <v>0</v>
      </c>
      <c r="AT10" s="235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547">
        <v>52</v>
      </c>
      <c r="BB10" s="243">
        <v>134.79076923076923</v>
      </c>
      <c r="BC10" s="243">
        <v>7009.12</v>
      </c>
      <c r="BD10" s="270" t="s">
        <v>581</v>
      </c>
      <c r="BE10" s="244"/>
      <c r="BF10" s="244"/>
    </row>
    <row r="11" spans="1:58" ht="15" customHeight="1">
      <c r="A11" s="82" t="s">
        <v>239</v>
      </c>
      <c r="B11" s="140" t="s">
        <v>592</v>
      </c>
      <c r="C11" s="140" t="s">
        <v>573</v>
      </c>
      <c r="D11" s="261">
        <v>0</v>
      </c>
      <c r="E11" s="261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3300</v>
      </c>
      <c r="K11" s="243">
        <v>192734.85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35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43"/>
      <c r="AC11" s="410">
        <v>1170.96</v>
      </c>
      <c r="AD11" s="410">
        <f t="shared" si="0"/>
        <v>58.404505704720911</v>
      </c>
      <c r="AE11" s="410">
        <v>68389.34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35">
        <v>0</v>
      </c>
      <c r="AM11" s="243"/>
      <c r="AN11" s="243">
        <v>0</v>
      </c>
      <c r="AO11" s="243">
        <v>1100</v>
      </c>
      <c r="AP11" s="243">
        <v>64244.95</v>
      </c>
      <c r="AQ11" s="243"/>
      <c r="AR11" s="243">
        <v>0</v>
      </c>
      <c r="AS11" s="243">
        <v>0</v>
      </c>
      <c r="AT11" s="235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547">
        <v>1029.04</v>
      </c>
      <c r="BB11" s="235">
        <v>58.404493508512786</v>
      </c>
      <c r="BC11" s="243">
        <v>60100.56</v>
      </c>
      <c r="BD11" s="270" t="s">
        <v>581</v>
      </c>
      <c r="BE11" s="244"/>
      <c r="BF11" s="244"/>
    </row>
    <row r="12" spans="1:58" ht="15" customHeight="1">
      <c r="A12" s="82" t="s">
        <v>275</v>
      </c>
      <c r="B12" s="140" t="s">
        <v>593</v>
      </c>
      <c r="C12" s="140" t="s">
        <v>573</v>
      </c>
      <c r="D12" s="261">
        <v>9000</v>
      </c>
      <c r="E12" s="261">
        <v>74622.63</v>
      </c>
      <c r="F12" s="243">
        <v>0</v>
      </c>
      <c r="G12" s="243">
        <v>0</v>
      </c>
      <c r="H12" s="243">
        <v>0</v>
      </c>
      <c r="I12" s="243">
        <v>0</v>
      </c>
      <c r="J12" s="243">
        <v>112500</v>
      </c>
      <c r="K12" s="243">
        <v>948304.5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35"/>
      <c r="Z12" s="243">
        <v>0</v>
      </c>
      <c r="AA12" s="243">
        <v>0</v>
      </c>
      <c r="AB12" s="235"/>
      <c r="AC12" s="410">
        <v>120040</v>
      </c>
      <c r="AD12" s="410">
        <f t="shared" si="0"/>
        <v>8.4181774408530483</v>
      </c>
      <c r="AE12" s="410">
        <v>1010518.02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547">
        <v>1460</v>
      </c>
      <c r="BB12" s="243">
        <v>8.4994032182788217</v>
      </c>
      <c r="BC12" s="243">
        <v>12409.11</v>
      </c>
      <c r="BD12" s="270" t="s">
        <v>581</v>
      </c>
      <c r="BE12" s="244"/>
      <c r="BF12" s="244"/>
    </row>
    <row r="13" spans="1:58" ht="15" customHeight="1">
      <c r="A13" s="82" t="s">
        <v>277</v>
      </c>
      <c r="B13" s="140" t="s">
        <v>594</v>
      </c>
      <c r="C13" s="140" t="s">
        <v>573</v>
      </c>
      <c r="D13" s="261">
        <v>800</v>
      </c>
      <c r="E13" s="261">
        <v>28000.04</v>
      </c>
      <c r="F13" s="243">
        <v>0</v>
      </c>
      <c r="G13" s="243">
        <v>0</v>
      </c>
      <c r="H13" s="243">
        <v>0</v>
      </c>
      <c r="I13" s="243">
        <v>0</v>
      </c>
      <c r="J13" s="243">
        <v>2100</v>
      </c>
      <c r="K13" s="243">
        <v>59916.78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43"/>
      <c r="AC13" s="410">
        <v>2400</v>
      </c>
      <c r="AD13" s="410">
        <f t="shared" si="0"/>
        <v>32.035420833333333</v>
      </c>
      <c r="AE13" s="410">
        <v>76885.009999999995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43"/>
      <c r="AN13" s="243">
        <v>0</v>
      </c>
      <c r="AO13" s="243">
        <v>0</v>
      </c>
      <c r="AP13" s="243">
        <v>0</v>
      </c>
      <c r="AQ13" s="243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547">
        <v>500</v>
      </c>
      <c r="BB13" s="235">
        <v>22.063509682451585</v>
      </c>
      <c r="BC13" s="243">
        <v>11031.81</v>
      </c>
      <c r="BD13" s="270" t="s">
        <v>581</v>
      </c>
      <c r="BE13" s="244"/>
      <c r="BF13" s="244"/>
    </row>
    <row r="14" spans="1:58" ht="15" customHeight="1">
      <c r="A14" s="82" t="s">
        <v>279</v>
      </c>
      <c r="B14" s="140" t="s">
        <v>595</v>
      </c>
      <c r="C14" s="140" t="s">
        <v>573</v>
      </c>
      <c r="D14" s="261">
        <v>7661</v>
      </c>
      <c r="E14" s="261">
        <v>158257.73000000001</v>
      </c>
      <c r="F14" s="243">
        <v>0</v>
      </c>
      <c r="G14" s="243">
        <v>0</v>
      </c>
      <c r="H14" s="243">
        <v>0</v>
      </c>
      <c r="I14" s="243">
        <v>0</v>
      </c>
      <c r="J14" s="243">
        <v>17600</v>
      </c>
      <c r="K14" s="243">
        <v>365680.64000000001</v>
      </c>
      <c r="L14" s="243">
        <v>0</v>
      </c>
      <c r="M14" s="243">
        <v>0</v>
      </c>
      <c r="N14" s="235"/>
      <c r="O14" s="243">
        <v>0</v>
      </c>
      <c r="P14" s="243">
        <v>0</v>
      </c>
      <c r="Q14" s="243">
        <v>0</v>
      </c>
      <c r="R14" s="243">
        <v>0</v>
      </c>
      <c r="S14" s="243">
        <v>0</v>
      </c>
      <c r="T14" s="243">
        <v>0</v>
      </c>
      <c r="U14" s="243">
        <v>0</v>
      </c>
      <c r="V14" s="243">
        <v>0</v>
      </c>
      <c r="W14" s="243">
        <v>0</v>
      </c>
      <c r="X14" s="243">
        <v>0</v>
      </c>
      <c r="Y14" s="235"/>
      <c r="Z14" s="243">
        <v>0</v>
      </c>
      <c r="AA14" s="243">
        <v>0</v>
      </c>
      <c r="AB14" s="235"/>
      <c r="AC14" s="410">
        <v>21250</v>
      </c>
      <c r="AD14" s="410">
        <f t="shared" si="0"/>
        <v>20.738312000000001</v>
      </c>
      <c r="AE14" s="410">
        <v>440689.13</v>
      </c>
      <c r="AF14" s="243">
        <v>0</v>
      </c>
      <c r="AG14" s="243">
        <v>0</v>
      </c>
      <c r="AH14" s="243">
        <v>0</v>
      </c>
      <c r="AI14" s="243">
        <v>0</v>
      </c>
      <c r="AJ14" s="243">
        <v>0</v>
      </c>
      <c r="AK14" s="243">
        <v>0</v>
      </c>
      <c r="AL14" s="243">
        <v>0</v>
      </c>
      <c r="AM14" s="235"/>
      <c r="AN14" s="243">
        <v>0</v>
      </c>
      <c r="AO14" s="243">
        <v>0</v>
      </c>
      <c r="AP14" s="243">
        <v>0</v>
      </c>
      <c r="AQ14" s="235"/>
      <c r="AR14" s="243">
        <v>0</v>
      </c>
      <c r="AS14" s="243">
        <v>0</v>
      </c>
      <c r="AT14" s="243">
        <v>0</v>
      </c>
      <c r="AU14" s="243">
        <v>0</v>
      </c>
      <c r="AV14" s="243">
        <v>0</v>
      </c>
      <c r="AW14" s="243">
        <v>0</v>
      </c>
      <c r="AX14" s="243">
        <v>0</v>
      </c>
      <c r="AY14" s="243">
        <v>0</v>
      </c>
      <c r="AZ14" s="243">
        <v>0</v>
      </c>
      <c r="BA14" s="547">
        <v>4011</v>
      </c>
      <c r="BB14" s="243">
        <v>20.755189360790059</v>
      </c>
      <c r="BC14" s="243">
        <v>83249.16</v>
      </c>
      <c r="BD14" s="270" t="s">
        <v>581</v>
      </c>
      <c r="BE14" s="244"/>
      <c r="BF14" s="244"/>
    </row>
    <row r="15" spans="1:58" ht="15" customHeight="1">
      <c r="A15" s="82" t="s">
        <v>295</v>
      </c>
      <c r="B15" s="140" t="s">
        <v>296</v>
      </c>
      <c r="C15" s="140" t="s">
        <v>573</v>
      </c>
      <c r="D15" s="261">
        <v>1471</v>
      </c>
      <c r="E15" s="261">
        <v>59113.39</v>
      </c>
      <c r="F15" s="243">
        <v>0</v>
      </c>
      <c r="G15" s="243">
        <v>0</v>
      </c>
      <c r="H15" s="243">
        <v>0</v>
      </c>
      <c r="I15" s="243">
        <v>0</v>
      </c>
      <c r="J15" s="243">
        <v>2850</v>
      </c>
      <c r="K15" s="243">
        <v>125729.46</v>
      </c>
      <c r="L15" s="243">
        <v>0</v>
      </c>
      <c r="M15" s="243">
        <v>0</v>
      </c>
      <c r="N15" s="235"/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X15" s="243">
        <v>0</v>
      </c>
      <c r="Y15" s="243"/>
      <c r="Z15" s="243">
        <v>0</v>
      </c>
      <c r="AA15" s="243">
        <v>0</v>
      </c>
      <c r="AB15" s="243"/>
      <c r="AC15" s="410">
        <v>3259</v>
      </c>
      <c r="AD15" s="410">
        <f t="shared" si="0"/>
        <v>42.341880945075175</v>
      </c>
      <c r="AE15" s="410">
        <v>137992.19</v>
      </c>
      <c r="AF15" s="243">
        <v>0</v>
      </c>
      <c r="AG15" s="243">
        <v>0</v>
      </c>
      <c r="AH15" s="243">
        <v>0</v>
      </c>
      <c r="AI15" s="243">
        <v>0</v>
      </c>
      <c r="AJ15" s="243">
        <v>0</v>
      </c>
      <c r="AK15" s="243">
        <v>0</v>
      </c>
      <c r="AL15" s="243">
        <v>0</v>
      </c>
      <c r="AM15" s="243"/>
      <c r="AN15" s="243">
        <v>0</v>
      </c>
      <c r="AO15" s="243">
        <v>0</v>
      </c>
      <c r="AP15" s="243">
        <v>0</v>
      </c>
      <c r="AQ15" s="243"/>
      <c r="AR15" s="243">
        <v>0</v>
      </c>
      <c r="AS15" s="243">
        <v>0</v>
      </c>
      <c r="AT15" s="243">
        <v>0</v>
      </c>
      <c r="AU15" s="243">
        <v>0</v>
      </c>
      <c r="AV15" s="243">
        <v>0</v>
      </c>
      <c r="AW15" s="243">
        <v>0</v>
      </c>
      <c r="AX15" s="243">
        <v>0</v>
      </c>
      <c r="AY15" s="243">
        <v>0</v>
      </c>
      <c r="AZ15" s="243">
        <v>0</v>
      </c>
      <c r="BA15" s="547">
        <v>1062</v>
      </c>
      <c r="BB15" s="243">
        <v>44.115499058380408</v>
      </c>
      <c r="BC15" s="243">
        <v>46850.66</v>
      </c>
      <c r="BD15" s="270" t="s">
        <v>581</v>
      </c>
      <c r="BE15" s="244"/>
      <c r="BF15" s="244"/>
    </row>
    <row r="16" spans="1:58" ht="15" customHeight="1">
      <c r="A16" s="82" t="s">
        <v>303</v>
      </c>
      <c r="B16" s="140" t="s">
        <v>596</v>
      </c>
      <c r="C16" s="140" t="s">
        <v>573</v>
      </c>
      <c r="D16" s="261">
        <v>1054.28</v>
      </c>
      <c r="E16" s="261">
        <v>14759.8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243">
        <v>0</v>
      </c>
      <c r="L16" s="243">
        <v>1000</v>
      </c>
      <c r="M16" s="243">
        <v>14000</v>
      </c>
      <c r="N16" s="235"/>
      <c r="O16" s="243">
        <v>0</v>
      </c>
      <c r="P16" s="243">
        <v>0</v>
      </c>
      <c r="Q16" s="243">
        <v>601.20000000000005</v>
      </c>
      <c r="R16" s="243">
        <v>8517.1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v>0</v>
      </c>
      <c r="Y16" s="235"/>
      <c r="Z16" s="243">
        <v>0</v>
      </c>
      <c r="AA16" s="243">
        <v>0</v>
      </c>
      <c r="AB16" s="235"/>
      <c r="AC16" s="410">
        <v>1855.48</v>
      </c>
      <c r="AD16" s="410">
        <f t="shared" si="0"/>
        <v>14.054039924978982</v>
      </c>
      <c r="AE16" s="410">
        <v>26076.99</v>
      </c>
      <c r="AF16" s="243">
        <v>0</v>
      </c>
      <c r="AG16" s="243">
        <v>0</v>
      </c>
      <c r="AH16" s="243">
        <v>0</v>
      </c>
      <c r="AI16" s="243">
        <v>0</v>
      </c>
      <c r="AJ16" s="243">
        <v>0</v>
      </c>
      <c r="AK16" s="243">
        <v>0</v>
      </c>
      <c r="AL16" s="243">
        <v>0</v>
      </c>
      <c r="AM16" s="235"/>
      <c r="AN16" s="243">
        <v>0</v>
      </c>
      <c r="AO16" s="243">
        <v>800</v>
      </c>
      <c r="AP16" s="243">
        <v>11200</v>
      </c>
      <c r="AQ16" s="243"/>
      <c r="AR16" s="243">
        <v>0</v>
      </c>
      <c r="AS16" s="243">
        <v>0</v>
      </c>
      <c r="AT16" s="243">
        <v>0</v>
      </c>
      <c r="AU16" s="243">
        <v>0</v>
      </c>
      <c r="AV16" s="243">
        <v>0</v>
      </c>
      <c r="AW16" s="243">
        <v>0</v>
      </c>
      <c r="AX16" s="243">
        <v>0</v>
      </c>
      <c r="AY16" s="243">
        <v>0</v>
      </c>
      <c r="AZ16" s="243">
        <v>0</v>
      </c>
      <c r="BA16" s="243">
        <v>0</v>
      </c>
      <c r="BB16" s="243">
        <v>0</v>
      </c>
      <c r="BC16" s="243">
        <v>0</v>
      </c>
      <c r="BD16" s="270" t="s">
        <v>581</v>
      </c>
      <c r="BE16" s="244"/>
      <c r="BF16" s="244"/>
    </row>
    <row r="17" spans="1:58" ht="15" customHeight="1">
      <c r="A17" s="82" t="s">
        <v>309</v>
      </c>
      <c r="B17" s="140" t="s">
        <v>583</v>
      </c>
      <c r="C17" s="140" t="s">
        <v>573</v>
      </c>
      <c r="D17" s="261">
        <v>108</v>
      </c>
      <c r="E17" s="261">
        <v>1619.36</v>
      </c>
      <c r="F17" s="243">
        <v>0</v>
      </c>
      <c r="G17" s="243">
        <v>0</v>
      </c>
      <c r="H17" s="243">
        <v>432</v>
      </c>
      <c r="I17" s="243">
        <v>6952.5</v>
      </c>
      <c r="J17" s="243">
        <v>0</v>
      </c>
      <c r="K17" s="243">
        <v>0</v>
      </c>
      <c r="L17" s="243">
        <v>0</v>
      </c>
      <c r="M17" s="243">
        <v>0</v>
      </c>
      <c r="N17" s="235"/>
      <c r="O17" s="243">
        <v>0</v>
      </c>
      <c r="P17" s="243">
        <v>0</v>
      </c>
      <c r="Q17" s="243">
        <v>0</v>
      </c>
      <c r="R17" s="243">
        <v>0</v>
      </c>
      <c r="S17" s="243">
        <v>0</v>
      </c>
      <c r="T17" s="243">
        <v>0</v>
      </c>
      <c r="U17" s="243">
        <v>0</v>
      </c>
      <c r="V17" s="243">
        <v>0</v>
      </c>
      <c r="W17" s="243">
        <v>0</v>
      </c>
      <c r="X17" s="243">
        <v>0</v>
      </c>
      <c r="Y17" s="235"/>
      <c r="Z17" s="243">
        <v>0</v>
      </c>
      <c r="AA17" s="243">
        <v>0</v>
      </c>
      <c r="AB17" s="235"/>
      <c r="AC17" s="410">
        <v>492.8</v>
      </c>
      <c r="AD17" s="410">
        <f t="shared" si="0"/>
        <v>15.839082792207792</v>
      </c>
      <c r="AE17" s="410">
        <v>7805.5</v>
      </c>
      <c r="AF17" s="243">
        <v>0</v>
      </c>
      <c r="AG17" s="243">
        <v>0</v>
      </c>
      <c r="AH17" s="243">
        <v>0</v>
      </c>
      <c r="AI17" s="243">
        <v>0</v>
      </c>
      <c r="AJ17" s="243">
        <v>0</v>
      </c>
      <c r="AK17" s="243">
        <v>0</v>
      </c>
      <c r="AL17" s="243">
        <v>0</v>
      </c>
      <c r="AM17" s="235"/>
      <c r="AN17" s="243">
        <v>0</v>
      </c>
      <c r="AO17" s="243">
        <v>0</v>
      </c>
      <c r="AP17" s="243">
        <v>0</v>
      </c>
      <c r="AQ17" s="235"/>
      <c r="AR17" s="243">
        <v>0</v>
      </c>
      <c r="AS17" s="243">
        <v>0</v>
      </c>
      <c r="AT17" s="243">
        <v>0</v>
      </c>
      <c r="AU17" s="243">
        <v>0</v>
      </c>
      <c r="AV17" s="243">
        <v>0</v>
      </c>
      <c r="AW17" s="243">
        <v>0</v>
      </c>
      <c r="AX17" s="243">
        <v>0</v>
      </c>
      <c r="AY17" s="243">
        <v>0</v>
      </c>
      <c r="AZ17" s="243">
        <v>0</v>
      </c>
      <c r="BA17" s="547">
        <v>47.2</v>
      </c>
      <c r="BB17" s="243">
        <v>16.236268683594453</v>
      </c>
      <c r="BC17" s="243">
        <v>766.36</v>
      </c>
      <c r="BD17" s="270" t="s">
        <v>581</v>
      </c>
      <c r="BE17" s="244"/>
      <c r="BF17" s="244"/>
    </row>
    <row r="18" spans="1:58" ht="15" customHeight="1">
      <c r="A18" s="82" t="s">
        <v>313</v>
      </c>
      <c r="B18" s="140" t="s">
        <v>584</v>
      </c>
      <c r="C18" s="140" t="s">
        <v>573</v>
      </c>
      <c r="D18" s="261">
        <v>2000</v>
      </c>
      <c r="E18" s="261">
        <v>123017.93</v>
      </c>
      <c r="F18" s="243">
        <v>0</v>
      </c>
      <c r="G18" s="243">
        <v>0</v>
      </c>
      <c r="H18" s="243">
        <v>12000</v>
      </c>
      <c r="I18" s="243">
        <v>757195</v>
      </c>
      <c r="J18" s="243">
        <v>0</v>
      </c>
      <c r="K18" s="243">
        <v>0</v>
      </c>
      <c r="L18" s="243">
        <v>0</v>
      </c>
      <c r="M18" s="243">
        <v>0</v>
      </c>
      <c r="N18" s="235"/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35"/>
      <c r="Z18" s="243">
        <v>0</v>
      </c>
      <c r="AA18" s="243">
        <v>0</v>
      </c>
      <c r="AB18" s="235"/>
      <c r="AC18" s="410">
        <v>12494.7</v>
      </c>
      <c r="AD18" s="410">
        <f t="shared" si="0"/>
        <v>62.807467966417754</v>
      </c>
      <c r="AE18" s="410">
        <v>784760.47</v>
      </c>
      <c r="AF18" s="243">
        <v>0</v>
      </c>
      <c r="AG18" s="243">
        <v>0</v>
      </c>
      <c r="AH18" s="243">
        <v>0</v>
      </c>
      <c r="AI18" s="243">
        <v>0</v>
      </c>
      <c r="AJ18" s="243">
        <v>0</v>
      </c>
      <c r="AK18" s="243">
        <v>0</v>
      </c>
      <c r="AL18" s="243">
        <v>0</v>
      </c>
      <c r="AM18" s="235"/>
      <c r="AN18" s="243">
        <v>0</v>
      </c>
      <c r="AO18" s="243">
        <v>0</v>
      </c>
      <c r="AP18" s="243">
        <v>0</v>
      </c>
      <c r="AQ18" s="235"/>
      <c r="AR18" s="243">
        <v>0</v>
      </c>
      <c r="AS18" s="243">
        <v>0</v>
      </c>
      <c r="AT18" s="243">
        <v>0</v>
      </c>
      <c r="AU18" s="243">
        <v>0</v>
      </c>
      <c r="AV18" s="243">
        <v>0</v>
      </c>
      <c r="AW18" s="243">
        <v>0</v>
      </c>
      <c r="AX18" s="243">
        <v>0</v>
      </c>
      <c r="AY18" s="243">
        <v>0</v>
      </c>
      <c r="AZ18" s="243">
        <v>0</v>
      </c>
      <c r="BA18" s="547">
        <v>1505.3</v>
      </c>
      <c r="BB18" s="243">
        <v>63.410921411014414</v>
      </c>
      <c r="BC18" s="243">
        <v>95452.46</v>
      </c>
      <c r="BD18" s="270" t="s">
        <v>581</v>
      </c>
      <c r="BE18" s="244"/>
      <c r="BF18" s="244"/>
    </row>
    <row r="19" spans="1:58" ht="15" customHeight="1">
      <c r="A19" s="82" t="s">
        <v>317</v>
      </c>
      <c r="B19" s="140" t="s">
        <v>597</v>
      </c>
      <c r="C19" s="140" t="s">
        <v>573</v>
      </c>
      <c r="D19" s="261">
        <v>1540</v>
      </c>
      <c r="E19" s="261">
        <v>78936.75</v>
      </c>
      <c r="F19" s="243">
        <v>0</v>
      </c>
      <c r="G19" s="243">
        <v>0</v>
      </c>
      <c r="H19" s="243">
        <v>0</v>
      </c>
      <c r="I19" s="243">
        <v>0</v>
      </c>
      <c r="J19" s="243">
        <v>2000</v>
      </c>
      <c r="K19" s="243">
        <v>104642.7</v>
      </c>
      <c r="L19" s="243">
        <v>0</v>
      </c>
      <c r="M19" s="243">
        <v>0</v>
      </c>
      <c r="N19" s="235"/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X19" s="243">
        <v>0</v>
      </c>
      <c r="Y19" s="235"/>
      <c r="Z19" s="243">
        <v>0</v>
      </c>
      <c r="AA19" s="243">
        <v>0</v>
      </c>
      <c r="AB19" s="235"/>
      <c r="AC19" s="410">
        <v>3130</v>
      </c>
      <c r="AD19" s="410">
        <f t="shared" si="0"/>
        <v>51.835463258785943</v>
      </c>
      <c r="AE19" s="410">
        <v>162245</v>
      </c>
      <c r="AF19" s="243">
        <v>0</v>
      </c>
      <c r="AG19" s="243">
        <v>0</v>
      </c>
      <c r="AH19" s="243">
        <v>0</v>
      </c>
      <c r="AI19" s="243">
        <v>0</v>
      </c>
      <c r="AJ19" s="243">
        <v>0</v>
      </c>
      <c r="AK19" s="243">
        <v>0</v>
      </c>
      <c r="AL19" s="243">
        <v>0</v>
      </c>
      <c r="AM19" s="235"/>
      <c r="AN19" s="243">
        <v>0</v>
      </c>
      <c r="AO19" s="243">
        <v>0</v>
      </c>
      <c r="AP19" s="243">
        <v>0</v>
      </c>
      <c r="AQ19" s="235"/>
      <c r="AR19" s="243">
        <v>0</v>
      </c>
      <c r="AS19" s="243">
        <v>0</v>
      </c>
      <c r="AT19" s="243">
        <v>0</v>
      </c>
      <c r="AU19" s="243">
        <v>0</v>
      </c>
      <c r="AV19" s="243">
        <v>0</v>
      </c>
      <c r="AW19" s="243">
        <v>0</v>
      </c>
      <c r="AX19" s="243">
        <v>0</v>
      </c>
      <c r="AY19" s="243">
        <v>0</v>
      </c>
      <c r="AZ19" s="243">
        <v>0</v>
      </c>
      <c r="BA19" s="547">
        <v>410</v>
      </c>
      <c r="BB19" s="243">
        <v>52.035243902439021</v>
      </c>
      <c r="BC19" s="243">
        <v>21334.45</v>
      </c>
      <c r="BD19" s="270" t="s">
        <v>581</v>
      </c>
      <c r="BE19" s="244"/>
      <c r="BF19" s="244"/>
    </row>
    <row r="20" spans="1:58" ht="15" customHeight="1">
      <c r="A20" s="82" t="s">
        <v>321</v>
      </c>
      <c r="B20" s="140" t="s">
        <v>598</v>
      </c>
      <c r="C20" s="140" t="s">
        <v>573</v>
      </c>
      <c r="D20" s="261">
        <v>767</v>
      </c>
      <c r="E20" s="261">
        <v>59550.23</v>
      </c>
      <c r="F20" s="243">
        <v>0</v>
      </c>
      <c r="G20" s="243">
        <v>0</v>
      </c>
      <c r="H20" s="243">
        <v>0</v>
      </c>
      <c r="I20" s="243">
        <v>0</v>
      </c>
      <c r="J20" s="243">
        <v>1100</v>
      </c>
      <c r="K20" s="243">
        <v>88234.3</v>
      </c>
      <c r="L20" s="243">
        <v>0</v>
      </c>
      <c r="M20" s="243">
        <v>0</v>
      </c>
      <c r="N20" s="235"/>
      <c r="O20" s="243">
        <v>0</v>
      </c>
      <c r="P20" s="243">
        <v>0</v>
      </c>
      <c r="Q20" s="243">
        <v>0</v>
      </c>
      <c r="R20" s="243">
        <v>0</v>
      </c>
      <c r="S20" s="243">
        <v>0</v>
      </c>
      <c r="T20" s="243">
        <v>0</v>
      </c>
      <c r="U20" s="243">
        <v>0</v>
      </c>
      <c r="V20" s="243">
        <v>0</v>
      </c>
      <c r="W20" s="243">
        <v>0</v>
      </c>
      <c r="X20" s="243">
        <v>0</v>
      </c>
      <c r="Y20" s="235"/>
      <c r="Z20" s="243">
        <v>0</v>
      </c>
      <c r="AA20" s="243">
        <v>0</v>
      </c>
      <c r="AB20" s="235"/>
      <c r="AC20" s="410">
        <v>407.34</v>
      </c>
      <c r="AD20" s="410">
        <f t="shared" si="0"/>
        <v>77.639858594785693</v>
      </c>
      <c r="AE20" s="410">
        <v>31625.82</v>
      </c>
      <c r="AF20" s="243">
        <v>0</v>
      </c>
      <c r="AG20" s="243">
        <v>0</v>
      </c>
      <c r="AH20" s="243">
        <v>0</v>
      </c>
      <c r="AI20" s="243">
        <v>0</v>
      </c>
      <c r="AJ20" s="243">
        <v>0</v>
      </c>
      <c r="AK20" s="243">
        <v>0</v>
      </c>
      <c r="AL20" s="243">
        <v>0</v>
      </c>
      <c r="AM20" s="235"/>
      <c r="AN20" s="243">
        <v>0</v>
      </c>
      <c r="AO20" s="243">
        <v>1459.66</v>
      </c>
      <c r="AP20" s="243">
        <v>116158.75</v>
      </c>
      <c r="AQ20" s="235"/>
      <c r="AR20" s="243">
        <v>0</v>
      </c>
      <c r="AS20" s="243">
        <v>0</v>
      </c>
      <c r="AT20" s="243">
        <v>0</v>
      </c>
      <c r="AU20" s="243">
        <v>0</v>
      </c>
      <c r="AV20" s="243">
        <v>0</v>
      </c>
      <c r="AW20" s="243">
        <v>0</v>
      </c>
      <c r="AX20" s="243">
        <v>0</v>
      </c>
      <c r="AY20" s="243">
        <v>0</v>
      </c>
      <c r="AZ20" s="243">
        <v>0</v>
      </c>
      <c r="BA20" s="243">
        <v>0</v>
      </c>
      <c r="BB20" s="243">
        <v>0</v>
      </c>
      <c r="BC20" s="243">
        <v>0</v>
      </c>
      <c r="BD20" s="270" t="s">
        <v>581</v>
      </c>
      <c r="BE20" s="244"/>
      <c r="BF20" s="244"/>
    </row>
    <row r="21" spans="1:58" ht="15" customHeight="1">
      <c r="A21" s="82" t="s">
        <v>323</v>
      </c>
      <c r="B21" s="140" t="s">
        <v>324</v>
      </c>
      <c r="C21" s="140" t="s">
        <v>573</v>
      </c>
      <c r="D21" s="261">
        <v>0</v>
      </c>
      <c r="E21" s="261">
        <v>0</v>
      </c>
      <c r="F21" s="243">
        <v>0</v>
      </c>
      <c r="G21" s="243">
        <v>0</v>
      </c>
      <c r="H21" s="243">
        <v>0</v>
      </c>
      <c r="I21" s="243">
        <v>0</v>
      </c>
      <c r="J21" s="243">
        <v>0</v>
      </c>
      <c r="K21" s="243">
        <v>0</v>
      </c>
      <c r="L21" s="243">
        <v>0</v>
      </c>
      <c r="M21" s="243">
        <v>0</v>
      </c>
      <c r="N21" s="235"/>
      <c r="O21" s="243">
        <v>0</v>
      </c>
      <c r="P21" s="243">
        <v>0</v>
      </c>
      <c r="Q21" s="243">
        <v>0</v>
      </c>
      <c r="R21" s="243">
        <v>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v>0</v>
      </c>
      <c r="Y21" s="235"/>
      <c r="Z21" s="243">
        <v>0</v>
      </c>
      <c r="AA21" s="243">
        <v>0</v>
      </c>
      <c r="AB21" s="235"/>
      <c r="AC21" s="410">
        <v>0</v>
      </c>
      <c r="AD21" s="410"/>
      <c r="AE21" s="410">
        <v>0</v>
      </c>
      <c r="AF21" s="243">
        <v>0</v>
      </c>
      <c r="AG21" s="243">
        <v>0</v>
      </c>
      <c r="AH21" s="243">
        <v>0</v>
      </c>
      <c r="AI21" s="243">
        <v>0</v>
      </c>
      <c r="AJ21" s="243">
        <v>0</v>
      </c>
      <c r="AK21" s="243">
        <v>0</v>
      </c>
      <c r="AL21" s="243">
        <v>0</v>
      </c>
      <c r="AM21" s="235"/>
      <c r="AN21" s="243">
        <v>0</v>
      </c>
      <c r="AO21" s="243">
        <v>0</v>
      </c>
      <c r="AP21" s="243">
        <v>0</v>
      </c>
      <c r="AQ21" s="235"/>
      <c r="AR21" s="243">
        <v>0</v>
      </c>
      <c r="AS21" s="243">
        <v>0</v>
      </c>
      <c r="AT21" s="243">
        <v>0</v>
      </c>
      <c r="AU21" s="243">
        <v>0</v>
      </c>
      <c r="AV21" s="243">
        <v>0</v>
      </c>
      <c r="AW21" s="243">
        <v>0</v>
      </c>
      <c r="AX21" s="243">
        <v>0</v>
      </c>
      <c r="AY21" s="243">
        <v>0</v>
      </c>
      <c r="AZ21" s="243">
        <v>0</v>
      </c>
      <c r="BA21" s="243">
        <v>0</v>
      </c>
      <c r="BB21" s="243">
        <v>20</v>
      </c>
      <c r="BC21" s="243">
        <v>0.08</v>
      </c>
      <c r="BD21" s="270" t="s">
        <v>581</v>
      </c>
      <c r="BE21" s="244"/>
      <c r="BF21" s="244"/>
    </row>
    <row r="22" spans="1:58" ht="15" customHeight="1">
      <c r="A22" s="82" t="s">
        <v>338</v>
      </c>
      <c r="B22" s="140" t="s">
        <v>599</v>
      </c>
      <c r="C22" s="140" t="s">
        <v>573</v>
      </c>
      <c r="D22" s="261">
        <v>13</v>
      </c>
      <c r="E22" s="261">
        <v>7280.02</v>
      </c>
      <c r="F22" s="243">
        <v>0</v>
      </c>
      <c r="G22" s="243">
        <v>0</v>
      </c>
      <c r="H22" s="243">
        <v>0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35"/>
      <c r="O22" s="243">
        <v>0</v>
      </c>
      <c r="P22" s="243">
        <v>0</v>
      </c>
      <c r="Q22" s="243">
        <v>0</v>
      </c>
      <c r="R22" s="243">
        <v>0</v>
      </c>
      <c r="S22" s="243">
        <v>0</v>
      </c>
      <c r="T22" s="243">
        <v>0</v>
      </c>
      <c r="U22" s="243">
        <v>0</v>
      </c>
      <c r="V22" s="243">
        <v>0</v>
      </c>
      <c r="W22" s="243">
        <v>0</v>
      </c>
      <c r="X22" s="243">
        <v>0</v>
      </c>
      <c r="Y22" s="235"/>
      <c r="Z22" s="243">
        <v>0</v>
      </c>
      <c r="AA22" s="243">
        <v>0</v>
      </c>
      <c r="AB22" s="235"/>
      <c r="AC22" s="410">
        <v>0</v>
      </c>
      <c r="AD22" s="410"/>
      <c r="AE22" s="410">
        <v>0</v>
      </c>
      <c r="AF22" s="243">
        <v>0</v>
      </c>
      <c r="AG22" s="243">
        <v>0</v>
      </c>
      <c r="AH22" s="243">
        <v>0</v>
      </c>
      <c r="AI22" s="243">
        <v>0</v>
      </c>
      <c r="AJ22" s="243">
        <v>0</v>
      </c>
      <c r="AK22" s="243">
        <v>0</v>
      </c>
      <c r="AL22" s="243">
        <v>0</v>
      </c>
      <c r="AM22" s="235"/>
      <c r="AN22" s="243">
        <v>0</v>
      </c>
      <c r="AO22" s="243">
        <v>0</v>
      </c>
      <c r="AP22" s="243">
        <v>0</v>
      </c>
      <c r="AQ22" s="235"/>
      <c r="AR22" s="243">
        <v>0</v>
      </c>
      <c r="AS22" s="243">
        <v>0</v>
      </c>
      <c r="AT22" s="243">
        <v>0</v>
      </c>
      <c r="AU22" s="243">
        <v>0</v>
      </c>
      <c r="AV22" s="243">
        <v>0</v>
      </c>
      <c r="AW22" s="243">
        <v>0</v>
      </c>
      <c r="AX22" s="243">
        <v>0</v>
      </c>
      <c r="AY22" s="243">
        <v>0</v>
      </c>
      <c r="AZ22" s="243">
        <v>0</v>
      </c>
      <c r="BA22" s="547">
        <v>13</v>
      </c>
      <c r="BB22" s="243">
        <v>560.00153846153842</v>
      </c>
      <c r="BC22" s="243">
        <v>7280.02</v>
      </c>
      <c r="BD22" s="270" t="s">
        <v>581</v>
      </c>
      <c r="BE22" s="244"/>
      <c r="BF22" s="244"/>
    </row>
    <row r="23" spans="1:58" ht="15" customHeight="1">
      <c r="A23" s="82" t="s">
        <v>344</v>
      </c>
      <c r="B23" s="140" t="s">
        <v>600</v>
      </c>
      <c r="C23" s="140" t="s">
        <v>573</v>
      </c>
      <c r="D23" s="261">
        <v>286.5</v>
      </c>
      <c r="E23" s="261">
        <v>13877.33</v>
      </c>
      <c r="F23" s="243">
        <v>0</v>
      </c>
      <c r="G23" s="243">
        <v>0</v>
      </c>
      <c r="H23" s="243">
        <v>0</v>
      </c>
      <c r="I23" s="243">
        <v>0</v>
      </c>
      <c r="J23" s="243">
        <v>900</v>
      </c>
      <c r="K23" s="243">
        <v>47379.69</v>
      </c>
      <c r="L23" s="243">
        <v>0</v>
      </c>
      <c r="M23" s="243">
        <v>0</v>
      </c>
      <c r="N23" s="235"/>
      <c r="O23" s="243">
        <v>0</v>
      </c>
      <c r="P23" s="243">
        <v>0</v>
      </c>
      <c r="Q23" s="243">
        <v>400</v>
      </c>
      <c r="R23" s="243">
        <v>19722.72</v>
      </c>
      <c r="S23" s="243">
        <v>0</v>
      </c>
      <c r="T23" s="243">
        <v>0</v>
      </c>
      <c r="U23" s="243">
        <v>0</v>
      </c>
      <c r="V23" s="243">
        <v>0</v>
      </c>
      <c r="W23" s="243">
        <v>0</v>
      </c>
      <c r="X23" s="243">
        <v>0</v>
      </c>
      <c r="Y23" s="235"/>
      <c r="Z23" s="243">
        <v>0</v>
      </c>
      <c r="AA23" s="243">
        <v>0</v>
      </c>
      <c r="AB23" s="235"/>
      <c r="AC23" s="410">
        <v>1090.7</v>
      </c>
      <c r="AD23" s="410">
        <f>+AE23/AC23</f>
        <v>50.317319152837626</v>
      </c>
      <c r="AE23" s="410">
        <v>54881.1</v>
      </c>
      <c r="AF23" s="243">
        <v>0</v>
      </c>
      <c r="AG23" s="243">
        <v>0</v>
      </c>
      <c r="AH23" s="243">
        <v>0</v>
      </c>
      <c r="AI23" s="243">
        <v>0</v>
      </c>
      <c r="AJ23" s="243">
        <v>0</v>
      </c>
      <c r="AK23" s="243">
        <v>0</v>
      </c>
      <c r="AL23" s="243">
        <v>0</v>
      </c>
      <c r="AM23" s="235"/>
      <c r="AN23" s="243">
        <v>0</v>
      </c>
      <c r="AO23" s="243">
        <v>0</v>
      </c>
      <c r="AP23" s="243">
        <v>0</v>
      </c>
      <c r="AQ23" s="235"/>
      <c r="AR23" s="243">
        <v>0</v>
      </c>
      <c r="AS23" s="243">
        <v>0</v>
      </c>
      <c r="AT23" s="243">
        <v>0</v>
      </c>
      <c r="AU23" s="243">
        <v>0</v>
      </c>
      <c r="AV23" s="243">
        <v>0</v>
      </c>
      <c r="AW23" s="243">
        <v>0</v>
      </c>
      <c r="AX23" s="243">
        <v>0</v>
      </c>
      <c r="AY23" s="243">
        <v>0</v>
      </c>
      <c r="AZ23" s="243">
        <v>0</v>
      </c>
      <c r="BA23" s="547">
        <v>495.8</v>
      </c>
      <c r="BB23" s="243">
        <v>52.639801757454215</v>
      </c>
      <c r="BC23" s="243">
        <v>26098.639999999999</v>
      </c>
      <c r="BD23" s="270" t="s">
        <v>581</v>
      </c>
      <c r="BE23" s="244"/>
      <c r="BF23" s="244"/>
    </row>
    <row r="24" spans="1:58" ht="15" customHeight="1">
      <c r="A24" s="82" t="s">
        <v>346</v>
      </c>
      <c r="B24" s="140" t="s">
        <v>601</v>
      </c>
      <c r="C24" s="140" t="s">
        <v>573</v>
      </c>
      <c r="D24" s="261">
        <v>903.29</v>
      </c>
      <c r="E24" s="261">
        <v>25097.81</v>
      </c>
      <c r="F24" s="243">
        <v>0</v>
      </c>
      <c r="G24" s="243">
        <v>0</v>
      </c>
      <c r="H24" s="243">
        <v>0</v>
      </c>
      <c r="I24" s="243">
        <v>0</v>
      </c>
      <c r="J24" s="243">
        <v>2000</v>
      </c>
      <c r="K24" s="243">
        <v>60426.400000000001</v>
      </c>
      <c r="L24" s="243">
        <v>0</v>
      </c>
      <c r="M24" s="243">
        <v>0</v>
      </c>
      <c r="N24" s="235"/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X24" s="243">
        <v>0</v>
      </c>
      <c r="Y24" s="235"/>
      <c r="Z24" s="243">
        <v>0</v>
      </c>
      <c r="AA24" s="243">
        <v>0</v>
      </c>
      <c r="AB24" s="235"/>
      <c r="AC24" s="410">
        <v>1781.29</v>
      </c>
      <c r="AD24" s="410">
        <f>+AE24/AC24</f>
        <v>28.016027710254928</v>
      </c>
      <c r="AE24" s="410">
        <v>49904.67</v>
      </c>
      <c r="AF24" s="243">
        <v>0</v>
      </c>
      <c r="AG24" s="243">
        <v>0</v>
      </c>
      <c r="AH24" s="243">
        <v>0</v>
      </c>
      <c r="AI24" s="243">
        <v>0</v>
      </c>
      <c r="AJ24" s="243">
        <v>0</v>
      </c>
      <c r="AK24" s="243">
        <v>0</v>
      </c>
      <c r="AL24" s="243">
        <v>0</v>
      </c>
      <c r="AM24" s="235"/>
      <c r="AN24" s="243">
        <v>0</v>
      </c>
      <c r="AO24" s="243">
        <v>0</v>
      </c>
      <c r="AP24" s="243">
        <v>0</v>
      </c>
      <c r="AQ24" s="235"/>
      <c r="AR24" s="243">
        <v>0</v>
      </c>
      <c r="AS24" s="243">
        <v>0</v>
      </c>
      <c r="AT24" s="243">
        <v>0</v>
      </c>
      <c r="AU24" s="243">
        <v>0</v>
      </c>
      <c r="AV24" s="243">
        <v>0</v>
      </c>
      <c r="AW24" s="243">
        <v>0</v>
      </c>
      <c r="AX24" s="243">
        <v>0</v>
      </c>
      <c r="AY24" s="243">
        <v>0</v>
      </c>
      <c r="AZ24" s="243">
        <v>0</v>
      </c>
      <c r="BA24" s="547">
        <v>1122</v>
      </c>
      <c r="BB24" s="243">
        <v>31.746470588235294</v>
      </c>
      <c r="BC24" s="243">
        <v>35619.54</v>
      </c>
      <c r="BD24" s="270" t="s">
        <v>581</v>
      </c>
      <c r="BE24" s="244"/>
      <c r="BF24" s="244"/>
    </row>
    <row r="25" spans="1:58" ht="15" customHeight="1">
      <c r="A25" s="82" t="s">
        <v>348</v>
      </c>
      <c r="B25" s="140" t="s">
        <v>602</v>
      </c>
      <c r="C25" s="140" t="s">
        <v>573</v>
      </c>
      <c r="D25" s="261">
        <v>1062</v>
      </c>
      <c r="E25" s="261">
        <v>73286.820000000007</v>
      </c>
      <c r="F25" s="243">
        <v>0</v>
      </c>
      <c r="G25" s="243">
        <v>0</v>
      </c>
      <c r="H25" s="243">
        <v>0</v>
      </c>
      <c r="I25" s="243">
        <v>0</v>
      </c>
      <c r="J25" s="243">
        <v>2000</v>
      </c>
      <c r="K25" s="243">
        <v>142859.9</v>
      </c>
      <c r="L25" s="243">
        <v>0</v>
      </c>
      <c r="M25" s="243">
        <v>0</v>
      </c>
      <c r="N25" s="235"/>
      <c r="O25" s="243">
        <v>0</v>
      </c>
      <c r="P25" s="243">
        <v>0</v>
      </c>
      <c r="Q25" s="243">
        <v>0</v>
      </c>
      <c r="R25" s="243">
        <v>0</v>
      </c>
      <c r="S25" s="243">
        <v>0</v>
      </c>
      <c r="T25" s="243">
        <v>0</v>
      </c>
      <c r="U25" s="243">
        <v>0</v>
      </c>
      <c r="V25" s="243">
        <v>0</v>
      </c>
      <c r="W25" s="243">
        <v>0</v>
      </c>
      <c r="X25" s="243">
        <v>0</v>
      </c>
      <c r="Y25" s="235"/>
      <c r="Z25" s="243">
        <v>0</v>
      </c>
      <c r="AA25" s="243">
        <v>0</v>
      </c>
      <c r="AB25" s="235"/>
      <c r="AC25" s="410">
        <v>2259</v>
      </c>
      <c r="AD25" s="410">
        <f>+AE25/AC25</f>
        <v>69.839849490925189</v>
      </c>
      <c r="AE25" s="410">
        <v>157768.22</v>
      </c>
      <c r="AF25" s="243">
        <v>0</v>
      </c>
      <c r="AG25" s="243">
        <v>0</v>
      </c>
      <c r="AH25" s="243">
        <v>0</v>
      </c>
      <c r="AI25" s="243">
        <v>0</v>
      </c>
      <c r="AJ25" s="243">
        <v>0</v>
      </c>
      <c r="AK25" s="243">
        <v>0</v>
      </c>
      <c r="AL25" s="243">
        <v>0</v>
      </c>
      <c r="AM25" s="235"/>
      <c r="AN25" s="243">
        <v>0</v>
      </c>
      <c r="AO25" s="243">
        <v>0</v>
      </c>
      <c r="AP25" s="243">
        <v>0</v>
      </c>
      <c r="AQ25" s="235"/>
      <c r="AR25" s="243">
        <v>0</v>
      </c>
      <c r="AS25" s="243">
        <v>0</v>
      </c>
      <c r="AT25" s="243">
        <v>0</v>
      </c>
      <c r="AU25" s="243">
        <v>0</v>
      </c>
      <c r="AV25" s="243">
        <v>0</v>
      </c>
      <c r="AW25" s="243">
        <v>0</v>
      </c>
      <c r="AX25" s="243">
        <v>0</v>
      </c>
      <c r="AY25" s="243">
        <v>0</v>
      </c>
      <c r="AZ25" s="243">
        <v>0</v>
      </c>
      <c r="BA25" s="547">
        <v>803</v>
      </c>
      <c r="BB25" s="243">
        <v>72.700833117163796</v>
      </c>
      <c r="BC25" s="243">
        <v>58378.5</v>
      </c>
      <c r="BD25" s="270" t="s">
        <v>581</v>
      </c>
      <c r="BE25" s="244"/>
      <c r="BF25" s="244"/>
    </row>
    <row r="26" spans="1:58" ht="15" customHeight="1">
      <c r="A26" s="82" t="s">
        <v>350</v>
      </c>
      <c r="B26" s="140" t="s">
        <v>603</v>
      </c>
      <c r="C26" s="140" t="s">
        <v>573</v>
      </c>
      <c r="D26" s="261">
        <v>1618.39</v>
      </c>
      <c r="E26" s="261">
        <v>86203.520000000004</v>
      </c>
      <c r="F26" s="243">
        <v>0</v>
      </c>
      <c r="G26" s="243">
        <v>0</v>
      </c>
      <c r="H26" s="243">
        <v>0</v>
      </c>
      <c r="I26" s="243">
        <v>0</v>
      </c>
      <c r="J26" s="243">
        <v>0</v>
      </c>
      <c r="K26" s="243">
        <v>0</v>
      </c>
      <c r="L26" s="243">
        <v>0</v>
      </c>
      <c r="M26" s="243">
        <v>0</v>
      </c>
      <c r="N26" s="235"/>
      <c r="O26" s="243">
        <v>0</v>
      </c>
      <c r="P26" s="243">
        <v>0</v>
      </c>
      <c r="Q26" s="243">
        <v>0</v>
      </c>
      <c r="R26" s="243">
        <v>0</v>
      </c>
      <c r="S26" s="243">
        <v>0</v>
      </c>
      <c r="T26" s="243">
        <v>0</v>
      </c>
      <c r="U26" s="243">
        <v>0</v>
      </c>
      <c r="V26" s="243">
        <v>0</v>
      </c>
      <c r="W26" s="243">
        <v>0</v>
      </c>
      <c r="X26" s="243">
        <v>0</v>
      </c>
      <c r="Y26" s="235"/>
      <c r="Z26" s="243">
        <v>0</v>
      </c>
      <c r="AA26" s="243">
        <v>0</v>
      </c>
      <c r="AB26" s="235"/>
      <c r="AC26" s="410">
        <v>720.84</v>
      </c>
      <c r="AD26" s="410">
        <f>+AE26/AC26</f>
        <v>52.941651406692188</v>
      </c>
      <c r="AE26" s="410">
        <v>38162.46</v>
      </c>
      <c r="AF26" s="243">
        <v>0</v>
      </c>
      <c r="AG26" s="243">
        <v>0</v>
      </c>
      <c r="AH26" s="243">
        <v>0</v>
      </c>
      <c r="AI26" s="243">
        <v>0</v>
      </c>
      <c r="AJ26" s="243">
        <v>0</v>
      </c>
      <c r="AK26" s="243">
        <v>0</v>
      </c>
      <c r="AL26" s="243">
        <v>0</v>
      </c>
      <c r="AM26" s="235"/>
      <c r="AN26" s="243">
        <v>0</v>
      </c>
      <c r="AO26" s="243">
        <v>897.55</v>
      </c>
      <c r="AP26" s="243">
        <v>48041.05</v>
      </c>
      <c r="AQ26" s="235"/>
      <c r="AR26" s="243">
        <v>0</v>
      </c>
      <c r="AS26" s="243">
        <v>0</v>
      </c>
      <c r="AT26" s="243">
        <v>0</v>
      </c>
      <c r="AU26" s="243">
        <v>0</v>
      </c>
      <c r="AV26" s="243">
        <v>0</v>
      </c>
      <c r="AW26" s="243">
        <v>0</v>
      </c>
      <c r="AX26" s="243">
        <v>0</v>
      </c>
      <c r="AY26" s="243">
        <v>0</v>
      </c>
      <c r="AZ26" s="243">
        <v>0</v>
      </c>
      <c r="BA26" s="243">
        <v>0</v>
      </c>
      <c r="BB26" s="243">
        <v>0</v>
      </c>
      <c r="BC26" s="243">
        <v>0</v>
      </c>
      <c r="BD26" s="270" t="s">
        <v>581</v>
      </c>
      <c r="BE26" s="244"/>
      <c r="BF26" s="244"/>
    </row>
    <row r="27" spans="1:58" ht="15" customHeight="1">
      <c r="A27" s="82"/>
      <c r="B27" s="140"/>
      <c r="C27" s="140"/>
      <c r="D27" s="261"/>
      <c r="E27" s="261"/>
      <c r="F27" s="243"/>
      <c r="G27" s="243"/>
      <c r="H27" s="243"/>
      <c r="I27" s="243"/>
      <c r="J27" s="243"/>
      <c r="K27" s="243"/>
      <c r="L27" s="243"/>
      <c r="M27" s="243"/>
      <c r="N27" s="235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35"/>
      <c r="Z27" s="243"/>
      <c r="AA27" s="243"/>
      <c r="AB27" s="235"/>
      <c r="AC27" s="410"/>
      <c r="AD27" s="410"/>
      <c r="AE27" s="410"/>
      <c r="AF27" s="243"/>
      <c r="AG27" s="243"/>
      <c r="AH27" s="243"/>
      <c r="AI27" s="243"/>
      <c r="AJ27" s="243"/>
      <c r="AK27" s="243"/>
      <c r="AL27" s="243"/>
      <c r="AM27" s="235"/>
      <c r="AN27" s="243"/>
      <c r="AO27" s="243"/>
      <c r="AP27" s="243"/>
      <c r="AQ27" s="235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70"/>
      <c r="BE27" s="244"/>
    </row>
    <row r="28" spans="1:58" ht="15" customHeight="1">
      <c r="A28" s="82"/>
      <c r="B28" s="140"/>
      <c r="C28" s="140"/>
      <c r="D28" s="261"/>
      <c r="E28" s="261"/>
      <c r="F28" s="243"/>
      <c r="G28" s="243"/>
      <c r="H28" s="243"/>
      <c r="I28" s="243"/>
      <c r="J28" s="243"/>
      <c r="K28" s="243"/>
      <c r="L28" s="243"/>
      <c r="M28" s="243"/>
      <c r="N28" s="235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35"/>
      <c r="Z28" s="243"/>
      <c r="AA28" s="243"/>
      <c r="AB28" s="235"/>
      <c r="AC28" s="410"/>
      <c r="AD28" s="410"/>
      <c r="AE28" s="410"/>
      <c r="AF28" s="243"/>
      <c r="AG28" s="243"/>
      <c r="AH28" s="243"/>
      <c r="AI28" s="243"/>
      <c r="AJ28" s="243"/>
      <c r="AK28" s="243"/>
      <c r="AL28" s="243"/>
      <c r="AM28" s="235"/>
      <c r="AN28" s="243"/>
      <c r="AO28" s="243"/>
      <c r="AP28" s="243"/>
      <c r="AQ28" s="235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3"/>
      <c r="BD28" s="270"/>
      <c r="BE28" s="244"/>
    </row>
    <row r="29" spans="1:58" ht="15" customHeight="1">
      <c r="A29" s="82"/>
      <c r="B29" s="140"/>
      <c r="C29" s="140"/>
      <c r="D29" s="261"/>
      <c r="E29" s="261"/>
      <c r="F29" s="243"/>
      <c r="G29" s="243"/>
      <c r="H29" s="243"/>
      <c r="I29" s="243"/>
      <c r="J29" s="243"/>
      <c r="K29" s="243"/>
      <c r="L29" s="243"/>
      <c r="M29" s="243"/>
      <c r="N29" s="235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35"/>
      <c r="Z29" s="243"/>
      <c r="AA29" s="243"/>
      <c r="AB29" s="235"/>
      <c r="AC29" s="410"/>
      <c r="AD29" s="410"/>
      <c r="AE29" s="410"/>
      <c r="AF29" s="243"/>
      <c r="AG29" s="243"/>
      <c r="AH29" s="243"/>
      <c r="AI29" s="243"/>
      <c r="AJ29" s="243"/>
      <c r="AK29" s="243"/>
      <c r="AL29" s="243"/>
      <c r="AM29" s="235"/>
      <c r="AN29" s="243"/>
      <c r="AO29" s="243"/>
      <c r="AP29" s="243"/>
      <c r="AQ29" s="235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70"/>
      <c r="BE29" s="244"/>
    </row>
    <row r="30" spans="1:58" s="223" customFormat="1" ht="15" customHeight="1">
      <c r="A30" s="263"/>
      <c r="B30" s="231" t="s">
        <v>36</v>
      </c>
      <c r="C30" s="231"/>
      <c r="D30" s="264">
        <f>SUM(D7:D29)</f>
        <v>28730.809999999998</v>
      </c>
      <c r="E30" s="264">
        <f>SUM(E7:E29)</f>
        <v>855624.91999999993</v>
      </c>
      <c r="F30" s="265">
        <f>SUM(F7:F29)</f>
        <v>5.8</v>
      </c>
      <c r="G30" s="542">
        <f>SUM(G7:G29)</f>
        <v>781.78</v>
      </c>
      <c r="H30" s="265">
        <f t="shared" ref="H30:BC30" si="1">SUM(H7:H29)</f>
        <v>12507</v>
      </c>
      <c r="I30" s="542">
        <f t="shared" si="1"/>
        <v>774259.99</v>
      </c>
      <c r="J30" s="265">
        <f t="shared" si="1"/>
        <v>149550</v>
      </c>
      <c r="K30" s="542">
        <f t="shared" si="1"/>
        <v>2296974.4099999997</v>
      </c>
      <c r="L30" s="265">
        <f t="shared" si="1"/>
        <v>1000</v>
      </c>
      <c r="M30" s="553">
        <f t="shared" si="1"/>
        <v>14000</v>
      </c>
      <c r="N30" s="265">
        <f t="shared" si="1"/>
        <v>0</v>
      </c>
      <c r="O30" s="265">
        <f t="shared" si="1"/>
        <v>0</v>
      </c>
      <c r="P30" s="265">
        <f t="shared" si="1"/>
        <v>0</v>
      </c>
      <c r="Q30" s="265">
        <f t="shared" si="1"/>
        <v>1101.2</v>
      </c>
      <c r="R30" s="542">
        <f t="shared" si="1"/>
        <v>33988.050000000003</v>
      </c>
      <c r="S30" s="265">
        <f t="shared" si="1"/>
        <v>0</v>
      </c>
      <c r="T30" s="553">
        <f t="shared" si="1"/>
        <v>0</v>
      </c>
      <c r="U30" s="265">
        <f t="shared" si="1"/>
        <v>0</v>
      </c>
      <c r="V30" s="265">
        <f t="shared" si="1"/>
        <v>0</v>
      </c>
      <c r="W30" s="265">
        <f t="shared" si="1"/>
        <v>0</v>
      </c>
      <c r="X30" s="265">
        <f t="shared" si="1"/>
        <v>0</v>
      </c>
      <c r="Y30" s="265">
        <f t="shared" si="1"/>
        <v>0</v>
      </c>
      <c r="Z30" s="265">
        <f t="shared" si="1"/>
        <v>0</v>
      </c>
      <c r="AA30" s="265">
        <f t="shared" si="1"/>
        <v>0</v>
      </c>
      <c r="AB30" s="265">
        <f t="shared" si="1"/>
        <v>0</v>
      </c>
      <c r="AC30" s="265">
        <f t="shared" si="1"/>
        <v>174648.80000000002</v>
      </c>
      <c r="AD30" s="265"/>
      <c r="AE30" s="265">
        <f t="shared" si="1"/>
        <v>3200898.37</v>
      </c>
      <c r="AF30" s="265">
        <f t="shared" si="1"/>
        <v>0</v>
      </c>
      <c r="AG30" s="265">
        <f t="shared" si="1"/>
        <v>0</v>
      </c>
      <c r="AH30" s="265">
        <f t="shared" si="1"/>
        <v>0</v>
      </c>
      <c r="AI30" s="265">
        <f t="shared" si="1"/>
        <v>0</v>
      </c>
      <c r="AJ30" s="265">
        <f t="shared" si="1"/>
        <v>0</v>
      </c>
      <c r="AK30" s="265">
        <f t="shared" si="1"/>
        <v>0</v>
      </c>
      <c r="AL30" s="265">
        <f t="shared" si="1"/>
        <v>0</v>
      </c>
      <c r="AM30" s="265">
        <f t="shared" si="1"/>
        <v>0</v>
      </c>
      <c r="AN30" s="265">
        <f t="shared" si="1"/>
        <v>0</v>
      </c>
      <c r="AO30" s="265">
        <f t="shared" si="1"/>
        <v>4305.82</v>
      </c>
      <c r="AP30" s="542">
        <f t="shared" si="1"/>
        <v>250162.24</v>
      </c>
      <c r="AQ30" s="265">
        <f t="shared" si="1"/>
        <v>0</v>
      </c>
      <c r="AR30" s="265">
        <f t="shared" si="1"/>
        <v>0</v>
      </c>
      <c r="AS30" s="542">
        <f t="shared" si="1"/>
        <v>0</v>
      </c>
      <c r="AT30" s="265">
        <f t="shared" si="1"/>
        <v>0</v>
      </c>
      <c r="AU30" s="265">
        <f t="shared" si="1"/>
        <v>0</v>
      </c>
      <c r="AV30" s="265">
        <f t="shared" si="1"/>
        <v>0</v>
      </c>
      <c r="AW30" s="265">
        <f t="shared" si="1"/>
        <v>0</v>
      </c>
      <c r="AX30" s="265">
        <f t="shared" si="1"/>
        <v>0</v>
      </c>
      <c r="AY30" s="265">
        <f t="shared" si="1"/>
        <v>0</v>
      </c>
      <c r="AZ30" s="265">
        <f t="shared" si="1"/>
        <v>0</v>
      </c>
      <c r="BA30" s="265">
        <f>SUM(BA7:BA29)</f>
        <v>13940.189999999999</v>
      </c>
      <c r="BB30" s="265"/>
      <c r="BC30" s="265">
        <f t="shared" si="1"/>
        <v>524568.67000000004</v>
      </c>
      <c r="BD30" s="271"/>
    </row>
    <row r="31" spans="1:58" ht="15" customHeight="1"/>
    <row r="32" spans="1:58" s="224" customFormat="1" ht="15" customHeight="1">
      <c r="C32" s="224" t="s">
        <v>567</v>
      </c>
      <c r="D32" s="246">
        <v>28730.809999999998</v>
      </c>
      <c r="E32" s="246">
        <v>855624.91999999993</v>
      </c>
      <c r="K32" s="246"/>
      <c r="AC32" s="411"/>
      <c r="AD32" s="411"/>
      <c r="AE32" s="411"/>
      <c r="BA32" s="246">
        <f>+D30+F30+H30+J30+L30+Q30+S30-AC30-AO30</f>
        <v>13940.189999999981</v>
      </c>
      <c r="BB32" s="246"/>
      <c r="BC32" s="246">
        <f>+E30+G30+I30+K30+M30+R30-AE30-AP30-AS30+T30+0.13</f>
        <v>524568.66999999934</v>
      </c>
      <c r="BD32" s="272"/>
    </row>
    <row r="33" spans="4:55" ht="15" customHeight="1">
      <c r="BA33" s="244"/>
      <c r="BB33" s="244"/>
      <c r="BC33" s="244"/>
    </row>
    <row r="34" spans="4:55" ht="15" customHeight="1">
      <c r="D34" s="266"/>
      <c r="K34" s="244"/>
      <c r="BA34" s="244">
        <f>+BA30-BA32</f>
        <v>1.8189894035458565E-11</v>
      </c>
      <c r="BC34" s="244">
        <f>+BC30-BC32</f>
        <v>0</v>
      </c>
    </row>
    <row r="35" spans="4:55" ht="15" customHeight="1">
      <c r="BA35" s="248"/>
      <c r="BB35" s="248"/>
      <c r="BC35" s="248"/>
    </row>
    <row r="36" spans="4:55" ht="15" customHeight="1"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412"/>
      <c r="AD36" s="412"/>
      <c r="AE36" s="412"/>
      <c r="AF36" s="244"/>
      <c r="AG36" s="244"/>
      <c r="AJ36" s="244"/>
      <c r="AK36" s="244"/>
      <c r="AL36" s="244"/>
      <c r="AM36" s="244"/>
      <c r="AN36" s="244"/>
      <c r="AO36" s="244"/>
      <c r="AP36" s="244"/>
      <c r="AQ36" s="244"/>
      <c r="BA36" s="248"/>
      <c r="BB36" s="248"/>
      <c r="BC36" s="248"/>
    </row>
    <row r="37" spans="4:55" ht="15" customHeight="1"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412"/>
      <c r="AD37" s="412"/>
      <c r="AE37" s="412"/>
      <c r="AF37" s="244"/>
      <c r="AG37" s="244"/>
      <c r="AJ37" s="244"/>
      <c r="AK37" s="244"/>
      <c r="AL37" s="244"/>
      <c r="AM37" s="244"/>
      <c r="AN37" s="244"/>
      <c r="AO37" s="244"/>
      <c r="AP37" s="244"/>
      <c r="AQ37" s="244"/>
      <c r="BA37" s="248"/>
      <c r="BB37" s="248"/>
      <c r="BC37" s="248"/>
    </row>
    <row r="38" spans="4:55" ht="15" customHeight="1">
      <c r="BA38" s="244"/>
      <c r="BC38" s="244"/>
    </row>
    <row r="39" spans="4:55" ht="15" customHeight="1">
      <c r="BA39" s="249"/>
      <c r="BB39" s="227"/>
      <c r="BC39" s="249"/>
    </row>
    <row r="40" spans="4:55" ht="15" customHeight="1">
      <c r="L40" s="244"/>
      <c r="BC40" s="244"/>
    </row>
    <row r="41" spans="4:55" ht="15" customHeight="1"/>
    <row r="42" spans="4:55" ht="15" customHeight="1"/>
    <row r="43" spans="4:55" ht="15" customHeight="1"/>
    <row r="44" spans="4:55" ht="15" customHeight="1"/>
    <row r="45" spans="4:55" ht="15" customHeight="1"/>
    <row r="46" spans="4:55" ht="15" customHeight="1"/>
    <row r="47" spans="4:55" ht="15" customHeight="1"/>
    <row r="48" spans="4:5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1">
    <mergeCell ref="A3:C3"/>
  </mergeCells>
  <pageMargins left="0" right="0" top="0" bottom="0" header="0.3" footer="0.3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W26"/>
  <sheetViews>
    <sheetView zoomScale="90" zoomScaleNormal="90" zoomScaleSheetLayoutView="100" workbookViewId="0">
      <selection activeCell="P25" sqref="P25"/>
    </sheetView>
  </sheetViews>
  <sheetFormatPr defaultColWidth="6.25" defaultRowHeight="15" customHeight="1"/>
  <cols>
    <col min="1" max="1" width="8.25" style="225" customWidth="1"/>
    <col min="2" max="2" width="26.5" style="225" customWidth="1"/>
    <col min="3" max="3" width="8.25" style="225" customWidth="1"/>
    <col min="4" max="5" width="8.25" style="226" customWidth="1"/>
    <col min="6" max="6" width="10.75" style="226" customWidth="1"/>
    <col min="7" max="7" width="11.25" style="225" customWidth="1"/>
    <col min="8" max="8" width="10.875" style="225" customWidth="1"/>
    <col min="9" max="9" width="9.75" style="225" hidden="1" customWidth="1"/>
    <col min="10" max="10" width="9.875" style="225" hidden="1" customWidth="1"/>
    <col min="11" max="11" width="10.25" style="225" customWidth="1"/>
    <col min="12" max="12" width="11.625" style="225" customWidth="1"/>
    <col min="13" max="13" width="9.625" style="225" hidden="1" customWidth="1"/>
    <col min="14" max="14" width="8.25" style="225" hidden="1" customWidth="1"/>
    <col min="15" max="15" width="10.75" style="225" hidden="1" customWidth="1"/>
    <col min="16" max="17" width="8.25" style="225" customWidth="1"/>
    <col min="18" max="18" width="10.25" style="225" customWidth="1"/>
    <col min="19" max="19" width="8.25" style="225" customWidth="1"/>
    <col min="20" max="256" width="6.25" style="225"/>
    <col min="257" max="257" width="8.25" style="225" customWidth="1"/>
    <col min="258" max="258" width="26.5" style="225" customWidth="1"/>
    <col min="259" max="261" width="8.25" style="225" customWidth="1"/>
    <col min="262" max="262" width="10.75" style="225" customWidth="1"/>
    <col min="263" max="263" width="11.25" style="225" customWidth="1"/>
    <col min="264" max="264" width="10.875" style="225" customWidth="1"/>
    <col min="265" max="266" width="6.25" style="225" hidden="1" customWidth="1"/>
    <col min="267" max="267" width="10.25" style="225" customWidth="1"/>
    <col min="268" max="268" width="11.625" style="225" customWidth="1"/>
    <col min="269" max="271" width="6.25" style="225" hidden="1" customWidth="1"/>
    <col min="272" max="273" width="8.25" style="225" customWidth="1"/>
    <col min="274" max="274" width="10.25" style="225" customWidth="1"/>
    <col min="275" max="275" width="8.25" style="225" customWidth="1"/>
    <col min="276" max="512" width="6.25" style="225"/>
    <col min="513" max="513" width="8.25" style="225" customWidth="1"/>
    <col min="514" max="514" width="26.5" style="225" customWidth="1"/>
    <col min="515" max="517" width="8.25" style="225" customWidth="1"/>
    <col min="518" max="518" width="10.75" style="225" customWidth="1"/>
    <col min="519" max="519" width="11.25" style="225" customWidth="1"/>
    <col min="520" max="520" width="10.875" style="225" customWidth="1"/>
    <col min="521" max="522" width="6.25" style="225" hidden="1" customWidth="1"/>
    <col min="523" max="523" width="10.25" style="225" customWidth="1"/>
    <col min="524" max="524" width="11.625" style="225" customWidth="1"/>
    <col min="525" max="527" width="6.25" style="225" hidden="1" customWidth="1"/>
    <col min="528" max="529" width="8.25" style="225" customWidth="1"/>
    <col min="530" max="530" width="10.25" style="225" customWidth="1"/>
    <col min="531" max="531" width="8.25" style="225" customWidth="1"/>
    <col min="532" max="768" width="6.25" style="225"/>
    <col min="769" max="769" width="8.25" style="225" customWidth="1"/>
    <col min="770" max="770" width="26.5" style="225" customWidth="1"/>
    <col min="771" max="773" width="8.25" style="225" customWidth="1"/>
    <col min="774" max="774" width="10.75" style="225" customWidth="1"/>
    <col min="775" max="775" width="11.25" style="225" customWidth="1"/>
    <col min="776" max="776" width="10.875" style="225" customWidth="1"/>
    <col min="777" max="778" width="6.25" style="225" hidden="1" customWidth="1"/>
    <col min="779" max="779" width="10.25" style="225" customWidth="1"/>
    <col min="780" max="780" width="11.625" style="225" customWidth="1"/>
    <col min="781" max="783" width="6.25" style="225" hidden="1" customWidth="1"/>
    <col min="784" max="785" width="8.25" style="225" customWidth="1"/>
    <col min="786" max="786" width="10.25" style="225" customWidth="1"/>
    <col min="787" max="787" width="8.25" style="225" customWidth="1"/>
    <col min="788" max="1024" width="6.25" style="225"/>
    <col min="1025" max="1025" width="8.25" style="225" customWidth="1"/>
    <col min="1026" max="1026" width="26.5" style="225" customWidth="1"/>
    <col min="1027" max="1029" width="8.25" style="225" customWidth="1"/>
    <col min="1030" max="1030" width="10.75" style="225" customWidth="1"/>
    <col min="1031" max="1031" width="11.25" style="225" customWidth="1"/>
    <col min="1032" max="1032" width="10.875" style="225" customWidth="1"/>
    <col min="1033" max="1034" width="6.25" style="225" hidden="1" customWidth="1"/>
    <col min="1035" max="1035" width="10.25" style="225" customWidth="1"/>
    <col min="1036" max="1036" width="11.625" style="225" customWidth="1"/>
    <col min="1037" max="1039" width="6.25" style="225" hidden="1" customWidth="1"/>
    <col min="1040" max="1041" width="8.25" style="225" customWidth="1"/>
    <col min="1042" max="1042" width="10.25" style="225" customWidth="1"/>
    <col min="1043" max="1043" width="8.25" style="225" customWidth="1"/>
    <col min="1044" max="1280" width="6.25" style="225"/>
    <col min="1281" max="1281" width="8.25" style="225" customWidth="1"/>
    <col min="1282" max="1282" width="26.5" style="225" customWidth="1"/>
    <col min="1283" max="1285" width="8.25" style="225" customWidth="1"/>
    <col min="1286" max="1286" width="10.75" style="225" customWidth="1"/>
    <col min="1287" max="1287" width="11.25" style="225" customWidth="1"/>
    <col min="1288" max="1288" width="10.875" style="225" customWidth="1"/>
    <col min="1289" max="1290" width="6.25" style="225" hidden="1" customWidth="1"/>
    <col min="1291" max="1291" width="10.25" style="225" customWidth="1"/>
    <col min="1292" max="1292" width="11.625" style="225" customWidth="1"/>
    <col min="1293" max="1295" width="6.25" style="225" hidden="1" customWidth="1"/>
    <col min="1296" max="1297" width="8.25" style="225" customWidth="1"/>
    <col min="1298" max="1298" width="10.25" style="225" customWidth="1"/>
    <col min="1299" max="1299" width="8.25" style="225" customWidth="1"/>
    <col min="1300" max="1536" width="6.25" style="225"/>
    <col min="1537" max="1537" width="8.25" style="225" customWidth="1"/>
    <col min="1538" max="1538" width="26.5" style="225" customWidth="1"/>
    <col min="1539" max="1541" width="8.25" style="225" customWidth="1"/>
    <col min="1542" max="1542" width="10.75" style="225" customWidth="1"/>
    <col min="1543" max="1543" width="11.25" style="225" customWidth="1"/>
    <col min="1544" max="1544" width="10.875" style="225" customWidth="1"/>
    <col min="1545" max="1546" width="6.25" style="225" hidden="1" customWidth="1"/>
    <col min="1547" max="1547" width="10.25" style="225" customWidth="1"/>
    <col min="1548" max="1548" width="11.625" style="225" customWidth="1"/>
    <col min="1549" max="1551" width="6.25" style="225" hidden="1" customWidth="1"/>
    <col min="1552" max="1553" width="8.25" style="225" customWidth="1"/>
    <col min="1554" max="1554" width="10.25" style="225" customWidth="1"/>
    <col min="1555" max="1555" width="8.25" style="225" customWidth="1"/>
    <col min="1556" max="1792" width="6.25" style="225"/>
    <col min="1793" max="1793" width="8.25" style="225" customWidth="1"/>
    <col min="1794" max="1794" width="26.5" style="225" customWidth="1"/>
    <col min="1795" max="1797" width="8.25" style="225" customWidth="1"/>
    <col min="1798" max="1798" width="10.75" style="225" customWidth="1"/>
    <col min="1799" max="1799" width="11.25" style="225" customWidth="1"/>
    <col min="1800" max="1800" width="10.875" style="225" customWidth="1"/>
    <col min="1801" max="1802" width="6.25" style="225" hidden="1" customWidth="1"/>
    <col min="1803" max="1803" width="10.25" style="225" customWidth="1"/>
    <col min="1804" max="1804" width="11.625" style="225" customWidth="1"/>
    <col min="1805" max="1807" width="6.25" style="225" hidden="1" customWidth="1"/>
    <col min="1808" max="1809" width="8.25" style="225" customWidth="1"/>
    <col min="1810" max="1810" width="10.25" style="225" customWidth="1"/>
    <col min="1811" max="1811" width="8.25" style="225" customWidth="1"/>
    <col min="1812" max="2048" width="6.25" style="225"/>
    <col min="2049" max="2049" width="8.25" style="225" customWidth="1"/>
    <col min="2050" max="2050" width="26.5" style="225" customWidth="1"/>
    <col min="2051" max="2053" width="8.25" style="225" customWidth="1"/>
    <col min="2054" max="2054" width="10.75" style="225" customWidth="1"/>
    <col min="2055" max="2055" width="11.25" style="225" customWidth="1"/>
    <col min="2056" max="2056" width="10.875" style="225" customWidth="1"/>
    <col min="2057" max="2058" width="6.25" style="225" hidden="1" customWidth="1"/>
    <col min="2059" max="2059" width="10.25" style="225" customWidth="1"/>
    <col min="2060" max="2060" width="11.625" style="225" customWidth="1"/>
    <col min="2061" max="2063" width="6.25" style="225" hidden="1" customWidth="1"/>
    <col min="2064" max="2065" width="8.25" style="225" customWidth="1"/>
    <col min="2066" max="2066" width="10.25" style="225" customWidth="1"/>
    <col min="2067" max="2067" width="8.25" style="225" customWidth="1"/>
    <col min="2068" max="2304" width="6.25" style="225"/>
    <col min="2305" max="2305" width="8.25" style="225" customWidth="1"/>
    <col min="2306" max="2306" width="26.5" style="225" customWidth="1"/>
    <col min="2307" max="2309" width="8.25" style="225" customWidth="1"/>
    <col min="2310" max="2310" width="10.75" style="225" customWidth="1"/>
    <col min="2311" max="2311" width="11.25" style="225" customWidth="1"/>
    <col min="2312" max="2312" width="10.875" style="225" customWidth="1"/>
    <col min="2313" max="2314" width="6.25" style="225" hidden="1" customWidth="1"/>
    <col min="2315" max="2315" width="10.25" style="225" customWidth="1"/>
    <col min="2316" max="2316" width="11.625" style="225" customWidth="1"/>
    <col min="2317" max="2319" width="6.25" style="225" hidden="1" customWidth="1"/>
    <col min="2320" max="2321" width="8.25" style="225" customWidth="1"/>
    <col min="2322" max="2322" width="10.25" style="225" customWidth="1"/>
    <col min="2323" max="2323" width="8.25" style="225" customWidth="1"/>
    <col min="2324" max="2560" width="6.25" style="225"/>
    <col min="2561" max="2561" width="8.25" style="225" customWidth="1"/>
    <col min="2562" max="2562" width="26.5" style="225" customWidth="1"/>
    <col min="2563" max="2565" width="8.25" style="225" customWidth="1"/>
    <col min="2566" max="2566" width="10.75" style="225" customWidth="1"/>
    <col min="2567" max="2567" width="11.25" style="225" customWidth="1"/>
    <col min="2568" max="2568" width="10.875" style="225" customWidth="1"/>
    <col min="2569" max="2570" width="6.25" style="225" hidden="1" customWidth="1"/>
    <col min="2571" max="2571" width="10.25" style="225" customWidth="1"/>
    <col min="2572" max="2572" width="11.625" style="225" customWidth="1"/>
    <col min="2573" max="2575" width="6.25" style="225" hidden="1" customWidth="1"/>
    <col min="2576" max="2577" width="8.25" style="225" customWidth="1"/>
    <col min="2578" max="2578" width="10.25" style="225" customWidth="1"/>
    <col min="2579" max="2579" width="8.25" style="225" customWidth="1"/>
    <col min="2580" max="2816" width="6.25" style="225"/>
    <col min="2817" max="2817" width="8.25" style="225" customWidth="1"/>
    <col min="2818" max="2818" width="26.5" style="225" customWidth="1"/>
    <col min="2819" max="2821" width="8.25" style="225" customWidth="1"/>
    <col min="2822" max="2822" width="10.75" style="225" customWidth="1"/>
    <col min="2823" max="2823" width="11.25" style="225" customWidth="1"/>
    <col min="2824" max="2824" width="10.875" style="225" customWidth="1"/>
    <col min="2825" max="2826" width="6.25" style="225" hidden="1" customWidth="1"/>
    <col min="2827" max="2827" width="10.25" style="225" customWidth="1"/>
    <col min="2828" max="2828" width="11.625" style="225" customWidth="1"/>
    <col min="2829" max="2831" width="6.25" style="225" hidden="1" customWidth="1"/>
    <col min="2832" max="2833" width="8.25" style="225" customWidth="1"/>
    <col min="2834" max="2834" width="10.25" style="225" customWidth="1"/>
    <col min="2835" max="2835" width="8.25" style="225" customWidth="1"/>
    <col min="2836" max="3072" width="6.25" style="225"/>
    <col min="3073" max="3073" width="8.25" style="225" customWidth="1"/>
    <col min="3074" max="3074" width="26.5" style="225" customWidth="1"/>
    <col min="3075" max="3077" width="8.25" style="225" customWidth="1"/>
    <col min="3078" max="3078" width="10.75" style="225" customWidth="1"/>
    <col min="3079" max="3079" width="11.25" style="225" customWidth="1"/>
    <col min="3080" max="3080" width="10.875" style="225" customWidth="1"/>
    <col min="3081" max="3082" width="6.25" style="225" hidden="1" customWidth="1"/>
    <col min="3083" max="3083" width="10.25" style="225" customWidth="1"/>
    <col min="3084" max="3084" width="11.625" style="225" customWidth="1"/>
    <col min="3085" max="3087" width="6.25" style="225" hidden="1" customWidth="1"/>
    <col min="3088" max="3089" width="8.25" style="225" customWidth="1"/>
    <col min="3090" max="3090" width="10.25" style="225" customWidth="1"/>
    <col min="3091" max="3091" width="8.25" style="225" customWidth="1"/>
    <col min="3092" max="3328" width="6.25" style="225"/>
    <col min="3329" max="3329" width="8.25" style="225" customWidth="1"/>
    <col min="3330" max="3330" width="26.5" style="225" customWidth="1"/>
    <col min="3331" max="3333" width="8.25" style="225" customWidth="1"/>
    <col min="3334" max="3334" width="10.75" style="225" customWidth="1"/>
    <col min="3335" max="3335" width="11.25" style="225" customWidth="1"/>
    <col min="3336" max="3336" width="10.875" style="225" customWidth="1"/>
    <col min="3337" max="3338" width="6.25" style="225" hidden="1" customWidth="1"/>
    <col min="3339" max="3339" width="10.25" style="225" customWidth="1"/>
    <col min="3340" max="3340" width="11.625" style="225" customWidth="1"/>
    <col min="3341" max="3343" width="6.25" style="225" hidden="1" customWidth="1"/>
    <col min="3344" max="3345" width="8.25" style="225" customWidth="1"/>
    <col min="3346" max="3346" width="10.25" style="225" customWidth="1"/>
    <col min="3347" max="3347" width="8.25" style="225" customWidth="1"/>
    <col min="3348" max="3584" width="6.25" style="225"/>
    <col min="3585" max="3585" width="8.25" style="225" customWidth="1"/>
    <col min="3586" max="3586" width="26.5" style="225" customWidth="1"/>
    <col min="3587" max="3589" width="8.25" style="225" customWidth="1"/>
    <col min="3590" max="3590" width="10.75" style="225" customWidth="1"/>
    <col min="3591" max="3591" width="11.25" style="225" customWidth="1"/>
    <col min="3592" max="3592" width="10.875" style="225" customWidth="1"/>
    <col min="3593" max="3594" width="6.25" style="225" hidden="1" customWidth="1"/>
    <col min="3595" max="3595" width="10.25" style="225" customWidth="1"/>
    <col min="3596" max="3596" width="11.625" style="225" customWidth="1"/>
    <col min="3597" max="3599" width="6.25" style="225" hidden="1" customWidth="1"/>
    <col min="3600" max="3601" width="8.25" style="225" customWidth="1"/>
    <col min="3602" max="3602" width="10.25" style="225" customWidth="1"/>
    <col min="3603" max="3603" width="8.25" style="225" customWidth="1"/>
    <col min="3604" max="3840" width="6.25" style="225"/>
    <col min="3841" max="3841" width="8.25" style="225" customWidth="1"/>
    <col min="3842" max="3842" width="26.5" style="225" customWidth="1"/>
    <col min="3843" max="3845" width="8.25" style="225" customWidth="1"/>
    <col min="3846" max="3846" width="10.75" style="225" customWidth="1"/>
    <col min="3847" max="3847" width="11.25" style="225" customWidth="1"/>
    <col min="3848" max="3848" width="10.875" style="225" customWidth="1"/>
    <col min="3849" max="3850" width="6.25" style="225" hidden="1" customWidth="1"/>
    <col min="3851" max="3851" width="10.25" style="225" customWidth="1"/>
    <col min="3852" max="3852" width="11.625" style="225" customWidth="1"/>
    <col min="3853" max="3855" width="6.25" style="225" hidden="1" customWidth="1"/>
    <col min="3856" max="3857" width="8.25" style="225" customWidth="1"/>
    <col min="3858" max="3858" width="10.25" style="225" customWidth="1"/>
    <col min="3859" max="3859" width="8.25" style="225" customWidth="1"/>
    <col min="3860" max="4096" width="6.25" style="225"/>
    <col min="4097" max="4097" width="8.25" style="225" customWidth="1"/>
    <col min="4098" max="4098" width="26.5" style="225" customWidth="1"/>
    <col min="4099" max="4101" width="8.25" style="225" customWidth="1"/>
    <col min="4102" max="4102" width="10.75" style="225" customWidth="1"/>
    <col min="4103" max="4103" width="11.25" style="225" customWidth="1"/>
    <col min="4104" max="4104" width="10.875" style="225" customWidth="1"/>
    <col min="4105" max="4106" width="6.25" style="225" hidden="1" customWidth="1"/>
    <col min="4107" max="4107" width="10.25" style="225" customWidth="1"/>
    <col min="4108" max="4108" width="11.625" style="225" customWidth="1"/>
    <col min="4109" max="4111" width="6.25" style="225" hidden="1" customWidth="1"/>
    <col min="4112" max="4113" width="8.25" style="225" customWidth="1"/>
    <col min="4114" max="4114" width="10.25" style="225" customWidth="1"/>
    <col min="4115" max="4115" width="8.25" style="225" customWidth="1"/>
    <col min="4116" max="4352" width="6.25" style="225"/>
    <col min="4353" max="4353" width="8.25" style="225" customWidth="1"/>
    <col min="4354" max="4354" width="26.5" style="225" customWidth="1"/>
    <col min="4355" max="4357" width="8.25" style="225" customWidth="1"/>
    <col min="4358" max="4358" width="10.75" style="225" customWidth="1"/>
    <col min="4359" max="4359" width="11.25" style="225" customWidth="1"/>
    <col min="4360" max="4360" width="10.875" style="225" customWidth="1"/>
    <col min="4361" max="4362" width="6.25" style="225" hidden="1" customWidth="1"/>
    <col min="4363" max="4363" width="10.25" style="225" customWidth="1"/>
    <col min="4364" max="4364" width="11.625" style="225" customWidth="1"/>
    <col min="4365" max="4367" width="6.25" style="225" hidden="1" customWidth="1"/>
    <col min="4368" max="4369" width="8.25" style="225" customWidth="1"/>
    <col min="4370" max="4370" width="10.25" style="225" customWidth="1"/>
    <col min="4371" max="4371" width="8.25" style="225" customWidth="1"/>
    <col min="4372" max="4608" width="6.25" style="225"/>
    <col min="4609" max="4609" width="8.25" style="225" customWidth="1"/>
    <col min="4610" max="4610" width="26.5" style="225" customWidth="1"/>
    <col min="4611" max="4613" width="8.25" style="225" customWidth="1"/>
    <col min="4614" max="4614" width="10.75" style="225" customWidth="1"/>
    <col min="4615" max="4615" width="11.25" style="225" customWidth="1"/>
    <col min="4616" max="4616" width="10.875" style="225" customWidth="1"/>
    <col min="4617" max="4618" width="6.25" style="225" hidden="1" customWidth="1"/>
    <col min="4619" max="4619" width="10.25" style="225" customWidth="1"/>
    <col min="4620" max="4620" width="11.625" style="225" customWidth="1"/>
    <col min="4621" max="4623" width="6.25" style="225" hidden="1" customWidth="1"/>
    <col min="4624" max="4625" width="8.25" style="225" customWidth="1"/>
    <col min="4626" max="4626" width="10.25" style="225" customWidth="1"/>
    <col min="4627" max="4627" width="8.25" style="225" customWidth="1"/>
    <col min="4628" max="4864" width="6.25" style="225"/>
    <col min="4865" max="4865" width="8.25" style="225" customWidth="1"/>
    <col min="4866" max="4866" width="26.5" style="225" customWidth="1"/>
    <col min="4867" max="4869" width="8.25" style="225" customWidth="1"/>
    <col min="4870" max="4870" width="10.75" style="225" customWidth="1"/>
    <col min="4871" max="4871" width="11.25" style="225" customWidth="1"/>
    <col min="4872" max="4872" width="10.875" style="225" customWidth="1"/>
    <col min="4873" max="4874" width="6.25" style="225" hidden="1" customWidth="1"/>
    <col min="4875" max="4875" width="10.25" style="225" customWidth="1"/>
    <col min="4876" max="4876" width="11.625" style="225" customWidth="1"/>
    <col min="4877" max="4879" width="6.25" style="225" hidden="1" customWidth="1"/>
    <col min="4880" max="4881" width="8.25" style="225" customWidth="1"/>
    <col min="4882" max="4882" width="10.25" style="225" customWidth="1"/>
    <col min="4883" max="4883" width="8.25" style="225" customWidth="1"/>
    <col min="4884" max="5120" width="6.25" style="225"/>
    <col min="5121" max="5121" width="8.25" style="225" customWidth="1"/>
    <col min="5122" max="5122" width="26.5" style="225" customWidth="1"/>
    <col min="5123" max="5125" width="8.25" style="225" customWidth="1"/>
    <col min="5126" max="5126" width="10.75" style="225" customWidth="1"/>
    <col min="5127" max="5127" width="11.25" style="225" customWidth="1"/>
    <col min="5128" max="5128" width="10.875" style="225" customWidth="1"/>
    <col min="5129" max="5130" width="6.25" style="225" hidden="1" customWidth="1"/>
    <col min="5131" max="5131" width="10.25" style="225" customWidth="1"/>
    <col min="5132" max="5132" width="11.625" style="225" customWidth="1"/>
    <col min="5133" max="5135" width="6.25" style="225" hidden="1" customWidth="1"/>
    <col min="5136" max="5137" width="8.25" style="225" customWidth="1"/>
    <col min="5138" max="5138" width="10.25" style="225" customWidth="1"/>
    <col min="5139" max="5139" width="8.25" style="225" customWidth="1"/>
    <col min="5140" max="5376" width="6.25" style="225"/>
    <col min="5377" max="5377" width="8.25" style="225" customWidth="1"/>
    <col min="5378" max="5378" width="26.5" style="225" customWidth="1"/>
    <col min="5379" max="5381" width="8.25" style="225" customWidth="1"/>
    <col min="5382" max="5382" width="10.75" style="225" customWidth="1"/>
    <col min="5383" max="5383" width="11.25" style="225" customWidth="1"/>
    <col min="5384" max="5384" width="10.875" style="225" customWidth="1"/>
    <col min="5385" max="5386" width="6.25" style="225" hidden="1" customWidth="1"/>
    <col min="5387" max="5387" width="10.25" style="225" customWidth="1"/>
    <col min="5388" max="5388" width="11.625" style="225" customWidth="1"/>
    <col min="5389" max="5391" width="6.25" style="225" hidden="1" customWidth="1"/>
    <col min="5392" max="5393" width="8.25" style="225" customWidth="1"/>
    <col min="5394" max="5394" width="10.25" style="225" customWidth="1"/>
    <col min="5395" max="5395" width="8.25" style="225" customWidth="1"/>
    <col min="5396" max="5632" width="6.25" style="225"/>
    <col min="5633" max="5633" width="8.25" style="225" customWidth="1"/>
    <col min="5634" max="5634" width="26.5" style="225" customWidth="1"/>
    <col min="5635" max="5637" width="8.25" style="225" customWidth="1"/>
    <col min="5638" max="5638" width="10.75" style="225" customWidth="1"/>
    <col min="5639" max="5639" width="11.25" style="225" customWidth="1"/>
    <col min="5640" max="5640" width="10.875" style="225" customWidth="1"/>
    <col min="5641" max="5642" width="6.25" style="225" hidden="1" customWidth="1"/>
    <col min="5643" max="5643" width="10.25" style="225" customWidth="1"/>
    <col min="5644" max="5644" width="11.625" style="225" customWidth="1"/>
    <col min="5645" max="5647" width="6.25" style="225" hidden="1" customWidth="1"/>
    <col min="5648" max="5649" width="8.25" style="225" customWidth="1"/>
    <col min="5650" max="5650" width="10.25" style="225" customWidth="1"/>
    <col min="5651" max="5651" width="8.25" style="225" customWidth="1"/>
    <col min="5652" max="5888" width="6.25" style="225"/>
    <col min="5889" max="5889" width="8.25" style="225" customWidth="1"/>
    <col min="5890" max="5890" width="26.5" style="225" customWidth="1"/>
    <col min="5891" max="5893" width="8.25" style="225" customWidth="1"/>
    <col min="5894" max="5894" width="10.75" style="225" customWidth="1"/>
    <col min="5895" max="5895" width="11.25" style="225" customWidth="1"/>
    <col min="5896" max="5896" width="10.875" style="225" customWidth="1"/>
    <col min="5897" max="5898" width="6.25" style="225" hidden="1" customWidth="1"/>
    <col min="5899" max="5899" width="10.25" style="225" customWidth="1"/>
    <col min="5900" max="5900" width="11.625" style="225" customWidth="1"/>
    <col min="5901" max="5903" width="6.25" style="225" hidden="1" customWidth="1"/>
    <col min="5904" max="5905" width="8.25" style="225" customWidth="1"/>
    <col min="5906" max="5906" width="10.25" style="225" customWidth="1"/>
    <col min="5907" max="5907" width="8.25" style="225" customWidth="1"/>
    <col min="5908" max="6144" width="6.25" style="225"/>
    <col min="6145" max="6145" width="8.25" style="225" customWidth="1"/>
    <col min="6146" max="6146" width="26.5" style="225" customWidth="1"/>
    <col min="6147" max="6149" width="8.25" style="225" customWidth="1"/>
    <col min="6150" max="6150" width="10.75" style="225" customWidth="1"/>
    <col min="6151" max="6151" width="11.25" style="225" customWidth="1"/>
    <col min="6152" max="6152" width="10.875" style="225" customWidth="1"/>
    <col min="6153" max="6154" width="6.25" style="225" hidden="1" customWidth="1"/>
    <col min="6155" max="6155" width="10.25" style="225" customWidth="1"/>
    <col min="6156" max="6156" width="11.625" style="225" customWidth="1"/>
    <col min="6157" max="6159" width="6.25" style="225" hidden="1" customWidth="1"/>
    <col min="6160" max="6161" width="8.25" style="225" customWidth="1"/>
    <col min="6162" max="6162" width="10.25" style="225" customWidth="1"/>
    <col min="6163" max="6163" width="8.25" style="225" customWidth="1"/>
    <col min="6164" max="6400" width="6.25" style="225"/>
    <col min="6401" max="6401" width="8.25" style="225" customWidth="1"/>
    <col min="6402" max="6402" width="26.5" style="225" customWidth="1"/>
    <col min="6403" max="6405" width="8.25" style="225" customWidth="1"/>
    <col min="6406" max="6406" width="10.75" style="225" customWidth="1"/>
    <col min="6407" max="6407" width="11.25" style="225" customWidth="1"/>
    <col min="6408" max="6408" width="10.875" style="225" customWidth="1"/>
    <col min="6409" max="6410" width="6.25" style="225" hidden="1" customWidth="1"/>
    <col min="6411" max="6411" width="10.25" style="225" customWidth="1"/>
    <col min="6412" max="6412" width="11.625" style="225" customWidth="1"/>
    <col min="6413" max="6415" width="6.25" style="225" hidden="1" customWidth="1"/>
    <col min="6416" max="6417" width="8.25" style="225" customWidth="1"/>
    <col min="6418" max="6418" width="10.25" style="225" customWidth="1"/>
    <col min="6419" max="6419" width="8.25" style="225" customWidth="1"/>
    <col min="6420" max="6656" width="6.25" style="225"/>
    <col min="6657" max="6657" width="8.25" style="225" customWidth="1"/>
    <col min="6658" max="6658" width="26.5" style="225" customWidth="1"/>
    <col min="6659" max="6661" width="8.25" style="225" customWidth="1"/>
    <col min="6662" max="6662" width="10.75" style="225" customWidth="1"/>
    <col min="6663" max="6663" width="11.25" style="225" customWidth="1"/>
    <col min="6664" max="6664" width="10.875" style="225" customWidth="1"/>
    <col min="6665" max="6666" width="6.25" style="225" hidden="1" customWidth="1"/>
    <col min="6667" max="6667" width="10.25" style="225" customWidth="1"/>
    <col min="6668" max="6668" width="11.625" style="225" customWidth="1"/>
    <col min="6669" max="6671" width="6.25" style="225" hidden="1" customWidth="1"/>
    <col min="6672" max="6673" width="8.25" style="225" customWidth="1"/>
    <col min="6674" max="6674" width="10.25" style="225" customWidth="1"/>
    <col min="6675" max="6675" width="8.25" style="225" customWidth="1"/>
    <col min="6676" max="6912" width="6.25" style="225"/>
    <col min="6913" max="6913" width="8.25" style="225" customWidth="1"/>
    <col min="6914" max="6914" width="26.5" style="225" customWidth="1"/>
    <col min="6915" max="6917" width="8.25" style="225" customWidth="1"/>
    <col min="6918" max="6918" width="10.75" style="225" customWidth="1"/>
    <col min="6919" max="6919" width="11.25" style="225" customWidth="1"/>
    <col min="6920" max="6920" width="10.875" style="225" customWidth="1"/>
    <col min="6921" max="6922" width="6.25" style="225" hidden="1" customWidth="1"/>
    <col min="6923" max="6923" width="10.25" style="225" customWidth="1"/>
    <col min="6924" max="6924" width="11.625" style="225" customWidth="1"/>
    <col min="6925" max="6927" width="6.25" style="225" hidden="1" customWidth="1"/>
    <col min="6928" max="6929" width="8.25" style="225" customWidth="1"/>
    <col min="6930" max="6930" width="10.25" style="225" customWidth="1"/>
    <col min="6931" max="6931" width="8.25" style="225" customWidth="1"/>
    <col min="6932" max="7168" width="6.25" style="225"/>
    <col min="7169" max="7169" width="8.25" style="225" customWidth="1"/>
    <col min="7170" max="7170" width="26.5" style="225" customWidth="1"/>
    <col min="7171" max="7173" width="8.25" style="225" customWidth="1"/>
    <col min="7174" max="7174" width="10.75" style="225" customWidth="1"/>
    <col min="7175" max="7175" width="11.25" style="225" customWidth="1"/>
    <col min="7176" max="7176" width="10.875" style="225" customWidth="1"/>
    <col min="7177" max="7178" width="6.25" style="225" hidden="1" customWidth="1"/>
    <col min="7179" max="7179" width="10.25" style="225" customWidth="1"/>
    <col min="7180" max="7180" width="11.625" style="225" customWidth="1"/>
    <col min="7181" max="7183" width="6.25" style="225" hidden="1" customWidth="1"/>
    <col min="7184" max="7185" width="8.25" style="225" customWidth="1"/>
    <col min="7186" max="7186" width="10.25" style="225" customWidth="1"/>
    <col min="7187" max="7187" width="8.25" style="225" customWidth="1"/>
    <col min="7188" max="7424" width="6.25" style="225"/>
    <col min="7425" max="7425" width="8.25" style="225" customWidth="1"/>
    <col min="7426" max="7426" width="26.5" style="225" customWidth="1"/>
    <col min="7427" max="7429" width="8.25" style="225" customWidth="1"/>
    <col min="7430" max="7430" width="10.75" style="225" customWidth="1"/>
    <col min="7431" max="7431" width="11.25" style="225" customWidth="1"/>
    <col min="7432" max="7432" width="10.875" style="225" customWidth="1"/>
    <col min="7433" max="7434" width="6.25" style="225" hidden="1" customWidth="1"/>
    <col min="7435" max="7435" width="10.25" style="225" customWidth="1"/>
    <col min="7436" max="7436" width="11.625" style="225" customWidth="1"/>
    <col min="7437" max="7439" width="6.25" style="225" hidden="1" customWidth="1"/>
    <col min="7440" max="7441" width="8.25" style="225" customWidth="1"/>
    <col min="7442" max="7442" width="10.25" style="225" customWidth="1"/>
    <col min="7443" max="7443" width="8.25" style="225" customWidth="1"/>
    <col min="7444" max="7680" width="6.25" style="225"/>
    <col min="7681" max="7681" width="8.25" style="225" customWidth="1"/>
    <col min="7682" max="7682" width="26.5" style="225" customWidth="1"/>
    <col min="7683" max="7685" width="8.25" style="225" customWidth="1"/>
    <col min="7686" max="7686" width="10.75" style="225" customWidth="1"/>
    <col min="7687" max="7687" width="11.25" style="225" customWidth="1"/>
    <col min="7688" max="7688" width="10.875" style="225" customWidth="1"/>
    <col min="7689" max="7690" width="6.25" style="225" hidden="1" customWidth="1"/>
    <col min="7691" max="7691" width="10.25" style="225" customWidth="1"/>
    <col min="7692" max="7692" width="11.625" style="225" customWidth="1"/>
    <col min="7693" max="7695" width="6.25" style="225" hidden="1" customWidth="1"/>
    <col min="7696" max="7697" width="8.25" style="225" customWidth="1"/>
    <col min="7698" max="7698" width="10.25" style="225" customWidth="1"/>
    <col min="7699" max="7699" width="8.25" style="225" customWidth="1"/>
    <col min="7700" max="7936" width="6.25" style="225"/>
    <col min="7937" max="7937" width="8.25" style="225" customWidth="1"/>
    <col min="7938" max="7938" width="26.5" style="225" customWidth="1"/>
    <col min="7939" max="7941" width="8.25" style="225" customWidth="1"/>
    <col min="7942" max="7942" width="10.75" style="225" customWidth="1"/>
    <col min="7943" max="7943" width="11.25" style="225" customWidth="1"/>
    <col min="7944" max="7944" width="10.875" style="225" customWidth="1"/>
    <col min="7945" max="7946" width="6.25" style="225" hidden="1" customWidth="1"/>
    <col min="7947" max="7947" width="10.25" style="225" customWidth="1"/>
    <col min="7948" max="7948" width="11.625" style="225" customWidth="1"/>
    <col min="7949" max="7951" width="6.25" style="225" hidden="1" customWidth="1"/>
    <col min="7952" max="7953" width="8.25" style="225" customWidth="1"/>
    <col min="7954" max="7954" width="10.25" style="225" customWidth="1"/>
    <col min="7955" max="7955" width="8.25" style="225" customWidth="1"/>
    <col min="7956" max="8192" width="6.25" style="225"/>
    <col min="8193" max="8193" width="8.25" style="225" customWidth="1"/>
    <col min="8194" max="8194" width="26.5" style="225" customWidth="1"/>
    <col min="8195" max="8197" width="8.25" style="225" customWidth="1"/>
    <col min="8198" max="8198" width="10.75" style="225" customWidth="1"/>
    <col min="8199" max="8199" width="11.25" style="225" customWidth="1"/>
    <col min="8200" max="8200" width="10.875" style="225" customWidth="1"/>
    <col min="8201" max="8202" width="6.25" style="225" hidden="1" customWidth="1"/>
    <col min="8203" max="8203" width="10.25" style="225" customWidth="1"/>
    <col min="8204" max="8204" width="11.625" style="225" customWidth="1"/>
    <col min="8205" max="8207" width="6.25" style="225" hidden="1" customWidth="1"/>
    <col min="8208" max="8209" width="8.25" style="225" customWidth="1"/>
    <col min="8210" max="8210" width="10.25" style="225" customWidth="1"/>
    <col min="8211" max="8211" width="8.25" style="225" customWidth="1"/>
    <col min="8212" max="8448" width="6.25" style="225"/>
    <col min="8449" max="8449" width="8.25" style="225" customWidth="1"/>
    <col min="8450" max="8450" width="26.5" style="225" customWidth="1"/>
    <col min="8451" max="8453" width="8.25" style="225" customWidth="1"/>
    <col min="8454" max="8454" width="10.75" style="225" customWidth="1"/>
    <col min="8455" max="8455" width="11.25" style="225" customWidth="1"/>
    <col min="8456" max="8456" width="10.875" style="225" customWidth="1"/>
    <col min="8457" max="8458" width="6.25" style="225" hidden="1" customWidth="1"/>
    <col min="8459" max="8459" width="10.25" style="225" customWidth="1"/>
    <col min="8460" max="8460" width="11.625" style="225" customWidth="1"/>
    <col min="8461" max="8463" width="6.25" style="225" hidden="1" customWidth="1"/>
    <col min="8464" max="8465" width="8.25" style="225" customWidth="1"/>
    <col min="8466" max="8466" width="10.25" style="225" customWidth="1"/>
    <col min="8467" max="8467" width="8.25" style="225" customWidth="1"/>
    <col min="8468" max="8704" width="6.25" style="225"/>
    <col min="8705" max="8705" width="8.25" style="225" customWidth="1"/>
    <col min="8706" max="8706" width="26.5" style="225" customWidth="1"/>
    <col min="8707" max="8709" width="8.25" style="225" customWidth="1"/>
    <col min="8710" max="8710" width="10.75" style="225" customWidth="1"/>
    <col min="8711" max="8711" width="11.25" style="225" customWidth="1"/>
    <col min="8712" max="8712" width="10.875" style="225" customWidth="1"/>
    <col min="8713" max="8714" width="6.25" style="225" hidden="1" customWidth="1"/>
    <col min="8715" max="8715" width="10.25" style="225" customWidth="1"/>
    <col min="8716" max="8716" width="11.625" style="225" customWidth="1"/>
    <col min="8717" max="8719" width="6.25" style="225" hidden="1" customWidth="1"/>
    <col min="8720" max="8721" width="8.25" style="225" customWidth="1"/>
    <col min="8722" max="8722" width="10.25" style="225" customWidth="1"/>
    <col min="8723" max="8723" width="8.25" style="225" customWidth="1"/>
    <col min="8724" max="8960" width="6.25" style="225"/>
    <col min="8961" max="8961" width="8.25" style="225" customWidth="1"/>
    <col min="8962" max="8962" width="26.5" style="225" customWidth="1"/>
    <col min="8963" max="8965" width="8.25" style="225" customWidth="1"/>
    <col min="8966" max="8966" width="10.75" style="225" customWidth="1"/>
    <col min="8967" max="8967" width="11.25" style="225" customWidth="1"/>
    <col min="8968" max="8968" width="10.875" style="225" customWidth="1"/>
    <col min="8969" max="8970" width="6.25" style="225" hidden="1" customWidth="1"/>
    <col min="8971" max="8971" width="10.25" style="225" customWidth="1"/>
    <col min="8972" max="8972" width="11.625" style="225" customWidth="1"/>
    <col min="8973" max="8975" width="6.25" style="225" hidden="1" customWidth="1"/>
    <col min="8976" max="8977" width="8.25" style="225" customWidth="1"/>
    <col min="8978" max="8978" width="10.25" style="225" customWidth="1"/>
    <col min="8979" max="8979" width="8.25" style="225" customWidth="1"/>
    <col min="8980" max="9216" width="6.25" style="225"/>
    <col min="9217" max="9217" width="8.25" style="225" customWidth="1"/>
    <col min="9218" max="9218" width="26.5" style="225" customWidth="1"/>
    <col min="9219" max="9221" width="8.25" style="225" customWidth="1"/>
    <col min="9222" max="9222" width="10.75" style="225" customWidth="1"/>
    <col min="9223" max="9223" width="11.25" style="225" customWidth="1"/>
    <col min="9224" max="9224" width="10.875" style="225" customWidth="1"/>
    <col min="9225" max="9226" width="6.25" style="225" hidden="1" customWidth="1"/>
    <col min="9227" max="9227" width="10.25" style="225" customWidth="1"/>
    <col min="9228" max="9228" width="11.625" style="225" customWidth="1"/>
    <col min="9229" max="9231" width="6.25" style="225" hidden="1" customWidth="1"/>
    <col min="9232" max="9233" width="8.25" style="225" customWidth="1"/>
    <col min="9234" max="9234" width="10.25" style="225" customWidth="1"/>
    <col min="9235" max="9235" width="8.25" style="225" customWidth="1"/>
    <col min="9236" max="9472" width="6.25" style="225"/>
    <col min="9473" max="9473" width="8.25" style="225" customWidth="1"/>
    <col min="9474" max="9474" width="26.5" style="225" customWidth="1"/>
    <col min="9475" max="9477" width="8.25" style="225" customWidth="1"/>
    <col min="9478" max="9478" width="10.75" style="225" customWidth="1"/>
    <col min="9479" max="9479" width="11.25" style="225" customWidth="1"/>
    <col min="9480" max="9480" width="10.875" style="225" customWidth="1"/>
    <col min="9481" max="9482" width="6.25" style="225" hidden="1" customWidth="1"/>
    <col min="9483" max="9483" width="10.25" style="225" customWidth="1"/>
    <col min="9484" max="9484" width="11.625" style="225" customWidth="1"/>
    <col min="9485" max="9487" width="6.25" style="225" hidden="1" customWidth="1"/>
    <col min="9488" max="9489" width="8.25" style="225" customWidth="1"/>
    <col min="9490" max="9490" width="10.25" style="225" customWidth="1"/>
    <col min="9491" max="9491" width="8.25" style="225" customWidth="1"/>
    <col min="9492" max="9728" width="6.25" style="225"/>
    <col min="9729" max="9729" width="8.25" style="225" customWidth="1"/>
    <col min="9730" max="9730" width="26.5" style="225" customWidth="1"/>
    <col min="9731" max="9733" width="8.25" style="225" customWidth="1"/>
    <col min="9734" max="9734" width="10.75" style="225" customWidth="1"/>
    <col min="9735" max="9735" width="11.25" style="225" customWidth="1"/>
    <col min="9736" max="9736" width="10.875" style="225" customWidth="1"/>
    <col min="9737" max="9738" width="6.25" style="225" hidden="1" customWidth="1"/>
    <col min="9739" max="9739" width="10.25" style="225" customWidth="1"/>
    <col min="9740" max="9740" width="11.625" style="225" customWidth="1"/>
    <col min="9741" max="9743" width="6.25" style="225" hidden="1" customWidth="1"/>
    <col min="9744" max="9745" width="8.25" style="225" customWidth="1"/>
    <col min="9746" max="9746" width="10.25" style="225" customWidth="1"/>
    <col min="9747" max="9747" width="8.25" style="225" customWidth="1"/>
    <col min="9748" max="9984" width="6.25" style="225"/>
    <col min="9985" max="9985" width="8.25" style="225" customWidth="1"/>
    <col min="9986" max="9986" width="26.5" style="225" customWidth="1"/>
    <col min="9987" max="9989" width="8.25" style="225" customWidth="1"/>
    <col min="9990" max="9990" width="10.75" style="225" customWidth="1"/>
    <col min="9991" max="9991" width="11.25" style="225" customWidth="1"/>
    <col min="9992" max="9992" width="10.875" style="225" customWidth="1"/>
    <col min="9993" max="9994" width="6.25" style="225" hidden="1" customWidth="1"/>
    <col min="9995" max="9995" width="10.25" style="225" customWidth="1"/>
    <col min="9996" max="9996" width="11.625" style="225" customWidth="1"/>
    <col min="9997" max="9999" width="6.25" style="225" hidden="1" customWidth="1"/>
    <col min="10000" max="10001" width="8.25" style="225" customWidth="1"/>
    <col min="10002" max="10002" width="10.25" style="225" customWidth="1"/>
    <col min="10003" max="10003" width="8.25" style="225" customWidth="1"/>
    <col min="10004" max="10240" width="6.25" style="225"/>
    <col min="10241" max="10241" width="8.25" style="225" customWidth="1"/>
    <col min="10242" max="10242" width="26.5" style="225" customWidth="1"/>
    <col min="10243" max="10245" width="8.25" style="225" customWidth="1"/>
    <col min="10246" max="10246" width="10.75" style="225" customWidth="1"/>
    <col min="10247" max="10247" width="11.25" style="225" customWidth="1"/>
    <col min="10248" max="10248" width="10.875" style="225" customWidth="1"/>
    <col min="10249" max="10250" width="6.25" style="225" hidden="1" customWidth="1"/>
    <col min="10251" max="10251" width="10.25" style="225" customWidth="1"/>
    <col min="10252" max="10252" width="11.625" style="225" customWidth="1"/>
    <col min="10253" max="10255" width="6.25" style="225" hidden="1" customWidth="1"/>
    <col min="10256" max="10257" width="8.25" style="225" customWidth="1"/>
    <col min="10258" max="10258" width="10.25" style="225" customWidth="1"/>
    <col min="10259" max="10259" width="8.25" style="225" customWidth="1"/>
    <col min="10260" max="10496" width="6.25" style="225"/>
    <col min="10497" max="10497" width="8.25" style="225" customWidth="1"/>
    <col min="10498" max="10498" width="26.5" style="225" customWidth="1"/>
    <col min="10499" max="10501" width="8.25" style="225" customWidth="1"/>
    <col min="10502" max="10502" width="10.75" style="225" customWidth="1"/>
    <col min="10503" max="10503" width="11.25" style="225" customWidth="1"/>
    <col min="10504" max="10504" width="10.875" style="225" customWidth="1"/>
    <col min="10505" max="10506" width="6.25" style="225" hidden="1" customWidth="1"/>
    <col min="10507" max="10507" width="10.25" style="225" customWidth="1"/>
    <col min="10508" max="10508" width="11.625" style="225" customWidth="1"/>
    <col min="10509" max="10511" width="6.25" style="225" hidden="1" customWidth="1"/>
    <col min="10512" max="10513" width="8.25" style="225" customWidth="1"/>
    <col min="10514" max="10514" width="10.25" style="225" customWidth="1"/>
    <col min="10515" max="10515" width="8.25" style="225" customWidth="1"/>
    <col min="10516" max="10752" width="6.25" style="225"/>
    <col min="10753" max="10753" width="8.25" style="225" customWidth="1"/>
    <col min="10754" max="10754" width="26.5" style="225" customWidth="1"/>
    <col min="10755" max="10757" width="8.25" style="225" customWidth="1"/>
    <col min="10758" max="10758" width="10.75" style="225" customWidth="1"/>
    <col min="10759" max="10759" width="11.25" style="225" customWidth="1"/>
    <col min="10760" max="10760" width="10.875" style="225" customWidth="1"/>
    <col min="10761" max="10762" width="6.25" style="225" hidden="1" customWidth="1"/>
    <col min="10763" max="10763" width="10.25" style="225" customWidth="1"/>
    <col min="10764" max="10764" width="11.625" style="225" customWidth="1"/>
    <col min="10765" max="10767" width="6.25" style="225" hidden="1" customWidth="1"/>
    <col min="10768" max="10769" width="8.25" style="225" customWidth="1"/>
    <col min="10770" max="10770" width="10.25" style="225" customWidth="1"/>
    <col min="10771" max="10771" width="8.25" style="225" customWidth="1"/>
    <col min="10772" max="11008" width="6.25" style="225"/>
    <col min="11009" max="11009" width="8.25" style="225" customWidth="1"/>
    <col min="11010" max="11010" width="26.5" style="225" customWidth="1"/>
    <col min="11011" max="11013" width="8.25" style="225" customWidth="1"/>
    <col min="11014" max="11014" width="10.75" style="225" customWidth="1"/>
    <col min="11015" max="11015" width="11.25" style="225" customWidth="1"/>
    <col min="11016" max="11016" width="10.875" style="225" customWidth="1"/>
    <col min="11017" max="11018" width="6.25" style="225" hidden="1" customWidth="1"/>
    <col min="11019" max="11019" width="10.25" style="225" customWidth="1"/>
    <col min="11020" max="11020" width="11.625" style="225" customWidth="1"/>
    <col min="11021" max="11023" width="6.25" style="225" hidden="1" customWidth="1"/>
    <col min="11024" max="11025" width="8.25" style="225" customWidth="1"/>
    <col min="11026" max="11026" width="10.25" style="225" customWidth="1"/>
    <col min="11027" max="11027" width="8.25" style="225" customWidth="1"/>
    <col min="11028" max="11264" width="6.25" style="225"/>
    <col min="11265" max="11265" width="8.25" style="225" customWidth="1"/>
    <col min="11266" max="11266" width="26.5" style="225" customWidth="1"/>
    <col min="11267" max="11269" width="8.25" style="225" customWidth="1"/>
    <col min="11270" max="11270" width="10.75" style="225" customWidth="1"/>
    <col min="11271" max="11271" width="11.25" style="225" customWidth="1"/>
    <col min="11272" max="11272" width="10.875" style="225" customWidth="1"/>
    <col min="11273" max="11274" width="6.25" style="225" hidden="1" customWidth="1"/>
    <col min="11275" max="11275" width="10.25" style="225" customWidth="1"/>
    <col min="11276" max="11276" width="11.625" style="225" customWidth="1"/>
    <col min="11277" max="11279" width="6.25" style="225" hidden="1" customWidth="1"/>
    <col min="11280" max="11281" width="8.25" style="225" customWidth="1"/>
    <col min="11282" max="11282" width="10.25" style="225" customWidth="1"/>
    <col min="11283" max="11283" width="8.25" style="225" customWidth="1"/>
    <col min="11284" max="11520" width="6.25" style="225"/>
    <col min="11521" max="11521" width="8.25" style="225" customWidth="1"/>
    <col min="11522" max="11522" width="26.5" style="225" customWidth="1"/>
    <col min="11523" max="11525" width="8.25" style="225" customWidth="1"/>
    <col min="11526" max="11526" width="10.75" style="225" customWidth="1"/>
    <col min="11527" max="11527" width="11.25" style="225" customWidth="1"/>
    <col min="11528" max="11528" width="10.875" style="225" customWidth="1"/>
    <col min="11529" max="11530" width="6.25" style="225" hidden="1" customWidth="1"/>
    <col min="11531" max="11531" width="10.25" style="225" customWidth="1"/>
    <col min="11532" max="11532" width="11.625" style="225" customWidth="1"/>
    <col min="11533" max="11535" width="6.25" style="225" hidden="1" customWidth="1"/>
    <col min="11536" max="11537" width="8.25" style="225" customWidth="1"/>
    <col min="11538" max="11538" width="10.25" style="225" customWidth="1"/>
    <col min="11539" max="11539" width="8.25" style="225" customWidth="1"/>
    <col min="11540" max="11776" width="6.25" style="225"/>
    <col min="11777" max="11777" width="8.25" style="225" customWidth="1"/>
    <col min="11778" max="11778" width="26.5" style="225" customWidth="1"/>
    <col min="11779" max="11781" width="8.25" style="225" customWidth="1"/>
    <col min="11782" max="11782" width="10.75" style="225" customWidth="1"/>
    <col min="11783" max="11783" width="11.25" style="225" customWidth="1"/>
    <col min="11784" max="11784" width="10.875" style="225" customWidth="1"/>
    <col min="11785" max="11786" width="6.25" style="225" hidden="1" customWidth="1"/>
    <col min="11787" max="11787" width="10.25" style="225" customWidth="1"/>
    <col min="11788" max="11788" width="11.625" style="225" customWidth="1"/>
    <col min="11789" max="11791" width="6.25" style="225" hidden="1" customWidth="1"/>
    <col min="11792" max="11793" width="8.25" style="225" customWidth="1"/>
    <col min="11794" max="11794" width="10.25" style="225" customWidth="1"/>
    <col min="11795" max="11795" width="8.25" style="225" customWidth="1"/>
    <col min="11796" max="12032" width="6.25" style="225"/>
    <col min="12033" max="12033" width="8.25" style="225" customWidth="1"/>
    <col min="12034" max="12034" width="26.5" style="225" customWidth="1"/>
    <col min="12035" max="12037" width="8.25" style="225" customWidth="1"/>
    <col min="12038" max="12038" width="10.75" style="225" customWidth="1"/>
    <col min="12039" max="12039" width="11.25" style="225" customWidth="1"/>
    <col min="12040" max="12040" width="10.875" style="225" customWidth="1"/>
    <col min="12041" max="12042" width="6.25" style="225" hidden="1" customWidth="1"/>
    <col min="12043" max="12043" width="10.25" style="225" customWidth="1"/>
    <col min="12044" max="12044" width="11.625" style="225" customWidth="1"/>
    <col min="12045" max="12047" width="6.25" style="225" hidden="1" customWidth="1"/>
    <col min="12048" max="12049" width="8.25" style="225" customWidth="1"/>
    <col min="12050" max="12050" width="10.25" style="225" customWidth="1"/>
    <col min="12051" max="12051" width="8.25" style="225" customWidth="1"/>
    <col min="12052" max="12288" width="6.25" style="225"/>
    <col min="12289" max="12289" width="8.25" style="225" customWidth="1"/>
    <col min="12290" max="12290" width="26.5" style="225" customWidth="1"/>
    <col min="12291" max="12293" width="8.25" style="225" customWidth="1"/>
    <col min="12294" max="12294" width="10.75" style="225" customWidth="1"/>
    <col min="12295" max="12295" width="11.25" style="225" customWidth="1"/>
    <col min="12296" max="12296" width="10.875" style="225" customWidth="1"/>
    <col min="12297" max="12298" width="6.25" style="225" hidden="1" customWidth="1"/>
    <col min="12299" max="12299" width="10.25" style="225" customWidth="1"/>
    <col min="12300" max="12300" width="11.625" style="225" customWidth="1"/>
    <col min="12301" max="12303" width="6.25" style="225" hidden="1" customWidth="1"/>
    <col min="12304" max="12305" width="8.25" style="225" customWidth="1"/>
    <col min="12306" max="12306" width="10.25" style="225" customWidth="1"/>
    <col min="12307" max="12307" width="8.25" style="225" customWidth="1"/>
    <col min="12308" max="12544" width="6.25" style="225"/>
    <col min="12545" max="12545" width="8.25" style="225" customWidth="1"/>
    <col min="12546" max="12546" width="26.5" style="225" customWidth="1"/>
    <col min="12547" max="12549" width="8.25" style="225" customWidth="1"/>
    <col min="12550" max="12550" width="10.75" style="225" customWidth="1"/>
    <col min="12551" max="12551" width="11.25" style="225" customWidth="1"/>
    <col min="12552" max="12552" width="10.875" style="225" customWidth="1"/>
    <col min="12553" max="12554" width="6.25" style="225" hidden="1" customWidth="1"/>
    <col min="12555" max="12555" width="10.25" style="225" customWidth="1"/>
    <col min="12556" max="12556" width="11.625" style="225" customWidth="1"/>
    <col min="12557" max="12559" width="6.25" style="225" hidden="1" customWidth="1"/>
    <col min="12560" max="12561" width="8.25" style="225" customWidth="1"/>
    <col min="12562" max="12562" width="10.25" style="225" customWidth="1"/>
    <col min="12563" max="12563" width="8.25" style="225" customWidth="1"/>
    <col min="12564" max="12800" width="6.25" style="225"/>
    <col min="12801" max="12801" width="8.25" style="225" customWidth="1"/>
    <col min="12802" max="12802" width="26.5" style="225" customWidth="1"/>
    <col min="12803" max="12805" width="8.25" style="225" customWidth="1"/>
    <col min="12806" max="12806" width="10.75" style="225" customWidth="1"/>
    <col min="12807" max="12807" width="11.25" style="225" customWidth="1"/>
    <col min="12808" max="12808" width="10.875" style="225" customWidth="1"/>
    <col min="12809" max="12810" width="6.25" style="225" hidden="1" customWidth="1"/>
    <col min="12811" max="12811" width="10.25" style="225" customWidth="1"/>
    <col min="12812" max="12812" width="11.625" style="225" customWidth="1"/>
    <col min="12813" max="12815" width="6.25" style="225" hidden="1" customWidth="1"/>
    <col min="12816" max="12817" width="8.25" style="225" customWidth="1"/>
    <col min="12818" max="12818" width="10.25" style="225" customWidth="1"/>
    <col min="12819" max="12819" width="8.25" style="225" customWidth="1"/>
    <col min="12820" max="13056" width="6.25" style="225"/>
    <col min="13057" max="13057" width="8.25" style="225" customWidth="1"/>
    <col min="13058" max="13058" width="26.5" style="225" customWidth="1"/>
    <col min="13059" max="13061" width="8.25" style="225" customWidth="1"/>
    <col min="13062" max="13062" width="10.75" style="225" customWidth="1"/>
    <col min="13063" max="13063" width="11.25" style="225" customWidth="1"/>
    <col min="13064" max="13064" width="10.875" style="225" customWidth="1"/>
    <col min="13065" max="13066" width="6.25" style="225" hidden="1" customWidth="1"/>
    <col min="13067" max="13067" width="10.25" style="225" customWidth="1"/>
    <col min="13068" max="13068" width="11.625" style="225" customWidth="1"/>
    <col min="13069" max="13071" width="6.25" style="225" hidden="1" customWidth="1"/>
    <col min="13072" max="13073" width="8.25" style="225" customWidth="1"/>
    <col min="13074" max="13074" width="10.25" style="225" customWidth="1"/>
    <col min="13075" max="13075" width="8.25" style="225" customWidth="1"/>
    <col min="13076" max="13312" width="6.25" style="225"/>
    <col min="13313" max="13313" width="8.25" style="225" customWidth="1"/>
    <col min="13314" max="13314" width="26.5" style="225" customWidth="1"/>
    <col min="13315" max="13317" width="8.25" style="225" customWidth="1"/>
    <col min="13318" max="13318" width="10.75" style="225" customWidth="1"/>
    <col min="13319" max="13319" width="11.25" style="225" customWidth="1"/>
    <col min="13320" max="13320" width="10.875" style="225" customWidth="1"/>
    <col min="13321" max="13322" width="6.25" style="225" hidden="1" customWidth="1"/>
    <col min="13323" max="13323" width="10.25" style="225" customWidth="1"/>
    <col min="13324" max="13324" width="11.625" style="225" customWidth="1"/>
    <col min="13325" max="13327" width="6.25" style="225" hidden="1" customWidth="1"/>
    <col min="13328" max="13329" width="8.25" style="225" customWidth="1"/>
    <col min="13330" max="13330" width="10.25" style="225" customWidth="1"/>
    <col min="13331" max="13331" width="8.25" style="225" customWidth="1"/>
    <col min="13332" max="13568" width="6.25" style="225"/>
    <col min="13569" max="13569" width="8.25" style="225" customWidth="1"/>
    <col min="13570" max="13570" width="26.5" style="225" customWidth="1"/>
    <col min="13571" max="13573" width="8.25" style="225" customWidth="1"/>
    <col min="13574" max="13574" width="10.75" style="225" customWidth="1"/>
    <col min="13575" max="13575" width="11.25" style="225" customWidth="1"/>
    <col min="13576" max="13576" width="10.875" style="225" customWidth="1"/>
    <col min="13577" max="13578" width="6.25" style="225" hidden="1" customWidth="1"/>
    <col min="13579" max="13579" width="10.25" style="225" customWidth="1"/>
    <col min="13580" max="13580" width="11.625" style="225" customWidth="1"/>
    <col min="13581" max="13583" width="6.25" style="225" hidden="1" customWidth="1"/>
    <col min="13584" max="13585" width="8.25" style="225" customWidth="1"/>
    <col min="13586" max="13586" width="10.25" style="225" customWidth="1"/>
    <col min="13587" max="13587" width="8.25" style="225" customWidth="1"/>
    <col min="13588" max="13824" width="6.25" style="225"/>
    <col min="13825" max="13825" width="8.25" style="225" customWidth="1"/>
    <col min="13826" max="13826" width="26.5" style="225" customWidth="1"/>
    <col min="13827" max="13829" width="8.25" style="225" customWidth="1"/>
    <col min="13830" max="13830" width="10.75" style="225" customWidth="1"/>
    <col min="13831" max="13831" width="11.25" style="225" customWidth="1"/>
    <col min="13832" max="13832" width="10.875" style="225" customWidth="1"/>
    <col min="13833" max="13834" width="6.25" style="225" hidden="1" customWidth="1"/>
    <col min="13835" max="13835" width="10.25" style="225" customWidth="1"/>
    <col min="13836" max="13836" width="11.625" style="225" customWidth="1"/>
    <col min="13837" max="13839" width="6.25" style="225" hidden="1" customWidth="1"/>
    <col min="13840" max="13841" width="8.25" style="225" customWidth="1"/>
    <col min="13842" max="13842" width="10.25" style="225" customWidth="1"/>
    <col min="13843" max="13843" width="8.25" style="225" customWidth="1"/>
    <col min="13844" max="14080" width="6.25" style="225"/>
    <col min="14081" max="14081" width="8.25" style="225" customWidth="1"/>
    <col min="14082" max="14082" width="26.5" style="225" customWidth="1"/>
    <col min="14083" max="14085" width="8.25" style="225" customWidth="1"/>
    <col min="14086" max="14086" width="10.75" style="225" customWidth="1"/>
    <col min="14087" max="14087" width="11.25" style="225" customWidth="1"/>
    <col min="14088" max="14088" width="10.875" style="225" customWidth="1"/>
    <col min="14089" max="14090" width="6.25" style="225" hidden="1" customWidth="1"/>
    <col min="14091" max="14091" width="10.25" style="225" customWidth="1"/>
    <col min="14092" max="14092" width="11.625" style="225" customWidth="1"/>
    <col min="14093" max="14095" width="6.25" style="225" hidden="1" customWidth="1"/>
    <col min="14096" max="14097" width="8.25" style="225" customWidth="1"/>
    <col min="14098" max="14098" width="10.25" style="225" customWidth="1"/>
    <col min="14099" max="14099" width="8.25" style="225" customWidth="1"/>
    <col min="14100" max="14336" width="6.25" style="225"/>
    <col min="14337" max="14337" width="8.25" style="225" customWidth="1"/>
    <col min="14338" max="14338" width="26.5" style="225" customWidth="1"/>
    <col min="14339" max="14341" width="8.25" style="225" customWidth="1"/>
    <col min="14342" max="14342" width="10.75" style="225" customWidth="1"/>
    <col min="14343" max="14343" width="11.25" style="225" customWidth="1"/>
    <col min="14344" max="14344" width="10.875" style="225" customWidth="1"/>
    <col min="14345" max="14346" width="6.25" style="225" hidden="1" customWidth="1"/>
    <col min="14347" max="14347" width="10.25" style="225" customWidth="1"/>
    <col min="14348" max="14348" width="11.625" style="225" customWidth="1"/>
    <col min="14349" max="14351" width="6.25" style="225" hidden="1" customWidth="1"/>
    <col min="14352" max="14353" width="8.25" style="225" customWidth="1"/>
    <col min="14354" max="14354" width="10.25" style="225" customWidth="1"/>
    <col min="14355" max="14355" width="8.25" style="225" customWidth="1"/>
    <col min="14356" max="14592" width="6.25" style="225"/>
    <col min="14593" max="14593" width="8.25" style="225" customWidth="1"/>
    <col min="14594" max="14594" width="26.5" style="225" customWidth="1"/>
    <col min="14595" max="14597" width="8.25" style="225" customWidth="1"/>
    <col min="14598" max="14598" width="10.75" style="225" customWidth="1"/>
    <col min="14599" max="14599" width="11.25" style="225" customWidth="1"/>
    <col min="14600" max="14600" width="10.875" style="225" customWidth="1"/>
    <col min="14601" max="14602" width="6.25" style="225" hidden="1" customWidth="1"/>
    <col min="14603" max="14603" width="10.25" style="225" customWidth="1"/>
    <col min="14604" max="14604" width="11.625" style="225" customWidth="1"/>
    <col min="14605" max="14607" width="6.25" style="225" hidden="1" customWidth="1"/>
    <col min="14608" max="14609" width="8.25" style="225" customWidth="1"/>
    <col min="14610" max="14610" width="10.25" style="225" customWidth="1"/>
    <col min="14611" max="14611" width="8.25" style="225" customWidth="1"/>
    <col min="14612" max="14848" width="6.25" style="225"/>
    <col min="14849" max="14849" width="8.25" style="225" customWidth="1"/>
    <col min="14850" max="14850" width="26.5" style="225" customWidth="1"/>
    <col min="14851" max="14853" width="8.25" style="225" customWidth="1"/>
    <col min="14854" max="14854" width="10.75" style="225" customWidth="1"/>
    <col min="14855" max="14855" width="11.25" style="225" customWidth="1"/>
    <col min="14856" max="14856" width="10.875" style="225" customWidth="1"/>
    <col min="14857" max="14858" width="6.25" style="225" hidden="1" customWidth="1"/>
    <col min="14859" max="14859" width="10.25" style="225" customWidth="1"/>
    <col min="14860" max="14860" width="11.625" style="225" customWidth="1"/>
    <col min="14861" max="14863" width="6.25" style="225" hidden="1" customWidth="1"/>
    <col min="14864" max="14865" width="8.25" style="225" customWidth="1"/>
    <col min="14866" max="14866" width="10.25" style="225" customWidth="1"/>
    <col min="14867" max="14867" width="8.25" style="225" customWidth="1"/>
    <col min="14868" max="15104" width="6.25" style="225"/>
    <col min="15105" max="15105" width="8.25" style="225" customWidth="1"/>
    <col min="15106" max="15106" width="26.5" style="225" customWidth="1"/>
    <col min="15107" max="15109" width="8.25" style="225" customWidth="1"/>
    <col min="15110" max="15110" width="10.75" style="225" customWidth="1"/>
    <col min="15111" max="15111" width="11.25" style="225" customWidth="1"/>
    <col min="15112" max="15112" width="10.875" style="225" customWidth="1"/>
    <col min="15113" max="15114" width="6.25" style="225" hidden="1" customWidth="1"/>
    <col min="15115" max="15115" width="10.25" style="225" customWidth="1"/>
    <col min="15116" max="15116" width="11.625" style="225" customWidth="1"/>
    <col min="15117" max="15119" width="6.25" style="225" hidden="1" customWidth="1"/>
    <col min="15120" max="15121" width="8.25" style="225" customWidth="1"/>
    <col min="15122" max="15122" width="10.25" style="225" customWidth="1"/>
    <col min="15123" max="15123" width="8.25" style="225" customWidth="1"/>
    <col min="15124" max="15360" width="6.25" style="225"/>
    <col min="15361" max="15361" width="8.25" style="225" customWidth="1"/>
    <col min="15362" max="15362" width="26.5" style="225" customWidth="1"/>
    <col min="15363" max="15365" width="8.25" style="225" customWidth="1"/>
    <col min="15366" max="15366" width="10.75" style="225" customWidth="1"/>
    <col min="15367" max="15367" width="11.25" style="225" customWidth="1"/>
    <col min="15368" max="15368" width="10.875" style="225" customWidth="1"/>
    <col min="15369" max="15370" width="6.25" style="225" hidden="1" customWidth="1"/>
    <col min="15371" max="15371" width="10.25" style="225" customWidth="1"/>
    <col min="15372" max="15372" width="11.625" style="225" customWidth="1"/>
    <col min="15373" max="15375" width="6.25" style="225" hidden="1" customWidth="1"/>
    <col min="15376" max="15377" width="8.25" style="225" customWidth="1"/>
    <col min="15378" max="15378" width="10.25" style="225" customWidth="1"/>
    <col min="15379" max="15379" width="8.25" style="225" customWidth="1"/>
    <col min="15380" max="15616" width="6.25" style="225"/>
    <col min="15617" max="15617" width="8.25" style="225" customWidth="1"/>
    <col min="15618" max="15618" width="26.5" style="225" customWidth="1"/>
    <col min="15619" max="15621" width="8.25" style="225" customWidth="1"/>
    <col min="15622" max="15622" width="10.75" style="225" customWidth="1"/>
    <col min="15623" max="15623" width="11.25" style="225" customWidth="1"/>
    <col min="15624" max="15624" width="10.875" style="225" customWidth="1"/>
    <col min="15625" max="15626" width="6.25" style="225" hidden="1" customWidth="1"/>
    <col min="15627" max="15627" width="10.25" style="225" customWidth="1"/>
    <col min="15628" max="15628" width="11.625" style="225" customWidth="1"/>
    <col min="15629" max="15631" width="6.25" style="225" hidden="1" customWidth="1"/>
    <col min="15632" max="15633" width="8.25" style="225" customWidth="1"/>
    <col min="15634" max="15634" width="10.25" style="225" customWidth="1"/>
    <col min="15635" max="15635" width="8.25" style="225" customWidth="1"/>
    <col min="15636" max="15872" width="6.25" style="225"/>
    <col min="15873" max="15873" width="8.25" style="225" customWidth="1"/>
    <col min="15874" max="15874" width="26.5" style="225" customWidth="1"/>
    <col min="15875" max="15877" width="8.25" style="225" customWidth="1"/>
    <col min="15878" max="15878" width="10.75" style="225" customWidth="1"/>
    <col min="15879" max="15879" width="11.25" style="225" customWidth="1"/>
    <col min="15880" max="15880" width="10.875" style="225" customWidth="1"/>
    <col min="15881" max="15882" width="6.25" style="225" hidden="1" customWidth="1"/>
    <col min="15883" max="15883" width="10.25" style="225" customWidth="1"/>
    <col min="15884" max="15884" width="11.625" style="225" customWidth="1"/>
    <col min="15885" max="15887" width="6.25" style="225" hidden="1" customWidth="1"/>
    <col min="15888" max="15889" width="8.25" style="225" customWidth="1"/>
    <col min="15890" max="15890" width="10.25" style="225" customWidth="1"/>
    <col min="15891" max="15891" width="8.25" style="225" customWidth="1"/>
    <col min="15892" max="16128" width="6.25" style="225"/>
    <col min="16129" max="16129" width="8.25" style="225" customWidth="1"/>
    <col min="16130" max="16130" width="26.5" style="225" customWidth="1"/>
    <col min="16131" max="16133" width="8.25" style="225" customWidth="1"/>
    <col min="16134" max="16134" width="10.75" style="225" customWidth="1"/>
    <col min="16135" max="16135" width="11.25" style="225" customWidth="1"/>
    <col min="16136" max="16136" width="10.875" style="225" customWidth="1"/>
    <col min="16137" max="16138" width="6.25" style="225" hidden="1" customWidth="1"/>
    <col min="16139" max="16139" width="10.25" style="225" customWidth="1"/>
    <col min="16140" max="16140" width="11.625" style="225" customWidth="1"/>
    <col min="16141" max="16143" width="6.25" style="225" hidden="1" customWidth="1"/>
    <col min="16144" max="16145" width="8.25" style="225" customWidth="1"/>
    <col min="16146" max="16146" width="10.25" style="225" customWidth="1"/>
    <col min="16147" max="16147" width="8.25" style="225" customWidth="1"/>
    <col min="16148" max="16384" width="6.25" style="225"/>
  </cols>
  <sheetData>
    <row r="1" spans="1:19" ht="15" customHeight="1">
      <c r="A1" s="227" t="s">
        <v>512</v>
      </c>
      <c r="B1" s="227"/>
      <c r="C1" s="227"/>
      <c r="D1" s="228"/>
      <c r="E1" s="228"/>
      <c r="F1" s="228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9" ht="15" customHeight="1">
      <c r="A2" s="227" t="s">
        <v>604</v>
      </c>
      <c r="B2" s="227"/>
      <c r="C2" s="227"/>
      <c r="D2" s="228"/>
      <c r="E2" s="228"/>
      <c r="F2" s="228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19" ht="15" customHeight="1">
      <c r="A3" s="592" t="s">
        <v>514</v>
      </c>
      <c r="B3" s="592"/>
      <c r="C3" s="592"/>
      <c r="D3" s="228"/>
      <c r="E3" s="228"/>
      <c r="F3" s="228"/>
      <c r="G3" s="227" t="s">
        <v>515</v>
      </c>
      <c r="H3" s="227"/>
      <c r="I3" s="227"/>
      <c r="J3" s="227"/>
      <c r="L3" s="2" t="s">
        <v>516</v>
      </c>
      <c r="M3" s="2" t="s">
        <v>517</v>
      </c>
      <c r="N3" s="2"/>
      <c r="O3" s="2"/>
      <c r="P3" s="2"/>
    </row>
    <row r="5" spans="1:19" s="222" customFormat="1" ht="15" customHeight="1">
      <c r="A5" s="229" t="s">
        <v>169</v>
      </c>
      <c r="B5" s="229" t="s">
        <v>518</v>
      </c>
      <c r="C5" s="229" t="s">
        <v>519</v>
      </c>
      <c r="D5" s="230" t="s">
        <v>7</v>
      </c>
      <c r="E5" s="230"/>
      <c r="F5" s="230"/>
      <c r="G5" s="229" t="s">
        <v>605</v>
      </c>
      <c r="H5" s="229"/>
      <c r="I5" s="242" t="s">
        <v>606</v>
      </c>
      <c r="J5" s="229"/>
      <c r="K5" s="242" t="s">
        <v>607</v>
      </c>
      <c r="L5" s="229"/>
      <c r="M5" s="242" t="s">
        <v>608</v>
      </c>
      <c r="N5" s="229"/>
      <c r="O5" s="229" t="s">
        <v>609</v>
      </c>
      <c r="P5" s="242" t="s">
        <v>7</v>
      </c>
      <c r="Q5" s="229"/>
      <c r="R5" s="229"/>
    </row>
    <row r="6" spans="1:19" s="222" customFormat="1" ht="15" customHeight="1">
      <c r="A6" s="229"/>
      <c r="B6" s="229"/>
      <c r="C6" s="229"/>
      <c r="D6" s="230" t="s">
        <v>571</v>
      </c>
      <c r="E6" s="230" t="s">
        <v>610</v>
      </c>
      <c r="F6" s="230" t="s">
        <v>572</v>
      </c>
      <c r="G6" s="229" t="s">
        <v>571</v>
      </c>
      <c r="H6" s="229" t="s">
        <v>572</v>
      </c>
      <c r="I6" s="229" t="s">
        <v>571</v>
      </c>
      <c r="J6" s="229" t="s">
        <v>572</v>
      </c>
      <c r="K6" s="229" t="s">
        <v>571</v>
      </c>
      <c r="L6" s="229" t="s">
        <v>572</v>
      </c>
      <c r="M6" s="229" t="s">
        <v>571</v>
      </c>
      <c r="N6" s="229" t="s">
        <v>572</v>
      </c>
      <c r="O6" s="229" t="s">
        <v>571</v>
      </c>
      <c r="P6" s="229" t="s">
        <v>571</v>
      </c>
      <c r="Q6" s="229" t="s">
        <v>610</v>
      </c>
      <c r="R6" s="229" t="s">
        <v>572</v>
      </c>
    </row>
    <row r="7" spans="1:19" s="223" customFormat="1" ht="15" customHeight="1">
      <c r="A7" s="231" t="s">
        <v>611</v>
      </c>
      <c r="B7" s="231"/>
      <c r="D7" s="226"/>
      <c r="E7" s="226"/>
      <c r="F7" s="226"/>
    </row>
    <row r="8" spans="1:19" ht="15" customHeight="1">
      <c r="A8" s="140"/>
      <c r="B8" s="232"/>
      <c r="C8" s="233"/>
      <c r="D8" s="234"/>
      <c r="E8" s="234"/>
      <c r="F8" s="234"/>
      <c r="G8" s="235"/>
      <c r="H8" s="235"/>
      <c r="I8" s="235"/>
      <c r="J8" s="235"/>
      <c r="K8" s="243"/>
      <c r="L8" s="243"/>
      <c r="M8" s="235"/>
      <c r="N8" s="235"/>
      <c r="O8" s="235"/>
      <c r="P8" s="243"/>
      <c r="Q8" s="243"/>
      <c r="R8" s="243"/>
    </row>
    <row r="9" spans="1:19" ht="15" customHeight="1">
      <c r="A9" s="140" t="s">
        <v>177</v>
      </c>
      <c r="B9" s="232" t="s">
        <v>178</v>
      </c>
      <c r="C9" s="233" t="s">
        <v>573</v>
      </c>
      <c r="D9" s="236"/>
      <c r="E9" s="237"/>
      <c r="F9" s="237">
        <v>0</v>
      </c>
      <c r="G9" s="235"/>
      <c r="H9" s="235"/>
      <c r="I9" s="235"/>
      <c r="J9" s="235"/>
      <c r="K9" s="235"/>
      <c r="M9" s="235"/>
      <c r="N9" s="235"/>
      <c r="O9" s="235"/>
      <c r="P9" s="235"/>
      <c r="Q9" s="243"/>
      <c r="R9" s="243">
        <f>P9*Q9</f>
        <v>0</v>
      </c>
    </row>
    <row r="10" spans="1:19" ht="15" customHeight="1">
      <c r="A10" s="140" t="s">
        <v>187</v>
      </c>
      <c r="B10" s="232" t="s">
        <v>188</v>
      </c>
      <c r="C10" s="233" t="s">
        <v>573</v>
      </c>
      <c r="D10" s="236"/>
      <c r="E10" s="237"/>
      <c r="F10" s="237">
        <v>0</v>
      </c>
      <c r="G10" s="235"/>
      <c r="H10" s="235"/>
      <c r="I10" s="235"/>
      <c r="J10" s="235"/>
      <c r="K10" s="235"/>
      <c r="M10" s="235"/>
      <c r="N10" s="235"/>
      <c r="O10" s="235"/>
      <c r="P10" s="235"/>
      <c r="Q10" s="243"/>
      <c r="R10" s="243">
        <f t="shared" ref="R10:R16" si="0">P10*Q10</f>
        <v>0</v>
      </c>
    </row>
    <row r="11" spans="1:19" ht="15" customHeight="1">
      <c r="A11" s="82" t="s">
        <v>257</v>
      </c>
      <c r="B11" s="140" t="s">
        <v>582</v>
      </c>
      <c r="C11" s="233" t="s">
        <v>573</v>
      </c>
      <c r="D11" s="236">
        <v>1800</v>
      </c>
      <c r="E11" s="237">
        <v>10.5</v>
      </c>
      <c r="F11" s="237">
        <v>18900</v>
      </c>
      <c r="G11" s="235"/>
      <c r="H11" s="235"/>
      <c r="I11" s="243"/>
      <c r="J11" s="243"/>
      <c r="K11" s="235"/>
      <c r="M11" s="235"/>
      <c r="N11" s="235"/>
      <c r="O11" s="235"/>
      <c r="P11" s="235">
        <v>450</v>
      </c>
      <c r="Q11" s="243">
        <v>10.5</v>
      </c>
      <c r="R11" s="243">
        <f t="shared" si="0"/>
        <v>4725</v>
      </c>
    </row>
    <row r="12" spans="1:19" ht="15" customHeight="1">
      <c r="A12" s="140" t="s">
        <v>331</v>
      </c>
      <c r="B12" s="232" t="s">
        <v>72</v>
      </c>
      <c r="C12" s="233" t="s">
        <v>573</v>
      </c>
      <c r="D12" s="236">
        <v>1960</v>
      </c>
      <c r="E12" s="237">
        <v>13</v>
      </c>
      <c r="F12" s="237">
        <v>25480</v>
      </c>
      <c r="G12" s="235"/>
      <c r="H12" s="235"/>
      <c r="I12" s="235"/>
      <c r="J12" s="235"/>
      <c r="K12" s="235"/>
      <c r="L12" s="244"/>
      <c r="M12" s="235"/>
      <c r="N12" s="235"/>
      <c r="O12" s="235"/>
      <c r="P12" s="235">
        <v>1120</v>
      </c>
      <c r="Q12" s="243">
        <v>13</v>
      </c>
      <c r="R12" s="243">
        <f t="shared" si="0"/>
        <v>14560</v>
      </c>
      <c r="S12" s="244"/>
    </row>
    <row r="13" spans="1:19" ht="15" customHeight="1">
      <c r="A13" s="140" t="s">
        <v>309</v>
      </c>
      <c r="B13" s="232" t="s">
        <v>310</v>
      </c>
      <c r="C13" s="233" t="s">
        <v>573</v>
      </c>
      <c r="D13" s="236">
        <v>720</v>
      </c>
      <c r="E13" s="237">
        <v>16.2</v>
      </c>
      <c r="F13" s="237">
        <v>11664</v>
      </c>
      <c r="G13" s="235"/>
      <c r="H13" s="235"/>
      <c r="I13" s="235"/>
      <c r="J13" s="235"/>
      <c r="K13" s="235"/>
      <c r="L13" s="235"/>
      <c r="M13" s="235"/>
      <c r="N13" s="235"/>
      <c r="O13" s="235"/>
      <c r="P13" s="235">
        <v>720</v>
      </c>
      <c r="Q13" s="243">
        <v>16.2</v>
      </c>
      <c r="R13" s="243">
        <f t="shared" si="0"/>
        <v>11664</v>
      </c>
    </row>
    <row r="14" spans="1:19" ht="15" customHeight="1">
      <c r="A14" s="140" t="s">
        <v>273</v>
      </c>
      <c r="B14" s="232" t="s">
        <v>612</v>
      </c>
      <c r="C14" s="233" t="s">
        <v>573</v>
      </c>
      <c r="D14" s="236"/>
      <c r="E14" s="237">
        <v>15.5</v>
      </c>
      <c r="F14" s="237">
        <v>0</v>
      </c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43">
        <f>SUMIF('Che-Store'!A10:A15,'Che.-Prod'!A12,'Che-Store'!AD10:AD15)</f>
        <v>15.5</v>
      </c>
      <c r="R14" s="243">
        <f t="shared" si="0"/>
        <v>0</v>
      </c>
    </row>
    <row r="15" spans="1:19" ht="15" customHeight="1">
      <c r="A15" s="82" t="s">
        <v>329</v>
      </c>
      <c r="B15" s="140" t="s">
        <v>330</v>
      </c>
      <c r="C15" s="233" t="s">
        <v>573</v>
      </c>
      <c r="D15" s="236">
        <v>1125</v>
      </c>
      <c r="E15" s="237">
        <v>10.35</v>
      </c>
      <c r="F15" s="237">
        <v>11643.75</v>
      </c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43">
        <v>10.35</v>
      </c>
      <c r="R15" s="243">
        <f t="shared" si="0"/>
        <v>0</v>
      </c>
    </row>
    <row r="16" spans="1:19" ht="15" customHeight="1">
      <c r="A16" s="82" t="s">
        <v>585</v>
      </c>
      <c r="B16" s="140" t="s">
        <v>586</v>
      </c>
      <c r="C16" s="233" t="s">
        <v>573</v>
      </c>
      <c r="D16" s="236"/>
      <c r="E16" s="237"/>
      <c r="F16" s="237"/>
      <c r="G16" s="235"/>
      <c r="H16" s="235"/>
      <c r="I16" s="235"/>
      <c r="J16" s="235"/>
      <c r="K16" s="235"/>
      <c r="L16" s="235"/>
      <c r="M16" s="235"/>
      <c r="N16" s="235"/>
      <c r="O16" s="235"/>
      <c r="P16" s="235">
        <v>1150</v>
      </c>
      <c r="Q16" s="243">
        <v>9.58</v>
      </c>
      <c r="R16" s="243">
        <f t="shared" si="0"/>
        <v>11017</v>
      </c>
    </row>
    <row r="17" spans="1:18" ht="15" customHeight="1">
      <c r="A17" s="140"/>
      <c r="B17" s="232"/>
      <c r="C17" s="233"/>
      <c r="D17" s="236"/>
      <c r="E17" s="237"/>
      <c r="F17" s="236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43"/>
      <c r="R17" s="243"/>
    </row>
    <row r="18" spans="1:18" s="223" customFormat="1" ht="15" customHeight="1">
      <c r="A18" s="238"/>
      <c r="C18" s="231"/>
      <c r="D18" s="239">
        <v>5605</v>
      </c>
      <c r="E18" s="239"/>
      <c r="F18" s="239">
        <v>67687.75</v>
      </c>
      <c r="G18" s="240"/>
      <c r="H18" s="240"/>
      <c r="I18" s="240">
        <v>0</v>
      </c>
      <c r="J18" s="240">
        <v>0</v>
      </c>
      <c r="K18" s="240">
        <v>0</v>
      </c>
      <c r="L18" s="240">
        <v>0</v>
      </c>
      <c r="M18" s="245"/>
      <c r="N18" s="240"/>
      <c r="O18" s="240"/>
      <c r="P18" s="240">
        <f>SUM(P9:P17)</f>
        <v>3440</v>
      </c>
      <c r="Q18" s="240"/>
      <c r="R18" s="240">
        <f>SUM(R9:R17)</f>
        <v>41966</v>
      </c>
    </row>
    <row r="20" spans="1:18" s="224" customFormat="1" ht="15" customHeight="1">
      <c r="C20" s="224" t="s">
        <v>613</v>
      </c>
      <c r="D20" s="246">
        <v>5605</v>
      </c>
      <c r="F20" s="246">
        <v>67687.75</v>
      </c>
      <c r="P20" s="246">
        <f>P18</f>
        <v>3440</v>
      </c>
      <c r="R20" s="246">
        <f>R18</f>
        <v>41966</v>
      </c>
    </row>
    <row r="22" spans="1:18" ht="15" customHeight="1">
      <c r="P22" s="247"/>
      <c r="Q22" s="247"/>
      <c r="R22" s="247"/>
    </row>
    <row r="23" spans="1:18" ht="15" customHeight="1">
      <c r="P23" s="248"/>
      <c r="Q23" s="248"/>
      <c r="R23" s="248"/>
    </row>
    <row r="24" spans="1:18" ht="15" customHeight="1">
      <c r="P24" s="248"/>
      <c r="Q24" s="248"/>
      <c r="R24" s="248"/>
    </row>
    <row r="26" spans="1:18" ht="15" customHeight="1">
      <c r="P26" s="249"/>
      <c r="Q26" s="227"/>
      <c r="R26" s="249"/>
    </row>
  </sheetData>
  <mergeCells count="1">
    <mergeCell ref="A3:C3"/>
  </mergeCells>
  <pageMargins left="0" right="0" top="0" bottom="0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Q150"/>
  <sheetViews>
    <sheetView topLeftCell="D1" workbookViewId="0">
      <pane ySplit="3" topLeftCell="A129" activePane="bottomLeft" state="frozen"/>
      <selection pane="bottomLeft" activeCell="M150" sqref="M150"/>
    </sheetView>
  </sheetViews>
  <sheetFormatPr defaultColWidth="14" defaultRowHeight="12"/>
  <cols>
    <col min="1" max="1" width="6" style="98" customWidth="1"/>
    <col min="2" max="2" width="3.5" style="11" customWidth="1"/>
    <col min="3" max="3" width="9.25" style="11" customWidth="1"/>
    <col min="4" max="4" width="53.25" style="11" customWidth="1"/>
    <col min="5" max="5" width="41.875" style="11" customWidth="1"/>
    <col min="6" max="6" width="8" style="91" customWidth="1"/>
    <col min="7" max="7" width="10" style="99" customWidth="1"/>
    <col min="8" max="8" width="12.875" style="12" customWidth="1"/>
    <col min="9" max="9" width="14" style="12"/>
    <col min="10" max="10" width="7.75" style="12" customWidth="1"/>
    <col min="11" max="12" width="9.5" style="12" customWidth="1"/>
    <col min="13" max="13" width="12.25" style="12" customWidth="1"/>
    <col min="14" max="14" width="10.125" style="97" customWidth="1"/>
    <col min="15" max="15" width="8.125" style="11" customWidth="1"/>
    <col min="16" max="16" width="12.25" style="12" customWidth="1"/>
    <col min="17" max="17" width="9.125" style="11" customWidth="1"/>
    <col min="18" max="16384" width="14" style="11"/>
  </cols>
  <sheetData>
    <row r="1" spans="1:17" ht="15.75">
      <c r="C1" s="100" t="s">
        <v>614</v>
      </c>
    </row>
    <row r="3" spans="1:17" s="93" customFormat="1" ht="27.75" customHeight="1">
      <c r="A3" s="101"/>
      <c r="C3" s="102" t="s">
        <v>615</v>
      </c>
      <c r="D3" s="102" t="s">
        <v>616</v>
      </c>
      <c r="E3" s="102" t="s">
        <v>617</v>
      </c>
      <c r="F3" s="102" t="s">
        <v>169</v>
      </c>
      <c r="G3" s="103" t="s">
        <v>618</v>
      </c>
      <c r="H3" s="104" t="s">
        <v>619</v>
      </c>
      <c r="I3" s="104" t="s">
        <v>620</v>
      </c>
      <c r="J3" s="104" t="s">
        <v>621</v>
      </c>
      <c r="K3" s="105" t="s">
        <v>622</v>
      </c>
      <c r="L3" s="105" t="s">
        <v>623</v>
      </c>
      <c r="M3" s="105" t="s">
        <v>624</v>
      </c>
      <c r="N3" s="105" t="s">
        <v>625</v>
      </c>
      <c r="O3" s="105" t="s">
        <v>626</v>
      </c>
      <c r="P3" s="105" t="s">
        <v>627</v>
      </c>
      <c r="Q3" s="93" t="s">
        <v>628</v>
      </c>
    </row>
    <row r="4" spans="1:17">
      <c r="A4" s="98" t="str">
        <f>IF(LEFT(BalCom[[#This Row],[Code]],3)="NBR","NBR","CHE")</f>
        <v>NBR</v>
      </c>
      <c r="C4" s="11" t="s">
        <v>629</v>
      </c>
      <c r="D4" s="11" t="s">
        <v>630</v>
      </c>
      <c r="E4" s="11" t="s">
        <v>631</v>
      </c>
      <c r="F4" s="91" t="s">
        <v>502</v>
      </c>
      <c r="G4" s="99">
        <v>0.4496</v>
      </c>
      <c r="H4" s="12">
        <v>1818</v>
      </c>
      <c r="I4" s="12">
        <v>2183.692</v>
      </c>
      <c r="K4" s="12">
        <f>SUMIFS(H:H,C:C,BalCom[[#This Row],[Name]],D:D,BalCom[[#This Row],[Master name]])</f>
        <v>2201.5979999999995</v>
      </c>
      <c r="L4" s="12">
        <f>IFERROR(BalCom[[#This Row],[Balance (Kg)]]*BalCom[[#This Row],[Dry Kg]]/BalCom[[#This Row],[Total Dry Kg]],0)</f>
        <v>1803.2138728323703</v>
      </c>
      <c r="M4" s="12">
        <f>IF(D4="","",BalCom[[#This Row],[Bal. Kg Dry]]/BalCom[[#This Row],[TSC]])</f>
        <v>4010.7070125275141</v>
      </c>
      <c r="N4" s="97" t="str">
        <f>IF(_xlfn.XLOOKUP(BalCom[[#This Row],[Code]],Info!B:B,Info!D:D,0)=0,BalCom[[#This Row],[Code]],(_xlfn.XLOOKUP(BalCom[[#This Row],[Code]],Info!B:B,Info!D:D,0)))</f>
        <v>NBR01</v>
      </c>
      <c r="O4" s="12">
        <f>IF(BalCom[[#This Row],[New Code]]="SFG-Water",0,_xlfn.XLOOKUP(BalCom[[#This Row],[New Code]],Used_before_Trf!A:A,Used_before_Trf!U:U,""))</f>
        <v>50.516914477361652</v>
      </c>
      <c r="P4" s="12">
        <f>IF(D4="","",ROUND((BalCom[[#This Row],[Price]]*BalCom[[#This Row],[Bal. Kg Wet]]),2))</f>
        <v>202608.54</v>
      </c>
      <c r="Q4" s="443" t="str">
        <f>IF(BalCom[[#This Row],[Master name]]="","",IF(N4="SFG-Water","",IF(AND(N4&lt;&gt;0,P4&lt;&gt;0),"Ok","Error")))</f>
        <v>Ok</v>
      </c>
    </row>
    <row r="5" spans="1:17">
      <c r="A5" s="98" t="str">
        <f>IF(LEFT(BalCom[[#This Row],[Code]],3)="NBR","NBR","CHE")</f>
        <v>CHE</v>
      </c>
      <c r="C5" s="11" t="s">
        <v>629</v>
      </c>
      <c r="D5" s="11" t="s">
        <v>630</v>
      </c>
      <c r="E5" s="11" t="s">
        <v>632</v>
      </c>
      <c r="F5" s="546" t="s">
        <v>277</v>
      </c>
      <c r="G5" s="99">
        <v>0.03</v>
      </c>
      <c r="H5" s="12">
        <v>1.8699311699999999</v>
      </c>
      <c r="I5" s="12">
        <v>2183.692</v>
      </c>
      <c r="K5" s="12">
        <f>SUMIFS(H:H,C:C,BalCom[[#This Row],[Name]],D:D,BalCom[[#This Row],[Master name]])</f>
        <v>2201.5979999999995</v>
      </c>
      <c r="L5" s="12">
        <f>IFERROR(BalCom[[#This Row],[Balance (Kg)]]*BalCom[[#This Row],[Dry Kg]]/BalCom[[#This Row],[Total Dry Kg]],0)</f>
        <v>1.8547226771098269</v>
      </c>
      <c r="M5" s="12">
        <f>IF(D5="","",BalCom[[#This Row],[Bal. Kg Dry]]/BalCom[[#This Row],[TSC]])</f>
        <v>61.824089236994233</v>
      </c>
      <c r="N5" s="97" t="str">
        <f>IF(_xlfn.XLOOKUP(BalCom[[#This Row],[Code]],Info!B:B,Info!D:D,0)=0,BalCom[[#This Row],[Code]],(_xlfn.XLOOKUP(BalCom[[#This Row],[Code]],Info!B:B,Info!D:D,0)))</f>
        <v>CH212</v>
      </c>
      <c r="O5" s="12">
        <f>IF(BalCom[[#This Row],[New Code]]="SFG-Water",0,_xlfn.XLOOKUP(BalCom[[#This Row],[New Code]],Used_before_Trf!A:A,Used_before_Trf!U:U,""))</f>
        <v>32.035420833333333</v>
      </c>
      <c r="P5" s="12">
        <f>IF(D5="","",ROUND((BalCom[[#This Row],[Price]]*BalCom[[#This Row],[Bal. Kg Wet]]),2))</f>
        <v>1980.56</v>
      </c>
      <c r="Q5" s="443" t="str">
        <f>IF(BalCom[[#This Row],[Master name]]="","",IF(N5="SFG-Water","",IF(AND(N5&lt;&gt;0,P5&lt;&gt;0),"Ok","Error")))</f>
        <v>Ok</v>
      </c>
    </row>
    <row r="6" spans="1:17">
      <c r="A6" s="98" t="str">
        <f>IF(LEFT(BalCom[[#This Row],[Code]],3)="NBR","NBR","CHE")</f>
        <v>CHE</v>
      </c>
      <c r="C6" s="11" t="s">
        <v>629</v>
      </c>
      <c r="D6" s="11" t="s">
        <v>630</v>
      </c>
      <c r="E6" s="11" t="s">
        <v>633</v>
      </c>
      <c r="F6" s="91" t="s">
        <v>497</v>
      </c>
      <c r="G6" s="99">
        <v>0.03</v>
      </c>
      <c r="H6" s="12">
        <v>25.400068829999999</v>
      </c>
      <c r="I6" s="12">
        <v>2183.692</v>
      </c>
      <c r="K6" s="12">
        <f>SUMIFS(H:H,C:C,BalCom[[#This Row],[Name]],D:D,BalCom[[#This Row],[Master name]])</f>
        <v>2201.5979999999995</v>
      </c>
      <c r="L6" s="12">
        <f>IFERROR(BalCom[[#This Row],[Balance (Kg)]]*BalCom[[#This Row],[Dry Kg]]/BalCom[[#This Row],[Total Dry Kg]],0)</f>
        <v>25.193485415375726</v>
      </c>
      <c r="M6" s="12">
        <f>IF(D6="","",BalCom[[#This Row],[Bal. Kg Dry]]/BalCom[[#This Row],[TSC]])</f>
        <v>839.78284717919087</v>
      </c>
      <c r="N6" s="97" t="str">
        <f>IF(_xlfn.XLOOKUP(BalCom[[#This Row],[Code]],Info!B:B,Info!D:D,0)=0,BalCom[[#This Row],[Code]],(_xlfn.XLOOKUP(BalCom[[#This Row],[Code]],Info!B:B,Info!D:D,0)))</f>
        <v>SFG-Water</v>
      </c>
      <c r="O6" s="12">
        <f>IF(BalCom[[#This Row],[New Code]]="SFG-Water",0,_xlfn.XLOOKUP(BalCom[[#This Row],[New Code]],Used_before_Trf!A:A,Used_before_Trf!U:U,""))</f>
        <v>0</v>
      </c>
      <c r="P6" s="12">
        <f>IF(D6="","",ROUND((BalCom[[#This Row],[Price]]*BalCom[[#This Row],[Bal. Kg Wet]]),2))</f>
        <v>0</v>
      </c>
      <c r="Q6" s="443" t="str">
        <f>IF(BalCom[[#This Row],[Master name]]="","",IF(N6="SFG-Water","",IF(AND(N6&lt;&gt;0,P6&lt;&gt;0),"Ok","Error")))</f>
        <v/>
      </c>
    </row>
    <row r="7" spans="1:17">
      <c r="A7" s="98" t="str">
        <f>IF(LEFT(BalCom[[#This Row],[Code]],3)="NBR","NBR","CHE")</f>
        <v>CHE</v>
      </c>
      <c r="C7" s="11" t="s">
        <v>629</v>
      </c>
      <c r="D7" s="11" t="s">
        <v>630</v>
      </c>
      <c r="E7" s="11" t="s">
        <v>634</v>
      </c>
      <c r="F7" s="91" t="s">
        <v>303</v>
      </c>
      <c r="G7" s="99">
        <v>0.15</v>
      </c>
      <c r="H7" s="12">
        <v>3.6360000000000001</v>
      </c>
      <c r="I7" s="12">
        <v>2183.692</v>
      </c>
      <c r="K7" s="12">
        <f>SUMIFS(H:H,C:C,BalCom[[#This Row],[Name]],D:D,BalCom[[#This Row],[Master name]])</f>
        <v>2201.5979999999995</v>
      </c>
      <c r="L7" s="12">
        <f>IFERROR(BalCom[[#This Row],[Balance (Kg)]]*BalCom[[#This Row],[Dry Kg]]/BalCom[[#This Row],[Total Dry Kg]],0)</f>
        <v>3.6064277456647407</v>
      </c>
      <c r="M7" s="12">
        <f>IF(D7="","",BalCom[[#This Row],[Bal. Kg Dry]]/BalCom[[#This Row],[TSC]])</f>
        <v>24.04285163776494</v>
      </c>
      <c r="N7" s="97" t="str">
        <f>IF(_xlfn.XLOOKUP(BalCom[[#This Row],[Code]],Info!B:B,Info!D:D,0)=0,BalCom[[#This Row],[Code]],(_xlfn.XLOOKUP(BalCom[[#This Row],[Code]],Info!B:B,Info!D:D,0)))</f>
        <v>CH227</v>
      </c>
      <c r="O7" s="12">
        <f>IF(BalCom[[#This Row],[New Code]]="SFG-Water",0,_xlfn.XLOOKUP(BalCom[[#This Row],[New Code]],Used_before_Trf!A:A,Used_before_Trf!U:U,""))</f>
        <v>14.054039924978982</v>
      </c>
      <c r="P7" s="12">
        <f>IF(D7="","",ROUND((BalCom[[#This Row],[Price]]*BalCom[[#This Row],[Bal. Kg Wet]]),2))</f>
        <v>337.9</v>
      </c>
      <c r="Q7" s="443" t="str">
        <f>IF(BalCom[[#This Row],[Master name]]="","",IF(N7="SFG-Water","",IF(AND(N7&lt;&gt;0,P7&lt;&gt;0),"Ok","Error")))</f>
        <v>Ok</v>
      </c>
    </row>
    <row r="8" spans="1:17">
      <c r="A8" s="98" t="str">
        <f>IF(LEFT(BalCom[[#This Row],[Code]],3)="NBR","NBR","CHE")</f>
        <v>CHE</v>
      </c>
      <c r="C8" s="11" t="s">
        <v>629</v>
      </c>
      <c r="D8" s="11" t="s">
        <v>630</v>
      </c>
      <c r="E8" s="11" t="s">
        <v>635</v>
      </c>
      <c r="F8" s="91" t="s">
        <v>348</v>
      </c>
      <c r="G8" s="99">
        <v>0.6</v>
      </c>
      <c r="H8" s="12">
        <v>14.544</v>
      </c>
      <c r="I8" s="12">
        <v>2183.692</v>
      </c>
      <c r="K8" s="12">
        <f>SUMIFS(H:H,C:C,BalCom[[#This Row],[Name]],D:D,BalCom[[#This Row],[Master name]])</f>
        <v>2201.5979999999995</v>
      </c>
      <c r="L8" s="12">
        <f>IFERROR(BalCom[[#This Row],[Balance (Kg)]]*BalCom[[#This Row],[Dry Kg]]/BalCom[[#This Row],[Total Dry Kg]],0)</f>
        <v>14.425710982658963</v>
      </c>
      <c r="M8" s="12">
        <f>IF(D8="","",BalCom[[#This Row],[Bal. Kg Dry]]/BalCom[[#This Row],[TSC]])</f>
        <v>24.04285163776494</v>
      </c>
      <c r="N8" s="97" t="str">
        <f>IF(_xlfn.XLOOKUP(BalCom[[#This Row],[Code]],Info!B:B,Info!D:D,0)=0,BalCom[[#This Row],[Code]],(_xlfn.XLOOKUP(BalCom[[#This Row],[Code]],Info!B:B,Info!D:D,0)))</f>
        <v>CH93</v>
      </c>
      <c r="O8" s="12">
        <f>IF(BalCom[[#This Row],[New Code]]="SFG-Water",0,_xlfn.XLOOKUP(BalCom[[#This Row],[New Code]],Used_before_Trf!A:A,Used_before_Trf!U:U,""))</f>
        <v>69.839849490925189</v>
      </c>
      <c r="P8" s="12">
        <f>IF(D8="","",ROUND((BalCom[[#This Row],[Price]]*BalCom[[#This Row],[Bal. Kg Wet]]),2))</f>
        <v>1679.15</v>
      </c>
      <c r="Q8" s="443" t="str">
        <f>IF(BalCom[[#This Row],[Master name]]="","",IF(N8="SFG-Water","",IF(AND(N8&lt;&gt;0,P8&lt;&gt;0),"Ok","Error")))</f>
        <v>Ok</v>
      </c>
    </row>
    <row r="9" spans="1:17">
      <c r="A9" s="98" t="str">
        <f>IF(LEFT(BalCom[[#This Row],[Code]],3)="NBR","NBR","CHE")</f>
        <v>CHE</v>
      </c>
      <c r="C9" s="11" t="s">
        <v>629</v>
      </c>
      <c r="D9" s="11" t="s">
        <v>630</v>
      </c>
      <c r="E9" s="11" t="s">
        <v>636</v>
      </c>
      <c r="F9" s="91" t="s">
        <v>346</v>
      </c>
      <c r="G9" s="99">
        <v>0.6</v>
      </c>
      <c r="H9" s="12">
        <v>18.18</v>
      </c>
      <c r="I9" s="12">
        <v>2183.692</v>
      </c>
      <c r="K9" s="12">
        <f>SUMIFS(H:H,C:C,BalCom[[#This Row],[Name]],D:D,BalCom[[#This Row],[Master name]])</f>
        <v>2201.5979999999995</v>
      </c>
      <c r="L9" s="12">
        <f>IFERROR(BalCom[[#This Row],[Balance (Kg)]]*BalCom[[#This Row],[Dry Kg]]/BalCom[[#This Row],[Total Dry Kg]],0)</f>
        <v>18.032138728323702</v>
      </c>
      <c r="M9" s="12">
        <f>IF(D9="","",BalCom[[#This Row],[Bal. Kg Dry]]/BalCom[[#This Row],[TSC]])</f>
        <v>30.053564547206172</v>
      </c>
      <c r="N9" s="97" t="str">
        <f>IF(_xlfn.XLOOKUP(BalCom[[#This Row],[Code]],Info!B:B,Info!D:D,0)=0,BalCom[[#This Row],[Code]],(_xlfn.XLOOKUP(BalCom[[#This Row],[Code]],Info!B:B,Info!D:D,0)))</f>
        <v>CH92</v>
      </c>
      <c r="O9" s="12">
        <f>IF(BalCom[[#This Row],[New Code]]="SFG-Water",0,_xlfn.XLOOKUP(BalCom[[#This Row],[New Code]],Used_before_Trf!A:A,Used_before_Trf!U:U,""))</f>
        <v>28.016027710254928</v>
      </c>
      <c r="P9" s="12">
        <f>IF(D9="","",ROUND((BalCom[[#This Row],[Price]]*BalCom[[#This Row],[Bal. Kg Wet]]),2))</f>
        <v>841.98</v>
      </c>
      <c r="Q9" s="443" t="str">
        <f>IF(BalCom[[#This Row],[Master name]]="","",IF(N9="SFG-Water","",IF(AND(N9&lt;&gt;0,P9&lt;&gt;0),"Ok","Error")))</f>
        <v>Ok</v>
      </c>
    </row>
    <row r="10" spans="1:17">
      <c r="A10" s="98" t="str">
        <f>IF(LEFT(BalCom[[#This Row],[Code]],3)="NBR","NBR","CHE")</f>
        <v>CHE</v>
      </c>
      <c r="C10" s="11" t="s">
        <v>629</v>
      </c>
      <c r="D10" s="11" t="s">
        <v>630</v>
      </c>
      <c r="E10" s="11" t="s">
        <v>637</v>
      </c>
      <c r="F10" s="91" t="s">
        <v>344</v>
      </c>
      <c r="G10" s="99">
        <v>0.5</v>
      </c>
      <c r="H10" s="12">
        <v>10.907999999999999</v>
      </c>
      <c r="I10" s="12">
        <v>2183.692</v>
      </c>
      <c r="K10" s="12">
        <f>SUMIFS(H:H,C:C,BalCom[[#This Row],[Name]],D:D,BalCom[[#This Row],[Master name]])</f>
        <v>2201.5979999999995</v>
      </c>
      <c r="L10" s="12">
        <f>IFERROR(BalCom[[#This Row],[Balance (Kg)]]*BalCom[[#This Row],[Dry Kg]]/BalCom[[#This Row],[Total Dry Kg]],0)</f>
        <v>10.819283236994222</v>
      </c>
      <c r="M10" s="12">
        <f>IF(D10="","",BalCom[[#This Row],[Bal. Kg Dry]]/BalCom[[#This Row],[TSC]])</f>
        <v>21.638566473988444</v>
      </c>
      <c r="N10" s="97" t="str">
        <f>IF(_xlfn.XLOOKUP(BalCom[[#This Row],[Code]],Info!B:B,Info!D:D,0)=0,BalCom[[#This Row],[Code]],(_xlfn.XLOOKUP(BalCom[[#This Row],[Code]],Info!B:B,Info!D:D,0)))</f>
        <v>CH91</v>
      </c>
      <c r="O10" s="12">
        <f>IF(BalCom[[#This Row],[New Code]]="SFG-Water",0,_xlfn.XLOOKUP(BalCom[[#This Row],[New Code]],Used_before_Trf!A:A,Used_before_Trf!U:U,""))</f>
        <v>50.317319152837626</v>
      </c>
      <c r="P10" s="12">
        <f>IF(D10="","",ROUND((BalCom[[#This Row],[Price]]*BalCom[[#This Row],[Bal. Kg Wet]]),2))</f>
        <v>1088.79</v>
      </c>
      <c r="Q10" s="443" t="str">
        <f>IF(BalCom[[#This Row],[Master name]]="","",IF(N10="SFG-Water","",IF(AND(N10&lt;&gt;0,P10&lt;&gt;0),"Ok","Error")))</f>
        <v>Ok</v>
      </c>
    </row>
    <row r="11" spans="1:17">
      <c r="A11" s="98" t="str">
        <f>IF(LEFT(BalCom[[#This Row],[Code]],3)="NBR","NBR","CHE")</f>
        <v>CHE</v>
      </c>
      <c r="C11" s="11" t="s">
        <v>629</v>
      </c>
      <c r="D11" s="11" t="s">
        <v>630</v>
      </c>
      <c r="E11" s="11" t="s">
        <v>638</v>
      </c>
      <c r="F11" s="91" t="s">
        <v>307</v>
      </c>
      <c r="G11" s="99">
        <v>0.45</v>
      </c>
      <c r="H11" s="12">
        <v>272.7</v>
      </c>
      <c r="I11" s="12">
        <v>2183.692</v>
      </c>
      <c r="K11" s="12">
        <f>SUMIFS(H:H,C:C,BalCom[[#This Row],[Name]],D:D,BalCom[[#This Row],[Master name]])</f>
        <v>2201.5979999999995</v>
      </c>
      <c r="L11" s="12">
        <f>IFERROR(BalCom[[#This Row],[Balance (Kg)]]*BalCom[[#This Row],[Dry Kg]]/BalCom[[#This Row],[Total Dry Kg]],0)</f>
        <v>270.48208092485555</v>
      </c>
      <c r="M11" s="12">
        <f>IF(D11="","",BalCom[[#This Row],[Bal. Kg Dry]]/BalCom[[#This Row],[TSC]])</f>
        <v>601.07129094412346</v>
      </c>
      <c r="N11" s="97" t="str">
        <f>IF(_xlfn.XLOOKUP(BalCom[[#This Row],[Code]],Info!B:B,Info!D:D,0)=0,BalCom[[#This Row],[Code]],(_xlfn.XLOOKUP(BalCom[[#This Row],[Code]],Info!B:B,Info!D:D,0)))</f>
        <v>CH229</v>
      </c>
      <c r="O11" s="12">
        <f>IF(BalCom[[#This Row],[New Code]]="SFG-Water",0,_xlfn.XLOOKUP(BalCom[[#This Row],[New Code]],Used_before_Trf!A:A,Used_before_Trf!U:U,""))</f>
        <v>13.07</v>
      </c>
      <c r="P11" s="12">
        <f>IF(D11="","",ROUND((BalCom[[#This Row],[Price]]*BalCom[[#This Row],[Bal. Kg Wet]]),2))</f>
        <v>7856</v>
      </c>
      <c r="Q11" s="443" t="str">
        <f>IF(BalCom[[#This Row],[Master name]]="","",IF(N11="SFG-Water","",IF(AND(N11&lt;&gt;0,P11&lt;&gt;0),"Ok","Error")))</f>
        <v>Ok</v>
      </c>
    </row>
    <row r="12" spans="1:17">
      <c r="A12" s="98" t="str">
        <f>IF(LEFT(BalCom[[#This Row],[Code]],3)="NBR","NBR","CHE")</f>
        <v>CHE</v>
      </c>
      <c r="C12" s="11" t="s">
        <v>629</v>
      </c>
      <c r="D12" s="11" t="s">
        <v>630</v>
      </c>
      <c r="E12" s="11" t="s">
        <v>639</v>
      </c>
      <c r="F12" s="91" t="s">
        <v>295</v>
      </c>
      <c r="G12" s="99">
        <v>0.55000000000000004</v>
      </c>
      <c r="H12" s="12">
        <v>18.18</v>
      </c>
      <c r="I12" s="12">
        <v>2183.692</v>
      </c>
      <c r="K12" s="12">
        <f>SUMIFS(H:H,C:C,BalCom[[#This Row],[Name]],D:D,BalCom[[#This Row],[Master name]])</f>
        <v>2201.5979999999995</v>
      </c>
      <c r="L12" s="12">
        <f>IFERROR(BalCom[[#This Row],[Balance (Kg)]]*BalCom[[#This Row],[Dry Kg]]/BalCom[[#This Row],[Total Dry Kg]],0)</f>
        <v>18.032138728323702</v>
      </c>
      <c r="M12" s="12">
        <f>IF(D12="","",BalCom[[#This Row],[Bal. Kg Dry]]/BalCom[[#This Row],[TSC]])</f>
        <v>32.785706778770361</v>
      </c>
      <c r="N12" s="97" t="str">
        <f>IF(_xlfn.XLOOKUP(BalCom[[#This Row],[Code]],Info!B:B,Info!D:D,0)=0,BalCom[[#This Row],[Code]],(_xlfn.XLOOKUP(BalCom[[#This Row],[Code]],Info!B:B,Info!D:D,0)))</f>
        <v>CH222</v>
      </c>
      <c r="O12" s="12">
        <f>IF(BalCom[[#This Row],[New Code]]="SFG-Water",0,_xlfn.XLOOKUP(BalCom[[#This Row],[New Code]],Used_before_Trf!A:A,Used_before_Trf!U:U,""))</f>
        <v>42.341880945075175</v>
      </c>
      <c r="P12" s="12">
        <f>IF(D12="","",ROUND((BalCom[[#This Row],[Price]]*BalCom[[#This Row],[Bal. Kg Wet]]),2))</f>
        <v>1388.21</v>
      </c>
      <c r="Q12" s="443" t="str">
        <f>IF(BalCom[[#This Row],[Master name]]="","",IF(N12="SFG-Water","",IF(AND(N12&lt;&gt;0,P12&lt;&gt;0),"Ok","Error")))</f>
        <v>Ok</v>
      </c>
    </row>
    <row r="13" spans="1:17">
      <c r="A13" s="98" t="str">
        <f>IF(LEFT(BalCom[[#This Row],[Code]],3)="NBR","NBR","CHE")</f>
        <v>CHE</v>
      </c>
      <c r="C13" s="11" t="s">
        <v>629</v>
      </c>
      <c r="D13" s="11" t="s">
        <v>630</v>
      </c>
      <c r="E13" s="11" t="s">
        <v>640</v>
      </c>
      <c r="F13" s="546" t="s">
        <v>211</v>
      </c>
      <c r="G13" s="99">
        <v>0.5</v>
      </c>
      <c r="H13" s="12">
        <v>18.18</v>
      </c>
      <c r="I13" s="12">
        <v>2183.692</v>
      </c>
      <c r="K13" s="12">
        <f>SUMIFS(H:H,C:C,BalCom[[#This Row],[Name]],D:D,BalCom[[#This Row],[Master name]])</f>
        <v>2201.5979999999995</v>
      </c>
      <c r="L13" s="12">
        <f>IFERROR(BalCom[[#This Row],[Balance (Kg)]]*BalCom[[#This Row],[Dry Kg]]/BalCom[[#This Row],[Total Dry Kg]],0)</f>
        <v>18.032138728323702</v>
      </c>
      <c r="M13" s="12">
        <f>IF(D13="","",BalCom[[#This Row],[Bal. Kg Dry]]/BalCom[[#This Row],[TSC]])</f>
        <v>36.064277456647403</v>
      </c>
      <c r="N13" s="97" t="str">
        <f>IF(_xlfn.XLOOKUP(BalCom[[#This Row],[Code]],Info!B:B,Info!D:D,0)=0,BalCom[[#This Row],[Code]],(_xlfn.XLOOKUP(BalCom[[#This Row],[Code]],Info!B:B,Info!D:D,0)))</f>
        <v>CH140</v>
      </c>
      <c r="O13" s="12">
        <f>IF(BalCom[[#This Row],[New Code]]="SFG-Water",0,_xlfn.XLOOKUP(BalCom[[#This Row],[New Code]],Used_before_Trf!A:A,Used_before_Trf!U:U,""))</f>
        <v>57.918555023923446</v>
      </c>
      <c r="P13" s="12">
        <f>IF(D13="","",ROUND((BalCom[[#This Row],[Price]]*BalCom[[#This Row],[Bal. Kg Wet]]),2))</f>
        <v>2088.79</v>
      </c>
      <c r="Q13" s="443" t="str">
        <f>IF(BalCom[[#This Row],[Master name]]="","",IF(N13="SFG-Water","",IF(AND(N13&lt;&gt;0,P13&lt;&gt;0),"Ok","Error")))</f>
        <v>Ok</v>
      </c>
    </row>
    <row r="14" spans="1:17">
      <c r="A14" s="98" t="str">
        <f>IF(LEFT(BalCom[[#This Row],[Code]],3)="NBR","NBR","CHE")</f>
        <v>NBR</v>
      </c>
      <c r="C14" s="11" t="s">
        <v>629</v>
      </c>
      <c r="D14" s="11" t="s">
        <v>641</v>
      </c>
      <c r="E14" s="11" t="s">
        <v>631</v>
      </c>
      <c r="F14" s="91" t="s">
        <v>502</v>
      </c>
      <c r="G14" s="99">
        <v>0.4496</v>
      </c>
      <c r="H14" s="12">
        <v>1827</v>
      </c>
      <c r="I14" s="12">
        <v>2027.9360000000001</v>
      </c>
      <c r="K14" s="12">
        <f>SUMIFS(H:H,C:C,BalCom[[#This Row],[Name]],D:D,BalCom[[#This Row],[Master name]])</f>
        <v>2199.7080000000001</v>
      </c>
      <c r="L14" s="12">
        <f>IFERROR(BalCom[[#This Row],[Balance (Kg)]]*BalCom[[#This Row],[Dry Kg]]/BalCom[[#This Row],[Total Dry Kg]],0)</f>
        <v>1684.3322259136212</v>
      </c>
      <c r="M14" s="12">
        <f>IF(D14="","",BalCom[[#This Row],[Bal. Kg Dry]]/BalCom[[#This Row],[TSC]])</f>
        <v>3746.2905380641041</v>
      </c>
      <c r="N14" s="97" t="str">
        <f>IF(_xlfn.XLOOKUP(BalCom[[#This Row],[Code]],Info!B:B,Info!D:D,0)=0,BalCom[[#This Row],[Code]],(_xlfn.XLOOKUP(BalCom[[#This Row],[Code]],Info!B:B,Info!D:D,0)))</f>
        <v>NBR01</v>
      </c>
      <c r="O14" s="12">
        <f>IF(BalCom[[#This Row],[New Code]]="SFG-Water",0,_xlfn.XLOOKUP(BalCom[[#This Row],[New Code]],Used_before_Trf!A:A,Used_before_Trf!U:U,""))</f>
        <v>50.516914477361652</v>
      </c>
      <c r="P14" s="12">
        <f>IF(D14="","",ROUND((BalCom[[#This Row],[Price]]*BalCom[[#This Row],[Bal. Kg Wet]]),2))</f>
        <v>189251.04</v>
      </c>
      <c r="Q14" s="443" t="str">
        <f>IF(BalCom[[#This Row],[Master name]]="","",IF(N14="SFG-Water","",IF(AND(N14&lt;&gt;0,P14&lt;&gt;0),"Ok","Error")))</f>
        <v>Ok</v>
      </c>
    </row>
    <row r="15" spans="1:17">
      <c r="A15" s="98" t="str">
        <f>IF(LEFT(BalCom[[#This Row],[Code]],3)="NBR","NBR","CHE")</f>
        <v>CHE</v>
      </c>
      <c r="C15" s="11" t="s">
        <v>629</v>
      </c>
      <c r="D15" s="11" t="s">
        <v>641</v>
      </c>
      <c r="E15" s="11" t="s">
        <v>632</v>
      </c>
      <c r="F15" s="546" t="s">
        <v>277</v>
      </c>
      <c r="G15" s="99">
        <v>0.03</v>
      </c>
      <c r="H15" s="12">
        <v>2.1297466889999996</v>
      </c>
      <c r="I15" s="12">
        <v>2027.9360000000001</v>
      </c>
      <c r="K15" s="12">
        <f>SUMIFS(H:H,C:C,BalCom[[#This Row],[Name]],D:D,BalCom[[#This Row],[Master name]])</f>
        <v>2199.7080000000001</v>
      </c>
      <c r="L15" s="12">
        <f>IFERROR(BalCom[[#This Row],[Balance (Kg)]]*BalCom[[#This Row],[Dry Kg]]/BalCom[[#This Row],[Total Dry Kg]],0)</f>
        <v>1.9634378660730893</v>
      </c>
      <c r="M15" s="12">
        <f>IF(D15="","",BalCom[[#This Row],[Bal. Kg Dry]]/BalCom[[#This Row],[TSC]])</f>
        <v>65.447928869102981</v>
      </c>
      <c r="N15" s="97" t="str">
        <f>IF(_xlfn.XLOOKUP(BalCom[[#This Row],[Code]],Info!B:B,Info!D:D,0)=0,BalCom[[#This Row],[Code]],(_xlfn.XLOOKUP(BalCom[[#This Row],[Code]],Info!B:B,Info!D:D,0)))</f>
        <v>CH212</v>
      </c>
      <c r="O15" s="12">
        <f>IF(BalCom[[#This Row],[New Code]]="SFG-Water",0,_xlfn.XLOOKUP(BalCom[[#This Row],[New Code]],Used_before_Trf!A:A,Used_before_Trf!U:U,""))</f>
        <v>32.035420833333333</v>
      </c>
      <c r="P15" s="12">
        <f>IF(D15="","",ROUND((BalCom[[#This Row],[Price]]*BalCom[[#This Row],[Bal. Kg Wet]]),2))</f>
        <v>2096.65</v>
      </c>
      <c r="Q15" s="443" t="str">
        <f>IF(BalCom[[#This Row],[Master name]]="","",IF(N15="SFG-Water","",IF(AND(N15&lt;&gt;0,P15&lt;&gt;0),"Ok","Error")))</f>
        <v>Ok</v>
      </c>
    </row>
    <row r="16" spans="1:17">
      <c r="A16" s="98" t="str">
        <f>IF(LEFT(BalCom[[#This Row],[Code]],3)="NBR","NBR","CHE")</f>
        <v>CHE</v>
      </c>
      <c r="C16" s="11" t="s">
        <v>629</v>
      </c>
      <c r="D16" s="11" t="s">
        <v>641</v>
      </c>
      <c r="E16" s="11" t="s">
        <v>633</v>
      </c>
      <c r="F16" s="91" t="s">
        <v>497</v>
      </c>
      <c r="G16" s="99">
        <v>0.03</v>
      </c>
      <c r="H16" s="12">
        <v>28.929253311</v>
      </c>
      <c r="I16" s="12">
        <v>2027.9360000000001</v>
      </c>
      <c r="K16" s="12">
        <f>SUMIFS(H:H,C:C,BalCom[[#This Row],[Name]],D:D,BalCom[[#This Row],[Master name]])</f>
        <v>2199.7080000000001</v>
      </c>
      <c r="L16" s="12">
        <f>IFERROR(BalCom[[#This Row],[Balance (Kg)]]*BalCom[[#This Row],[Dry Kg]]/BalCom[[#This Row],[Total Dry Kg]],0)</f>
        <v>26.670209974458473</v>
      </c>
      <c r="M16" s="12">
        <f>IF(D16="","",BalCom[[#This Row],[Bal. Kg Dry]]/BalCom[[#This Row],[TSC]])</f>
        <v>889.00699914861582</v>
      </c>
      <c r="N16" s="97" t="str">
        <f>IF(_xlfn.XLOOKUP(BalCom[[#This Row],[Code]],Info!B:B,Info!D:D,0)=0,BalCom[[#This Row],[Code]],(_xlfn.XLOOKUP(BalCom[[#This Row],[Code]],Info!B:B,Info!D:D,0)))</f>
        <v>SFG-Water</v>
      </c>
      <c r="O16" s="12">
        <f>IF(BalCom[[#This Row],[New Code]]="SFG-Water",0,_xlfn.XLOOKUP(BalCom[[#This Row],[New Code]],Used_before_Trf!A:A,Used_before_Trf!U:U,""))</f>
        <v>0</v>
      </c>
      <c r="P16" s="12">
        <f>IF(D16="","",ROUND((BalCom[[#This Row],[Price]]*BalCom[[#This Row],[Bal. Kg Wet]]),2))</f>
        <v>0</v>
      </c>
      <c r="Q16" s="443" t="str">
        <f>IF(BalCom[[#This Row],[Master name]]="","",IF(N16="SFG-Water","",IF(AND(N16&lt;&gt;0,P16&lt;&gt;0),"Ok","Error")))</f>
        <v/>
      </c>
    </row>
    <row r="17" spans="1:17">
      <c r="A17" s="98" t="str">
        <f>IF(LEFT(BalCom[[#This Row],[Code]],3)="NBR","NBR","CHE")</f>
        <v>CHE</v>
      </c>
      <c r="C17" s="11" t="s">
        <v>629</v>
      </c>
      <c r="D17" s="11" t="s">
        <v>641</v>
      </c>
      <c r="E17" s="11" t="s">
        <v>634</v>
      </c>
      <c r="F17" s="91" t="s">
        <v>303</v>
      </c>
      <c r="G17" s="99">
        <v>0.15</v>
      </c>
      <c r="H17" s="12">
        <v>5.4809999999999999</v>
      </c>
      <c r="I17" s="12">
        <v>2027.9360000000001</v>
      </c>
      <c r="K17" s="12">
        <f>SUMIFS(H:H,C:C,BalCom[[#This Row],[Name]],D:D,BalCom[[#This Row],[Master name]])</f>
        <v>2199.7080000000001</v>
      </c>
      <c r="L17" s="12">
        <f>IFERROR(BalCom[[#This Row],[Balance (Kg)]]*BalCom[[#This Row],[Dry Kg]]/BalCom[[#This Row],[Total Dry Kg]],0)</f>
        <v>5.0529966777408637</v>
      </c>
      <c r="M17" s="12">
        <f>IF(D17="","",BalCom[[#This Row],[Bal. Kg Dry]]/BalCom[[#This Row],[TSC]])</f>
        <v>33.686644518272423</v>
      </c>
      <c r="N17" s="97" t="str">
        <f>IF(_xlfn.XLOOKUP(BalCom[[#This Row],[Code]],Info!B:B,Info!D:D,0)=0,BalCom[[#This Row],[Code]],(_xlfn.XLOOKUP(BalCom[[#This Row],[Code]],Info!B:B,Info!D:D,0)))</f>
        <v>CH227</v>
      </c>
      <c r="O17" s="12">
        <f>IF(BalCom[[#This Row],[New Code]]="SFG-Water",0,_xlfn.XLOOKUP(BalCom[[#This Row],[New Code]],Used_before_Trf!A:A,Used_before_Trf!U:U,""))</f>
        <v>14.054039924978982</v>
      </c>
      <c r="P17" s="12">
        <f>IF(D17="","",ROUND((BalCom[[#This Row],[Price]]*BalCom[[#This Row],[Bal. Kg Wet]]),2))</f>
        <v>473.43</v>
      </c>
      <c r="Q17" s="443" t="str">
        <f>IF(BalCom[[#This Row],[Master name]]="","",IF(N17="SFG-Water","",IF(AND(N17&lt;&gt;0,P17&lt;&gt;0),"Ok","Error")))</f>
        <v>Ok</v>
      </c>
    </row>
    <row r="18" spans="1:17">
      <c r="A18" s="98" t="str">
        <f>IF(LEFT(BalCom[[#This Row],[Code]],3)="NBR","NBR","CHE")</f>
        <v>CHE</v>
      </c>
      <c r="C18" s="11" t="s">
        <v>629</v>
      </c>
      <c r="D18" s="11" t="s">
        <v>641</v>
      </c>
      <c r="E18" s="11" t="s">
        <v>635</v>
      </c>
      <c r="F18" s="91" t="s">
        <v>348</v>
      </c>
      <c r="G18" s="99">
        <v>0.6</v>
      </c>
      <c r="H18" s="12">
        <v>14.616</v>
      </c>
      <c r="I18" s="12">
        <v>2027.9360000000001</v>
      </c>
      <c r="K18" s="12">
        <f>SUMIFS(H:H,C:C,BalCom[[#This Row],[Name]],D:D,BalCom[[#This Row],[Master name]])</f>
        <v>2199.7080000000001</v>
      </c>
      <c r="L18" s="12">
        <f>IFERROR(BalCom[[#This Row],[Balance (Kg)]]*BalCom[[#This Row],[Dry Kg]]/BalCom[[#This Row],[Total Dry Kg]],0)</f>
        <v>13.47465780730897</v>
      </c>
      <c r="M18" s="12">
        <f>IF(D18="","",BalCom[[#This Row],[Bal. Kg Dry]]/BalCom[[#This Row],[TSC]])</f>
        <v>22.457763012181619</v>
      </c>
      <c r="N18" s="97" t="str">
        <f>IF(_xlfn.XLOOKUP(BalCom[[#This Row],[Code]],Info!B:B,Info!D:D,0)=0,BalCom[[#This Row],[Code]],(_xlfn.XLOOKUP(BalCom[[#This Row],[Code]],Info!B:B,Info!D:D,0)))</f>
        <v>CH93</v>
      </c>
      <c r="O18" s="12">
        <f>IF(BalCom[[#This Row],[New Code]]="SFG-Water",0,_xlfn.XLOOKUP(BalCom[[#This Row],[New Code]],Used_before_Trf!A:A,Used_before_Trf!U:U,""))</f>
        <v>69.839849490925189</v>
      </c>
      <c r="P18" s="12">
        <f>IF(D18="","",ROUND((BalCom[[#This Row],[Price]]*BalCom[[#This Row],[Bal. Kg Wet]]),2))</f>
        <v>1568.45</v>
      </c>
      <c r="Q18" s="443" t="str">
        <f>IF(BalCom[[#This Row],[Master name]]="","",IF(N18="SFG-Water","",IF(AND(N18&lt;&gt;0,P18&lt;&gt;0),"Ok","Error")))</f>
        <v>Ok</v>
      </c>
    </row>
    <row r="19" spans="1:17">
      <c r="A19" s="98" t="str">
        <f>IF(LEFT(BalCom[[#This Row],[Code]],3)="NBR","NBR","CHE")</f>
        <v>CHE</v>
      </c>
      <c r="C19" s="11" t="s">
        <v>629</v>
      </c>
      <c r="D19" s="11" t="s">
        <v>641</v>
      </c>
      <c r="E19" s="11" t="s">
        <v>636</v>
      </c>
      <c r="F19" s="91" t="s">
        <v>346</v>
      </c>
      <c r="G19" s="99">
        <v>0.6</v>
      </c>
      <c r="H19" s="12">
        <v>18.27</v>
      </c>
      <c r="I19" s="12">
        <v>2027.9360000000001</v>
      </c>
      <c r="K19" s="12">
        <f>SUMIFS(H:H,C:C,BalCom[[#This Row],[Name]],D:D,BalCom[[#This Row],[Master name]])</f>
        <v>2199.7080000000001</v>
      </c>
      <c r="L19" s="12">
        <f>IFERROR(BalCom[[#This Row],[Balance (Kg)]]*BalCom[[#This Row],[Dry Kg]]/BalCom[[#This Row],[Total Dry Kg]],0)</f>
        <v>16.843322259136212</v>
      </c>
      <c r="M19" s="12">
        <f>IF(D19="","",BalCom[[#This Row],[Bal. Kg Dry]]/BalCom[[#This Row],[TSC]])</f>
        <v>28.07220376522702</v>
      </c>
      <c r="N19" s="97" t="str">
        <f>IF(_xlfn.XLOOKUP(BalCom[[#This Row],[Code]],Info!B:B,Info!D:D,0)=0,BalCom[[#This Row],[Code]],(_xlfn.XLOOKUP(BalCom[[#This Row],[Code]],Info!B:B,Info!D:D,0)))</f>
        <v>CH92</v>
      </c>
      <c r="O19" s="12">
        <f>IF(BalCom[[#This Row],[New Code]]="SFG-Water",0,_xlfn.XLOOKUP(BalCom[[#This Row],[New Code]],Used_before_Trf!A:A,Used_before_Trf!U:U,""))</f>
        <v>28.016027710254928</v>
      </c>
      <c r="P19" s="12">
        <f>IF(D19="","",ROUND((BalCom[[#This Row],[Price]]*BalCom[[#This Row],[Bal. Kg Wet]]),2))</f>
        <v>786.47</v>
      </c>
      <c r="Q19" s="443" t="str">
        <f>IF(BalCom[[#This Row],[Master name]]="","",IF(N19="SFG-Water","",IF(AND(N19&lt;&gt;0,P19&lt;&gt;0),"Ok","Error")))</f>
        <v>Ok</v>
      </c>
    </row>
    <row r="20" spans="1:17">
      <c r="A20" s="98" t="str">
        <f>IF(LEFT(BalCom[[#This Row],[Code]],3)="NBR","NBR","CHE")</f>
        <v>CHE</v>
      </c>
      <c r="C20" s="11" t="s">
        <v>629</v>
      </c>
      <c r="D20" s="11" t="s">
        <v>641</v>
      </c>
      <c r="E20" s="11" t="s">
        <v>637</v>
      </c>
      <c r="F20" s="91" t="s">
        <v>344</v>
      </c>
      <c r="G20" s="99">
        <v>0.5</v>
      </c>
      <c r="H20" s="12">
        <v>10.962</v>
      </c>
      <c r="I20" s="12">
        <v>2027.9360000000001</v>
      </c>
      <c r="K20" s="12">
        <f>SUMIFS(H:H,C:C,BalCom[[#This Row],[Name]],D:D,BalCom[[#This Row],[Master name]])</f>
        <v>2199.7080000000001</v>
      </c>
      <c r="L20" s="12">
        <f>IFERROR(BalCom[[#This Row],[Balance (Kg)]]*BalCom[[#This Row],[Dry Kg]]/BalCom[[#This Row],[Total Dry Kg]],0)</f>
        <v>10.105993355481727</v>
      </c>
      <c r="M20" s="12">
        <f>IF(D20="","",BalCom[[#This Row],[Bal. Kg Dry]]/BalCom[[#This Row],[TSC]])</f>
        <v>20.211986710963455</v>
      </c>
      <c r="N20" s="97" t="str">
        <f>IF(_xlfn.XLOOKUP(BalCom[[#This Row],[Code]],Info!B:B,Info!D:D,0)=0,BalCom[[#This Row],[Code]],(_xlfn.XLOOKUP(BalCom[[#This Row],[Code]],Info!B:B,Info!D:D,0)))</f>
        <v>CH91</v>
      </c>
      <c r="O20" s="12">
        <f>IF(BalCom[[#This Row],[New Code]]="SFG-Water",0,_xlfn.XLOOKUP(BalCom[[#This Row],[New Code]],Used_before_Trf!A:A,Used_before_Trf!U:U,""))</f>
        <v>50.317319152837626</v>
      </c>
      <c r="P20" s="12">
        <f>IF(D20="","",ROUND((BalCom[[#This Row],[Price]]*BalCom[[#This Row],[Bal. Kg Wet]]),2))</f>
        <v>1017.01</v>
      </c>
      <c r="Q20" s="443" t="str">
        <f>IF(BalCom[[#This Row],[Master name]]="","",IF(N20="SFG-Water","",IF(AND(N20&lt;&gt;0,P20&lt;&gt;0),"Ok","Error")))</f>
        <v>Ok</v>
      </c>
    </row>
    <row r="21" spans="1:17">
      <c r="A21" s="98" t="str">
        <f>IF(LEFT(BalCom[[#This Row],[Code]],3)="NBR","NBR","CHE")</f>
        <v>CHE</v>
      </c>
      <c r="C21" s="11" t="s">
        <v>629</v>
      </c>
      <c r="D21" s="11" t="s">
        <v>641</v>
      </c>
      <c r="E21" s="11" t="s">
        <v>638</v>
      </c>
      <c r="F21" s="91" t="s">
        <v>307</v>
      </c>
      <c r="G21" s="99">
        <v>0.45</v>
      </c>
      <c r="H21" s="12">
        <v>274.05</v>
      </c>
      <c r="I21" s="12">
        <v>2027.9360000000001</v>
      </c>
      <c r="K21" s="12">
        <f>SUMIFS(H:H,C:C,BalCom[[#This Row],[Name]],D:D,BalCom[[#This Row],[Master name]])</f>
        <v>2199.7080000000001</v>
      </c>
      <c r="L21" s="12">
        <f>IFERROR(BalCom[[#This Row],[Balance (Kg)]]*BalCom[[#This Row],[Dry Kg]]/BalCom[[#This Row],[Total Dry Kg]],0)</f>
        <v>252.6498338870432</v>
      </c>
      <c r="M21" s="12">
        <f>IF(D21="","",BalCom[[#This Row],[Bal. Kg Dry]]/BalCom[[#This Row],[TSC]])</f>
        <v>561.44407530454043</v>
      </c>
      <c r="N21" s="97" t="str">
        <f>IF(_xlfn.XLOOKUP(BalCom[[#This Row],[Code]],Info!B:B,Info!D:D,0)=0,BalCom[[#This Row],[Code]],(_xlfn.XLOOKUP(BalCom[[#This Row],[Code]],Info!B:B,Info!D:D,0)))</f>
        <v>CH229</v>
      </c>
      <c r="O21" s="12">
        <f>IF(BalCom[[#This Row],[New Code]]="SFG-Water",0,_xlfn.XLOOKUP(BalCom[[#This Row],[New Code]],Used_before_Trf!A:A,Used_before_Trf!U:U,""))</f>
        <v>13.07</v>
      </c>
      <c r="P21" s="12">
        <f>IF(D21="","",ROUND((BalCom[[#This Row],[Price]]*BalCom[[#This Row],[Bal. Kg Wet]]),2))</f>
        <v>7338.07</v>
      </c>
      <c r="Q21" s="443" t="str">
        <f>IF(BalCom[[#This Row],[Master name]]="","",IF(N21="SFG-Water","",IF(AND(N21&lt;&gt;0,P21&lt;&gt;0),"Ok","Error")))</f>
        <v>Ok</v>
      </c>
    </row>
    <row r="22" spans="1:17">
      <c r="A22" s="98" t="str">
        <f>IF(LEFT(BalCom[[#This Row],[Code]],3)="NBR","NBR","CHE")</f>
        <v>CHE</v>
      </c>
      <c r="C22" s="11" t="s">
        <v>629</v>
      </c>
      <c r="D22" s="11" t="s">
        <v>641</v>
      </c>
      <c r="E22" s="11" t="s">
        <v>640</v>
      </c>
      <c r="F22" s="546" t="s">
        <v>211</v>
      </c>
      <c r="G22" s="99">
        <v>0.5</v>
      </c>
      <c r="H22" s="12">
        <v>18.27</v>
      </c>
      <c r="I22" s="12">
        <v>2027.9360000000001</v>
      </c>
      <c r="K22" s="12">
        <f>SUMIFS(H:H,C:C,BalCom[[#This Row],[Name]],D:D,BalCom[[#This Row],[Master name]])</f>
        <v>2199.7080000000001</v>
      </c>
      <c r="L22" s="12">
        <f>IFERROR(BalCom[[#This Row],[Balance (Kg)]]*BalCom[[#This Row],[Dry Kg]]/BalCom[[#This Row],[Total Dry Kg]],0)</f>
        <v>16.843322259136212</v>
      </c>
      <c r="M22" s="12">
        <f>IF(D22="","",BalCom[[#This Row],[Bal. Kg Dry]]/BalCom[[#This Row],[TSC]])</f>
        <v>33.686644518272423</v>
      </c>
      <c r="N22" s="97" t="str">
        <f>IF(_xlfn.XLOOKUP(BalCom[[#This Row],[Code]],Info!B:B,Info!D:D,0)=0,BalCom[[#This Row],[Code]],(_xlfn.XLOOKUP(BalCom[[#This Row],[Code]],Info!B:B,Info!D:D,0)))</f>
        <v>CH140</v>
      </c>
      <c r="O22" s="12">
        <f>IF(BalCom[[#This Row],[New Code]]="SFG-Water",0,_xlfn.XLOOKUP(BalCom[[#This Row],[New Code]],Used_before_Trf!A:A,Used_before_Trf!U:U,""))</f>
        <v>57.918555023923446</v>
      </c>
      <c r="P22" s="12">
        <f>IF(D22="","",ROUND((BalCom[[#This Row],[Price]]*BalCom[[#This Row],[Bal. Kg Wet]]),2))</f>
        <v>1951.08</v>
      </c>
      <c r="Q22" s="443" t="str">
        <f>IF(BalCom[[#This Row],[Master name]]="","",IF(N22="SFG-Water","",IF(AND(N22&lt;&gt;0,P22&lt;&gt;0),"Ok","Error")))</f>
        <v>Ok</v>
      </c>
    </row>
    <row r="23" spans="1:17">
      <c r="A23" s="98" t="str">
        <f>IF(LEFT(BalCom[[#This Row],[Code]],3)="NBR","NBR","CHE")</f>
        <v>NBR</v>
      </c>
      <c r="C23" s="11" t="s">
        <v>629</v>
      </c>
      <c r="D23" s="11" t="s">
        <v>642</v>
      </c>
      <c r="E23" s="11" t="s">
        <v>643</v>
      </c>
      <c r="F23" s="91" t="s">
        <v>575</v>
      </c>
      <c r="G23" s="99">
        <v>0.4556</v>
      </c>
      <c r="H23" s="12">
        <v>1818</v>
      </c>
      <c r="I23" s="12">
        <v>3144.732</v>
      </c>
      <c r="K23" s="12">
        <f>SUMIFS(H:H,C:C,BalCom[[#This Row],[Name]],D:D,BalCom[[#This Row],[Master name]])</f>
        <v>2197.9619999999995</v>
      </c>
      <c r="L23" s="12">
        <f>IFERROR(BalCom[[#This Row],[Balance (Kg)]]*BalCom[[#This Row],[Dry Kg]]/BalCom[[#This Row],[Total Dry Kg]],0)</f>
        <v>2601.1017369727051</v>
      </c>
      <c r="M23" s="12">
        <f>IF(D23="","",BalCom[[#This Row],[Bal. Kg Dry]]/BalCom[[#This Row],[TSC]])</f>
        <v>5709.178527156947</v>
      </c>
      <c r="N23" s="97" t="str">
        <f>IF(_xlfn.XLOOKUP(BalCom[[#This Row],[Code]],Info!B:B,Info!D:D,0)=0,BalCom[[#This Row],[Code]],(_xlfn.XLOOKUP(BalCom[[#This Row],[Code]],Info!B:B,Info!D:D,0)))</f>
        <v>NBR31</v>
      </c>
      <c r="O23" s="12">
        <f>IF(BalCom[[#This Row],[New Code]]="SFG-Water",0,_xlfn.XLOOKUP(BalCom[[#This Row],[New Code]],Used_before_Trf!A:A,Used_before_Trf!U:U,""))</f>
        <v>45.277799928375316</v>
      </c>
      <c r="P23" s="12">
        <f>IF(D23="","",ROUND((BalCom[[#This Row],[Price]]*BalCom[[#This Row],[Bal. Kg Wet]]),2))</f>
        <v>258499.04</v>
      </c>
      <c r="Q23" s="443" t="str">
        <f>IF(BalCom[[#This Row],[Master name]]="","",IF(N23="SFG-Water","",IF(AND(N23&lt;&gt;0,P23&lt;&gt;0),"Ok","Error")))</f>
        <v>Ok</v>
      </c>
    </row>
    <row r="24" spans="1:17">
      <c r="A24" s="98" t="str">
        <f>IF(LEFT(BalCom[[#This Row],[Code]],3)="NBR","NBR","CHE")</f>
        <v>CHE</v>
      </c>
      <c r="C24" s="11" t="s">
        <v>629</v>
      </c>
      <c r="D24" s="11" t="s">
        <v>642</v>
      </c>
      <c r="E24" s="11" t="s">
        <v>632</v>
      </c>
      <c r="F24" s="546" t="s">
        <v>277</v>
      </c>
      <c r="G24" s="99">
        <v>0.03</v>
      </c>
      <c r="H24" s="12">
        <v>1.8699311699999999</v>
      </c>
      <c r="I24" s="12">
        <v>3144.732</v>
      </c>
      <c r="K24" s="12">
        <f>SUMIFS(H:H,C:C,BalCom[[#This Row],[Name]],D:D,BalCom[[#This Row],[Master name]])</f>
        <v>2197.9619999999995</v>
      </c>
      <c r="L24" s="12">
        <f>IFERROR(BalCom[[#This Row],[Balance (Kg)]]*BalCom[[#This Row],[Dry Kg]]/BalCom[[#This Row],[Total Dry Kg]],0)</f>
        <v>2.6754022080893303</v>
      </c>
      <c r="M24" s="12">
        <f>IF(D24="","",BalCom[[#This Row],[Bal. Kg Dry]]/BalCom[[#This Row],[TSC]])</f>
        <v>89.180073602977686</v>
      </c>
      <c r="N24" s="97" t="str">
        <f>IF(_xlfn.XLOOKUP(BalCom[[#This Row],[Code]],Info!B:B,Info!D:D,0)=0,BalCom[[#This Row],[Code]],(_xlfn.XLOOKUP(BalCom[[#This Row],[Code]],Info!B:B,Info!D:D,0)))</f>
        <v>CH212</v>
      </c>
      <c r="O24" s="12">
        <f>IF(BalCom[[#This Row],[New Code]]="SFG-Water",0,_xlfn.XLOOKUP(BalCom[[#This Row],[New Code]],Used_before_Trf!A:A,Used_before_Trf!U:U,""))</f>
        <v>32.035420833333333</v>
      </c>
      <c r="P24" s="12">
        <f>IF(D24="","",ROUND((BalCom[[#This Row],[Price]]*BalCom[[#This Row],[Bal. Kg Wet]]),2))</f>
        <v>2856.92</v>
      </c>
      <c r="Q24" s="443" t="str">
        <f>IF(BalCom[[#This Row],[Master name]]="","",IF(N24="SFG-Water","",IF(AND(N24&lt;&gt;0,P24&lt;&gt;0),"Ok","Error")))</f>
        <v>Ok</v>
      </c>
    </row>
    <row r="25" spans="1:17">
      <c r="A25" s="98" t="str">
        <f>IF(LEFT(BalCom[[#This Row],[Code]],3)="NBR","NBR","CHE")</f>
        <v>CHE</v>
      </c>
      <c r="C25" s="11" t="s">
        <v>629</v>
      </c>
      <c r="D25" s="11" t="s">
        <v>642</v>
      </c>
      <c r="E25" s="11" t="s">
        <v>633</v>
      </c>
      <c r="F25" s="91" t="s">
        <v>497</v>
      </c>
      <c r="G25" s="99">
        <v>0.03</v>
      </c>
      <c r="H25" s="12">
        <v>25.400068829999999</v>
      </c>
      <c r="I25" s="12">
        <v>3144.732</v>
      </c>
      <c r="K25" s="12">
        <f>SUMIFS(H:H,C:C,BalCom[[#This Row],[Name]],D:D,BalCom[[#This Row],[Master name]])</f>
        <v>2197.9619999999995</v>
      </c>
      <c r="L25" s="12">
        <f>IFERROR(BalCom[[#This Row],[Balance (Kg)]]*BalCom[[#This Row],[Dry Kg]]/BalCom[[#This Row],[Total Dry Kg]],0)</f>
        <v>36.341123846501247</v>
      </c>
      <c r="M25" s="12">
        <f>IF(D25="","",BalCom[[#This Row],[Bal. Kg Dry]]/BalCom[[#This Row],[TSC]])</f>
        <v>1211.3707948833749</v>
      </c>
      <c r="N25" s="97" t="str">
        <f>IF(_xlfn.XLOOKUP(BalCom[[#This Row],[Code]],Info!B:B,Info!D:D,0)=0,BalCom[[#This Row],[Code]],(_xlfn.XLOOKUP(BalCom[[#This Row],[Code]],Info!B:B,Info!D:D,0)))</f>
        <v>SFG-Water</v>
      </c>
      <c r="O25" s="12">
        <f>IF(BalCom[[#This Row],[New Code]]="SFG-Water",0,_xlfn.XLOOKUP(BalCom[[#This Row],[New Code]],Used_before_Trf!A:A,Used_before_Trf!U:U,""))</f>
        <v>0</v>
      </c>
      <c r="P25" s="12">
        <f>IF(D25="","",ROUND((BalCom[[#This Row],[Price]]*BalCom[[#This Row],[Bal. Kg Wet]]),2))</f>
        <v>0</v>
      </c>
      <c r="Q25" s="443" t="str">
        <f>IF(BalCom[[#This Row],[Master name]]="","",IF(N25="SFG-Water","",IF(AND(N25&lt;&gt;0,P25&lt;&gt;0),"Ok","Error")))</f>
        <v/>
      </c>
    </row>
    <row r="26" spans="1:17">
      <c r="A26" s="98" t="str">
        <f>IF(LEFT(BalCom[[#This Row],[Code]],3)="NBR","NBR","CHE")</f>
        <v>CHE</v>
      </c>
      <c r="C26" s="11" t="s">
        <v>629</v>
      </c>
      <c r="D26" s="11" t="s">
        <v>642</v>
      </c>
      <c r="E26" s="11" t="s">
        <v>634</v>
      </c>
      <c r="F26" s="91" t="s">
        <v>303</v>
      </c>
      <c r="G26" s="99">
        <v>0.15</v>
      </c>
      <c r="H26" s="12">
        <v>3.6360000000000001</v>
      </c>
      <c r="I26" s="12">
        <v>3144.732</v>
      </c>
      <c r="K26" s="12">
        <f>SUMIFS(H:H,C:C,BalCom[[#This Row],[Name]],D:D,BalCom[[#This Row],[Master name]])</f>
        <v>2197.9619999999995</v>
      </c>
      <c r="L26" s="12">
        <f>IFERROR(BalCom[[#This Row],[Balance (Kg)]]*BalCom[[#This Row],[Dry Kg]]/BalCom[[#This Row],[Total Dry Kg]],0)</f>
        <v>5.2022034739454108</v>
      </c>
      <c r="M26" s="12">
        <f>IF(D26="","",BalCom[[#This Row],[Bal. Kg Dry]]/BalCom[[#This Row],[TSC]])</f>
        <v>34.681356492969407</v>
      </c>
      <c r="N26" s="97" t="str">
        <f>IF(_xlfn.XLOOKUP(BalCom[[#This Row],[Code]],Info!B:B,Info!D:D,0)=0,BalCom[[#This Row],[Code]],(_xlfn.XLOOKUP(BalCom[[#This Row],[Code]],Info!B:B,Info!D:D,0)))</f>
        <v>CH227</v>
      </c>
      <c r="O26" s="12">
        <f>IF(BalCom[[#This Row],[New Code]]="SFG-Water",0,_xlfn.XLOOKUP(BalCom[[#This Row],[New Code]],Used_before_Trf!A:A,Used_before_Trf!U:U,""))</f>
        <v>14.054039924978982</v>
      </c>
      <c r="P26" s="12">
        <f>IF(D26="","",ROUND((BalCom[[#This Row],[Price]]*BalCom[[#This Row],[Bal. Kg Wet]]),2))</f>
        <v>487.41</v>
      </c>
      <c r="Q26" s="443" t="str">
        <f>IF(BalCom[[#This Row],[Master name]]="","",IF(N26="SFG-Water","",IF(AND(N26&lt;&gt;0,P26&lt;&gt;0),"Ok","Error")))</f>
        <v>Ok</v>
      </c>
    </row>
    <row r="27" spans="1:17">
      <c r="A27" s="98" t="str">
        <f>IF(LEFT(BalCom[[#This Row],[Code]],3)="NBR","NBR","CHE")</f>
        <v>CHE</v>
      </c>
      <c r="C27" s="11" t="s">
        <v>629</v>
      </c>
      <c r="D27" s="11" t="s">
        <v>642</v>
      </c>
      <c r="E27" s="11" t="s">
        <v>635</v>
      </c>
      <c r="F27" s="91" t="s">
        <v>348</v>
      </c>
      <c r="G27" s="99">
        <v>0.6</v>
      </c>
      <c r="H27" s="12">
        <v>10.907999999999999</v>
      </c>
      <c r="I27" s="12">
        <v>3144.732</v>
      </c>
      <c r="K27" s="12">
        <f>SUMIFS(H:H,C:C,BalCom[[#This Row],[Name]],D:D,BalCom[[#This Row],[Master name]])</f>
        <v>2197.9619999999995</v>
      </c>
      <c r="L27" s="12">
        <f>IFERROR(BalCom[[#This Row],[Balance (Kg)]]*BalCom[[#This Row],[Dry Kg]]/BalCom[[#This Row],[Total Dry Kg]],0)</f>
        <v>15.606610421836232</v>
      </c>
      <c r="M27" s="12">
        <f>IF(D27="","",BalCom[[#This Row],[Bal. Kg Dry]]/BalCom[[#This Row],[TSC]])</f>
        <v>26.011017369727053</v>
      </c>
      <c r="N27" s="97" t="str">
        <f>IF(_xlfn.XLOOKUP(BalCom[[#This Row],[Code]],Info!B:B,Info!D:D,0)=0,BalCom[[#This Row],[Code]],(_xlfn.XLOOKUP(BalCom[[#This Row],[Code]],Info!B:B,Info!D:D,0)))</f>
        <v>CH93</v>
      </c>
      <c r="O27" s="12">
        <f>IF(BalCom[[#This Row],[New Code]]="SFG-Water",0,_xlfn.XLOOKUP(BalCom[[#This Row],[New Code]],Used_before_Trf!A:A,Used_before_Trf!U:U,""))</f>
        <v>69.839849490925189</v>
      </c>
      <c r="P27" s="12">
        <f>IF(D27="","",ROUND((BalCom[[#This Row],[Price]]*BalCom[[#This Row],[Bal. Kg Wet]]),2))</f>
        <v>1816.61</v>
      </c>
      <c r="Q27" s="443" t="str">
        <f>IF(BalCom[[#This Row],[Master name]]="","",IF(N27="SFG-Water","",IF(AND(N27&lt;&gt;0,P27&lt;&gt;0),"Ok","Error")))</f>
        <v>Ok</v>
      </c>
    </row>
    <row r="28" spans="1:17">
      <c r="A28" s="98" t="str">
        <f>IF(LEFT(BalCom[[#This Row],[Code]],3)="NBR","NBR","CHE")</f>
        <v>CHE</v>
      </c>
      <c r="C28" s="11" t="s">
        <v>629</v>
      </c>
      <c r="D28" s="11" t="s">
        <v>642</v>
      </c>
      <c r="E28" s="11" t="s">
        <v>636</v>
      </c>
      <c r="F28" s="91" t="s">
        <v>346</v>
      </c>
      <c r="G28" s="99">
        <v>0.6</v>
      </c>
      <c r="H28" s="12">
        <v>18.18</v>
      </c>
      <c r="I28" s="12">
        <v>3144.732</v>
      </c>
      <c r="K28" s="12">
        <f>SUMIFS(H:H,C:C,BalCom[[#This Row],[Name]],D:D,BalCom[[#This Row],[Master name]])</f>
        <v>2197.9619999999995</v>
      </c>
      <c r="L28" s="12">
        <f>IFERROR(BalCom[[#This Row],[Balance (Kg)]]*BalCom[[#This Row],[Dry Kg]]/BalCom[[#This Row],[Total Dry Kg]],0)</f>
        <v>26.011017369727053</v>
      </c>
      <c r="M28" s="12">
        <f>IF(D28="","",BalCom[[#This Row],[Bal. Kg Dry]]/BalCom[[#This Row],[TSC]])</f>
        <v>43.351695616211757</v>
      </c>
      <c r="N28" s="97" t="str">
        <f>IF(_xlfn.XLOOKUP(BalCom[[#This Row],[Code]],Info!B:B,Info!D:D,0)=0,BalCom[[#This Row],[Code]],(_xlfn.XLOOKUP(BalCom[[#This Row],[Code]],Info!B:B,Info!D:D,0)))</f>
        <v>CH92</v>
      </c>
      <c r="O28" s="12">
        <f>IF(BalCom[[#This Row],[New Code]]="SFG-Water",0,_xlfn.XLOOKUP(BalCom[[#This Row],[New Code]],Used_before_Trf!A:A,Used_before_Trf!U:U,""))</f>
        <v>28.016027710254928</v>
      </c>
      <c r="P28" s="12">
        <f>IF(D28="","",ROUND((BalCom[[#This Row],[Price]]*BalCom[[#This Row],[Bal. Kg Wet]]),2))</f>
        <v>1214.54</v>
      </c>
      <c r="Q28" s="443" t="str">
        <f>IF(BalCom[[#This Row],[Master name]]="","",IF(N28="SFG-Water","",IF(AND(N28&lt;&gt;0,P28&lt;&gt;0),"Ok","Error")))</f>
        <v>Ok</v>
      </c>
    </row>
    <row r="29" spans="1:17">
      <c r="A29" s="98" t="str">
        <f>IF(LEFT(BalCom[[#This Row],[Code]],3)="NBR","NBR","CHE")</f>
        <v>CHE</v>
      </c>
      <c r="C29" s="11" t="s">
        <v>629</v>
      </c>
      <c r="D29" s="11" t="s">
        <v>642</v>
      </c>
      <c r="E29" s="11" t="s">
        <v>637</v>
      </c>
      <c r="F29" s="91" t="s">
        <v>344</v>
      </c>
      <c r="G29" s="99">
        <v>0.5</v>
      </c>
      <c r="H29" s="12">
        <v>10.907999999999999</v>
      </c>
      <c r="I29" s="12">
        <v>3144.732</v>
      </c>
      <c r="K29" s="12">
        <f>SUMIFS(H:H,C:C,BalCom[[#This Row],[Name]],D:D,BalCom[[#This Row],[Master name]])</f>
        <v>2197.9619999999995</v>
      </c>
      <c r="L29" s="12">
        <f>IFERROR(BalCom[[#This Row],[Balance (Kg)]]*BalCom[[#This Row],[Dry Kg]]/BalCom[[#This Row],[Total Dry Kg]],0)</f>
        <v>15.606610421836232</v>
      </c>
      <c r="M29" s="12">
        <f>IF(D29="","",BalCom[[#This Row],[Bal. Kg Dry]]/BalCom[[#This Row],[TSC]])</f>
        <v>31.213220843672463</v>
      </c>
      <c r="N29" s="97" t="str">
        <f>IF(_xlfn.XLOOKUP(BalCom[[#This Row],[Code]],Info!B:B,Info!D:D,0)=0,BalCom[[#This Row],[Code]],(_xlfn.XLOOKUP(BalCom[[#This Row],[Code]],Info!B:B,Info!D:D,0)))</f>
        <v>CH91</v>
      </c>
      <c r="O29" s="12">
        <f>IF(BalCom[[#This Row],[New Code]]="SFG-Water",0,_xlfn.XLOOKUP(BalCom[[#This Row],[New Code]],Used_before_Trf!A:A,Used_before_Trf!U:U,""))</f>
        <v>50.317319152837626</v>
      </c>
      <c r="P29" s="12">
        <f>IF(D29="","",ROUND((BalCom[[#This Row],[Price]]*BalCom[[#This Row],[Bal. Kg Wet]]),2))</f>
        <v>1570.57</v>
      </c>
      <c r="Q29" s="443" t="str">
        <f>IF(BalCom[[#This Row],[Master name]]="","",IF(N29="SFG-Water","",IF(AND(N29&lt;&gt;0,P29&lt;&gt;0),"Ok","Error")))</f>
        <v>Ok</v>
      </c>
    </row>
    <row r="30" spans="1:17">
      <c r="A30" s="98" t="str">
        <f>IF(LEFT(BalCom[[#This Row],[Code]],3)="NBR","NBR","CHE")</f>
        <v>CHE</v>
      </c>
      <c r="C30" s="11" t="s">
        <v>629</v>
      </c>
      <c r="D30" s="11" t="s">
        <v>642</v>
      </c>
      <c r="E30" s="11" t="s">
        <v>644</v>
      </c>
      <c r="F30" s="91" t="s">
        <v>279</v>
      </c>
      <c r="G30" s="99">
        <v>0.65</v>
      </c>
      <c r="H30" s="12">
        <v>272.7</v>
      </c>
      <c r="I30" s="12">
        <v>3144.732</v>
      </c>
      <c r="K30" s="12">
        <f>SUMIFS(H:H,C:C,BalCom[[#This Row],[Name]],D:D,BalCom[[#This Row],[Master name]])</f>
        <v>2197.9619999999995</v>
      </c>
      <c r="L30" s="12">
        <f>IFERROR(BalCom[[#This Row],[Balance (Kg)]]*BalCom[[#This Row],[Dry Kg]]/BalCom[[#This Row],[Total Dry Kg]],0)</f>
        <v>390.16526054590577</v>
      </c>
      <c r="M30" s="12">
        <f>IF(D30="","",BalCom[[#This Row],[Bal. Kg Dry]]/BalCom[[#This Row],[TSC]])</f>
        <v>600.25424699370114</v>
      </c>
      <c r="N30" s="97" t="str">
        <f>IF(_xlfn.XLOOKUP(BalCom[[#This Row],[Code]],Info!B:B,Info!D:D,0)=0,BalCom[[#This Row],[Code]],(_xlfn.XLOOKUP(BalCom[[#This Row],[Code]],Info!B:B,Info!D:D,0)))</f>
        <v>CH215</v>
      </c>
      <c r="O30" s="12">
        <f>IF(BalCom[[#This Row],[New Code]]="SFG-Water",0,_xlfn.XLOOKUP(BalCom[[#This Row],[New Code]],Used_before_Trf!A:A,Used_before_Trf!U:U,""))</f>
        <v>20.738312000000001</v>
      </c>
      <c r="P30" s="12">
        <f>IF(D30="","",ROUND((BalCom[[#This Row],[Price]]*BalCom[[#This Row],[Bal. Kg Wet]]),2))</f>
        <v>12448.26</v>
      </c>
      <c r="Q30" s="443" t="str">
        <f>IF(BalCom[[#This Row],[Master name]]="","",IF(N30="SFG-Water","",IF(AND(N30&lt;&gt;0,P30&lt;&gt;0),"Ok","Error")))</f>
        <v>Ok</v>
      </c>
    </row>
    <row r="31" spans="1:17">
      <c r="A31" s="98" t="str">
        <f>IF(LEFT(BalCom[[#This Row],[Code]],3)="NBR","NBR","CHE")</f>
        <v>CHE</v>
      </c>
      <c r="C31" s="11" t="s">
        <v>629</v>
      </c>
      <c r="D31" s="11" t="s">
        <v>642</v>
      </c>
      <c r="E31" s="11" t="s">
        <v>639</v>
      </c>
      <c r="F31" s="91" t="s">
        <v>295</v>
      </c>
      <c r="G31" s="99">
        <v>0.55000000000000004</v>
      </c>
      <c r="H31" s="12">
        <v>18.18</v>
      </c>
      <c r="I31" s="12">
        <v>3144.732</v>
      </c>
      <c r="K31" s="12">
        <f>SUMIFS(H:H,C:C,BalCom[[#This Row],[Name]],D:D,BalCom[[#This Row],[Master name]])</f>
        <v>2197.9619999999995</v>
      </c>
      <c r="L31" s="12">
        <f>IFERROR(BalCom[[#This Row],[Balance (Kg)]]*BalCom[[#This Row],[Dry Kg]]/BalCom[[#This Row],[Total Dry Kg]],0)</f>
        <v>26.011017369727053</v>
      </c>
      <c r="M31" s="12">
        <f>IF(D31="","",BalCom[[#This Row],[Bal. Kg Dry]]/BalCom[[#This Row],[TSC]])</f>
        <v>47.292758854049183</v>
      </c>
      <c r="N31" s="97" t="str">
        <f>IF(_xlfn.XLOOKUP(BalCom[[#This Row],[Code]],Info!B:B,Info!D:D,0)=0,BalCom[[#This Row],[Code]],(_xlfn.XLOOKUP(BalCom[[#This Row],[Code]],Info!B:B,Info!D:D,0)))</f>
        <v>CH222</v>
      </c>
      <c r="O31" s="12">
        <f>IF(BalCom[[#This Row],[New Code]]="SFG-Water",0,_xlfn.XLOOKUP(BalCom[[#This Row],[New Code]],Used_before_Trf!A:A,Used_before_Trf!U:U,""))</f>
        <v>42.341880945075175</v>
      </c>
      <c r="P31" s="12">
        <f>IF(D31="","",ROUND((BalCom[[#This Row],[Price]]*BalCom[[#This Row],[Bal. Kg Wet]]),2))</f>
        <v>2002.46</v>
      </c>
      <c r="Q31" s="443" t="str">
        <f>IF(BalCom[[#This Row],[Master name]]="","",IF(N31="SFG-Water","",IF(AND(N31&lt;&gt;0,P31&lt;&gt;0),"Ok","Error")))</f>
        <v>Ok</v>
      </c>
    </row>
    <row r="32" spans="1:17">
      <c r="A32" s="98" t="str">
        <f>IF(LEFT(BalCom[[#This Row],[Code]],3)="NBR","NBR","CHE")</f>
        <v>CHE</v>
      </c>
      <c r="C32" s="11" t="s">
        <v>629</v>
      </c>
      <c r="D32" s="11" t="s">
        <v>642</v>
      </c>
      <c r="E32" s="11" t="s">
        <v>640</v>
      </c>
      <c r="F32" s="546" t="s">
        <v>211</v>
      </c>
      <c r="G32" s="99">
        <v>0.5</v>
      </c>
      <c r="H32" s="12">
        <v>18.18</v>
      </c>
      <c r="I32" s="12">
        <v>3144.732</v>
      </c>
      <c r="K32" s="12">
        <f>SUMIFS(H:H,C:C,BalCom[[#This Row],[Name]],D:D,BalCom[[#This Row],[Master name]])</f>
        <v>2197.9619999999995</v>
      </c>
      <c r="L32" s="12">
        <f>IFERROR(BalCom[[#This Row],[Balance (Kg)]]*BalCom[[#This Row],[Dry Kg]]/BalCom[[#This Row],[Total Dry Kg]],0)</f>
        <v>26.011017369727053</v>
      </c>
      <c r="M32" s="12">
        <f>IF(D32="","",BalCom[[#This Row],[Bal. Kg Dry]]/BalCom[[#This Row],[TSC]])</f>
        <v>52.022034739454107</v>
      </c>
      <c r="N32" s="97" t="str">
        <f>IF(_xlfn.XLOOKUP(BalCom[[#This Row],[Code]],Info!B:B,Info!D:D,0)=0,BalCom[[#This Row],[Code]],(_xlfn.XLOOKUP(BalCom[[#This Row],[Code]],Info!B:B,Info!D:D,0)))</f>
        <v>CH140</v>
      </c>
      <c r="O32" s="12">
        <f>IF(BalCom[[#This Row],[New Code]]="SFG-Water",0,_xlfn.XLOOKUP(BalCom[[#This Row],[New Code]],Used_before_Trf!A:A,Used_before_Trf!U:U,""))</f>
        <v>57.918555023923446</v>
      </c>
      <c r="P32" s="12">
        <f>IF(D32="","",ROUND((BalCom[[#This Row],[Price]]*BalCom[[#This Row],[Bal. Kg Wet]]),2))</f>
        <v>3013.04</v>
      </c>
      <c r="Q32" s="443" t="str">
        <f>IF(BalCom[[#This Row],[Master name]]="","",IF(N32="SFG-Water","",IF(AND(N32&lt;&gt;0,P32&lt;&gt;0),"Ok","Error")))</f>
        <v>Ok</v>
      </c>
    </row>
    <row r="33" spans="1:17">
      <c r="A33" s="98" t="str">
        <f>IF(LEFT(BalCom[[#This Row],[Code]],3)="NBR","NBR","CHE")</f>
        <v>NBR</v>
      </c>
      <c r="C33" s="11" t="s">
        <v>629</v>
      </c>
      <c r="D33" s="11" t="s">
        <v>645</v>
      </c>
      <c r="E33" s="11" t="s">
        <v>643</v>
      </c>
      <c r="F33" s="91" t="s">
        <v>575</v>
      </c>
      <c r="G33" s="99">
        <v>0.4556</v>
      </c>
      <c r="H33" s="12">
        <v>1831.5</v>
      </c>
      <c r="I33" s="12">
        <v>4210.6765999999998</v>
      </c>
      <c r="K33" s="12">
        <f>SUMIFS(H:H,C:C,BalCom[[#This Row],[Name]],D:D,BalCom[[#This Row],[Master name]])</f>
        <v>2201.4630000000002</v>
      </c>
      <c r="L33" s="12">
        <f>IFERROR(BalCom[[#This Row],[Balance (Kg)]]*BalCom[[#This Row],[Dry Kg]]/BalCom[[#This Row],[Total Dry Kg]],0)</f>
        <v>3503.0587354409313</v>
      </c>
      <c r="M33" s="12">
        <f>IF(D33="","",BalCom[[#This Row],[Bal. Kg Dry]]/BalCom[[#This Row],[TSC]])</f>
        <v>7688.8909908712276</v>
      </c>
      <c r="N33" s="97" t="str">
        <f>IF(_xlfn.XLOOKUP(BalCom[[#This Row],[Code]],Info!B:B,Info!D:D,0)=0,BalCom[[#This Row],[Code]],(_xlfn.XLOOKUP(BalCom[[#This Row],[Code]],Info!B:B,Info!D:D,0)))</f>
        <v>NBR31</v>
      </c>
      <c r="O33" s="12">
        <f>IF(BalCom[[#This Row],[New Code]]="SFG-Water",0,_xlfn.XLOOKUP(BalCom[[#This Row],[New Code]],Used_before_Trf!A:A,Used_before_Trf!U:U,""))</f>
        <v>45.277799928375316</v>
      </c>
      <c r="P33" s="12">
        <f>IF(D33="","",ROUND((BalCom[[#This Row],[Price]]*BalCom[[#This Row],[Bal. Kg Wet]]),2))</f>
        <v>348136.07</v>
      </c>
      <c r="Q33" s="443" t="str">
        <f>IF(BalCom[[#This Row],[Master name]]="","",IF(N33="SFG-Water","",IF(AND(N33&lt;&gt;0,P33&lt;&gt;0),"Ok","Error")))</f>
        <v>Ok</v>
      </c>
    </row>
    <row r="34" spans="1:17">
      <c r="A34" s="98" t="str">
        <f>IF(LEFT(BalCom[[#This Row],[Code]],3)="NBR","NBR","CHE")</f>
        <v>CHE</v>
      </c>
      <c r="C34" s="11" t="s">
        <v>629</v>
      </c>
      <c r="D34" s="11" t="s">
        <v>645</v>
      </c>
      <c r="E34" s="11" t="s">
        <v>632</v>
      </c>
      <c r="F34" s="546" t="s">
        <v>277</v>
      </c>
      <c r="G34" s="99">
        <v>0.03</v>
      </c>
      <c r="H34" s="12">
        <v>2.1349923705</v>
      </c>
      <c r="I34" s="12">
        <v>4210.6765999999998</v>
      </c>
      <c r="K34" s="12">
        <f>SUMIFS(H:H,C:C,BalCom[[#This Row],[Name]],D:D,BalCom[[#This Row],[Master name]])</f>
        <v>2201.4630000000002</v>
      </c>
      <c r="L34" s="12">
        <f>IFERROR(BalCom[[#This Row],[Balance (Kg)]]*BalCom[[#This Row],[Dry Kg]]/BalCom[[#This Row],[Total Dry Kg]],0)</f>
        <v>4.0835400893146412</v>
      </c>
      <c r="M34" s="12">
        <f>IF(D34="","",BalCom[[#This Row],[Bal. Kg Dry]]/BalCom[[#This Row],[TSC]])</f>
        <v>136.1180029771547</v>
      </c>
      <c r="N34" s="97" t="str">
        <f>IF(_xlfn.XLOOKUP(BalCom[[#This Row],[Code]],Info!B:B,Info!D:D,0)=0,BalCom[[#This Row],[Code]],(_xlfn.XLOOKUP(BalCom[[#This Row],[Code]],Info!B:B,Info!D:D,0)))</f>
        <v>CH212</v>
      </c>
      <c r="O34" s="12">
        <f>IF(BalCom[[#This Row],[New Code]]="SFG-Water",0,_xlfn.XLOOKUP(BalCom[[#This Row],[New Code]],Used_before_Trf!A:A,Used_before_Trf!U:U,""))</f>
        <v>32.035420833333333</v>
      </c>
      <c r="P34" s="12">
        <f>IF(D34="","",ROUND((BalCom[[#This Row],[Price]]*BalCom[[#This Row],[Bal. Kg Wet]]),2))</f>
        <v>4360.6000000000004</v>
      </c>
      <c r="Q34" s="443" t="str">
        <f>IF(BalCom[[#This Row],[Master name]]="","",IF(N34="SFG-Water","",IF(AND(N34&lt;&gt;0,P34&lt;&gt;0),"Ok","Error")))</f>
        <v>Ok</v>
      </c>
    </row>
    <row r="35" spans="1:17">
      <c r="A35" s="98" t="str">
        <f>IF(LEFT(BalCom[[#This Row],[Code]],3)="NBR","NBR","CHE")</f>
        <v>CHE</v>
      </c>
      <c r="C35" s="11" t="s">
        <v>629</v>
      </c>
      <c r="D35" s="11" t="s">
        <v>645</v>
      </c>
      <c r="E35" s="11" t="s">
        <v>633</v>
      </c>
      <c r="F35" s="91" t="s">
        <v>497</v>
      </c>
      <c r="G35" s="99">
        <v>0.03</v>
      </c>
      <c r="H35" s="12">
        <v>29.000507629499999</v>
      </c>
      <c r="I35" s="12">
        <v>4210.6765999999998</v>
      </c>
      <c r="K35" s="12">
        <f>SUMIFS(H:H,C:C,BalCom[[#This Row],[Name]],D:D,BalCom[[#This Row],[Master name]])</f>
        <v>2201.4630000000002</v>
      </c>
      <c r="L35" s="12">
        <f>IFERROR(BalCom[[#This Row],[Balance (Kg)]]*BalCom[[#This Row],[Dry Kg]]/BalCom[[#This Row],[Total Dry Kg]],0)</f>
        <v>55.468458413181189</v>
      </c>
      <c r="M35" s="12">
        <f>IF(D35="","",BalCom[[#This Row],[Bal. Kg Dry]]/BalCom[[#This Row],[TSC]])</f>
        <v>1848.9486137727063</v>
      </c>
      <c r="N35" s="97" t="str">
        <f>IF(_xlfn.XLOOKUP(BalCom[[#This Row],[Code]],Info!B:B,Info!D:D,0)=0,BalCom[[#This Row],[Code]],(_xlfn.XLOOKUP(BalCom[[#This Row],[Code]],Info!B:B,Info!D:D,0)))</f>
        <v>SFG-Water</v>
      </c>
      <c r="O35" s="12">
        <f>IF(BalCom[[#This Row],[New Code]]="SFG-Water",0,_xlfn.XLOOKUP(BalCom[[#This Row],[New Code]],Used_before_Trf!A:A,Used_before_Trf!U:U,""))</f>
        <v>0</v>
      </c>
      <c r="P35" s="12">
        <f>IF(D35="","",ROUND((BalCom[[#This Row],[Price]]*BalCom[[#This Row],[Bal. Kg Wet]]),2))</f>
        <v>0</v>
      </c>
      <c r="Q35" s="443" t="str">
        <f>IF(BalCom[[#This Row],[Master name]]="","",IF(N35="SFG-Water","",IF(AND(N35&lt;&gt;0,P35&lt;&gt;0),"Ok","Error")))</f>
        <v/>
      </c>
    </row>
    <row r="36" spans="1:17">
      <c r="A36" s="98" t="str">
        <f>IF(LEFT(BalCom[[#This Row],[Code]],3)="NBR","NBR","CHE")</f>
        <v>CHE</v>
      </c>
      <c r="C36" s="11" t="s">
        <v>629</v>
      </c>
      <c r="D36" s="11" t="s">
        <v>645</v>
      </c>
      <c r="E36" s="11" t="s">
        <v>634</v>
      </c>
      <c r="F36" s="91" t="s">
        <v>303</v>
      </c>
      <c r="G36" s="99">
        <v>0.15</v>
      </c>
      <c r="H36" s="12">
        <v>5.4945000000000004</v>
      </c>
      <c r="I36" s="12">
        <v>4210.6765999999998</v>
      </c>
      <c r="K36" s="12">
        <f>SUMIFS(H:H,C:C,BalCom[[#This Row],[Name]],D:D,BalCom[[#This Row],[Master name]])</f>
        <v>2201.4630000000002</v>
      </c>
      <c r="L36" s="12">
        <f>IFERROR(BalCom[[#This Row],[Balance (Kg)]]*BalCom[[#This Row],[Dry Kg]]/BalCom[[#This Row],[Total Dry Kg]],0)</f>
        <v>10.509176206322794</v>
      </c>
      <c r="M36" s="12">
        <f>IF(D36="","",BalCom[[#This Row],[Bal. Kg Dry]]/BalCom[[#This Row],[TSC]])</f>
        <v>70.061174708818626</v>
      </c>
      <c r="N36" s="97" t="str">
        <f>IF(_xlfn.XLOOKUP(BalCom[[#This Row],[Code]],Info!B:B,Info!D:D,0)=0,BalCom[[#This Row],[Code]],(_xlfn.XLOOKUP(BalCom[[#This Row],[Code]],Info!B:B,Info!D:D,0)))</f>
        <v>CH227</v>
      </c>
      <c r="O36" s="12">
        <f>IF(BalCom[[#This Row],[New Code]]="SFG-Water",0,_xlfn.XLOOKUP(BalCom[[#This Row],[New Code]],Used_before_Trf!A:A,Used_before_Trf!U:U,""))</f>
        <v>14.054039924978982</v>
      </c>
      <c r="P36" s="12">
        <f>IF(D36="","",ROUND((BalCom[[#This Row],[Price]]*BalCom[[#This Row],[Bal. Kg Wet]]),2))</f>
        <v>984.64</v>
      </c>
      <c r="Q36" s="443" t="str">
        <f>IF(BalCom[[#This Row],[Master name]]="","",IF(N36="SFG-Water","",IF(AND(N36&lt;&gt;0,P36&lt;&gt;0),"Ok","Error")))</f>
        <v>Ok</v>
      </c>
    </row>
    <row r="37" spans="1:17">
      <c r="A37" s="98" t="str">
        <f>IF(LEFT(BalCom[[#This Row],[Code]],3)="NBR","NBR","CHE")</f>
        <v>CHE</v>
      </c>
      <c r="C37" s="11" t="s">
        <v>629</v>
      </c>
      <c r="D37" s="11" t="s">
        <v>645</v>
      </c>
      <c r="E37" s="11" t="s">
        <v>635</v>
      </c>
      <c r="F37" s="91" t="s">
        <v>348</v>
      </c>
      <c r="G37" s="99">
        <v>0.6</v>
      </c>
      <c r="H37" s="12">
        <v>10.989000000000001</v>
      </c>
      <c r="I37" s="12">
        <v>4210.6765999999998</v>
      </c>
      <c r="K37" s="12">
        <f>SUMIFS(H:H,C:C,BalCom[[#This Row],[Name]],D:D,BalCom[[#This Row],[Master name]])</f>
        <v>2201.4630000000002</v>
      </c>
      <c r="L37" s="12">
        <f>IFERROR(BalCom[[#This Row],[Balance (Kg)]]*BalCom[[#This Row],[Dry Kg]]/BalCom[[#This Row],[Total Dry Kg]],0)</f>
        <v>21.018352412645587</v>
      </c>
      <c r="M37" s="12">
        <f>IF(D37="","",BalCom[[#This Row],[Bal. Kg Dry]]/BalCom[[#This Row],[TSC]])</f>
        <v>35.030587354409313</v>
      </c>
      <c r="N37" s="97" t="str">
        <f>IF(_xlfn.XLOOKUP(BalCom[[#This Row],[Code]],Info!B:B,Info!D:D,0)=0,BalCom[[#This Row],[Code]],(_xlfn.XLOOKUP(BalCom[[#This Row],[Code]],Info!B:B,Info!D:D,0)))</f>
        <v>CH93</v>
      </c>
      <c r="O37" s="12">
        <f>IF(BalCom[[#This Row],[New Code]]="SFG-Water",0,_xlfn.XLOOKUP(BalCom[[#This Row],[New Code]],Used_before_Trf!A:A,Used_before_Trf!U:U,""))</f>
        <v>69.839849490925189</v>
      </c>
      <c r="P37" s="12">
        <f>IF(D37="","",ROUND((BalCom[[#This Row],[Price]]*BalCom[[#This Row],[Bal. Kg Wet]]),2))</f>
        <v>2446.5300000000002</v>
      </c>
      <c r="Q37" s="443" t="str">
        <f>IF(BalCom[[#This Row],[Master name]]="","",IF(N37="SFG-Water","",IF(AND(N37&lt;&gt;0,P37&lt;&gt;0),"Ok","Error")))</f>
        <v>Ok</v>
      </c>
    </row>
    <row r="38" spans="1:17">
      <c r="A38" s="98" t="str">
        <f>IF(LEFT(BalCom[[#This Row],[Code]],3)="NBR","NBR","CHE")</f>
        <v>CHE</v>
      </c>
      <c r="C38" s="11" t="s">
        <v>629</v>
      </c>
      <c r="D38" s="11" t="s">
        <v>645</v>
      </c>
      <c r="E38" s="11" t="s">
        <v>636</v>
      </c>
      <c r="F38" s="91" t="s">
        <v>346</v>
      </c>
      <c r="G38" s="99">
        <v>0.6</v>
      </c>
      <c r="H38" s="12">
        <v>18.315000000000001</v>
      </c>
      <c r="I38" s="12">
        <v>4210.6765999999998</v>
      </c>
      <c r="K38" s="12">
        <f>SUMIFS(H:H,C:C,BalCom[[#This Row],[Name]],D:D,BalCom[[#This Row],[Master name]])</f>
        <v>2201.4630000000002</v>
      </c>
      <c r="L38" s="12">
        <f>IFERROR(BalCom[[#This Row],[Balance (Kg)]]*BalCom[[#This Row],[Dry Kg]]/BalCom[[#This Row],[Total Dry Kg]],0)</f>
        <v>35.030587354409313</v>
      </c>
      <c r="M38" s="12">
        <f>IF(D38="","",BalCom[[#This Row],[Bal. Kg Dry]]/BalCom[[#This Row],[TSC]])</f>
        <v>58.38431225734886</v>
      </c>
      <c r="N38" s="97" t="str">
        <f>IF(_xlfn.XLOOKUP(BalCom[[#This Row],[Code]],Info!B:B,Info!D:D,0)=0,BalCom[[#This Row],[Code]],(_xlfn.XLOOKUP(BalCom[[#This Row],[Code]],Info!B:B,Info!D:D,0)))</f>
        <v>CH92</v>
      </c>
      <c r="O38" s="12">
        <f>IF(BalCom[[#This Row],[New Code]]="SFG-Water",0,_xlfn.XLOOKUP(BalCom[[#This Row],[New Code]],Used_before_Trf!A:A,Used_before_Trf!U:U,""))</f>
        <v>28.016027710254928</v>
      </c>
      <c r="P38" s="12">
        <f>IF(D38="","",ROUND((BalCom[[#This Row],[Price]]*BalCom[[#This Row],[Bal. Kg Wet]]),2))</f>
        <v>1635.7</v>
      </c>
      <c r="Q38" s="443" t="str">
        <f>IF(BalCom[[#This Row],[Master name]]="","",IF(N38="SFG-Water","",IF(AND(N38&lt;&gt;0,P38&lt;&gt;0),"Ok","Error")))</f>
        <v>Ok</v>
      </c>
    </row>
    <row r="39" spans="1:17">
      <c r="A39" s="98" t="str">
        <f>IF(LEFT(BalCom[[#This Row],[Code]],3)="NBR","NBR","CHE")</f>
        <v>CHE</v>
      </c>
      <c r="C39" s="11" t="s">
        <v>629</v>
      </c>
      <c r="D39" s="11" t="s">
        <v>645</v>
      </c>
      <c r="E39" s="11" t="s">
        <v>637</v>
      </c>
      <c r="F39" s="91" t="s">
        <v>344</v>
      </c>
      <c r="G39" s="99">
        <v>0.5</v>
      </c>
      <c r="H39" s="12">
        <v>10.989000000000001</v>
      </c>
      <c r="I39" s="12">
        <v>4210.6765999999998</v>
      </c>
      <c r="K39" s="12">
        <f>SUMIFS(H:H,C:C,BalCom[[#This Row],[Name]],D:D,BalCom[[#This Row],[Master name]])</f>
        <v>2201.4630000000002</v>
      </c>
      <c r="L39" s="12">
        <f>IFERROR(BalCom[[#This Row],[Balance (Kg)]]*BalCom[[#This Row],[Dry Kg]]/BalCom[[#This Row],[Total Dry Kg]],0)</f>
        <v>21.018352412645587</v>
      </c>
      <c r="M39" s="12">
        <f>IF(D39="","",BalCom[[#This Row],[Bal. Kg Dry]]/BalCom[[#This Row],[TSC]])</f>
        <v>42.036704825291174</v>
      </c>
      <c r="N39" s="97" t="str">
        <f>IF(_xlfn.XLOOKUP(BalCom[[#This Row],[Code]],Info!B:B,Info!D:D,0)=0,BalCom[[#This Row],[Code]],(_xlfn.XLOOKUP(BalCom[[#This Row],[Code]],Info!B:B,Info!D:D,0)))</f>
        <v>CH91</v>
      </c>
      <c r="O39" s="12">
        <f>IF(BalCom[[#This Row],[New Code]]="SFG-Water",0,_xlfn.XLOOKUP(BalCom[[#This Row],[New Code]],Used_before_Trf!A:A,Used_before_Trf!U:U,""))</f>
        <v>50.317319152837626</v>
      </c>
      <c r="P39" s="12">
        <f>IF(D39="","",ROUND((BalCom[[#This Row],[Price]]*BalCom[[#This Row],[Bal. Kg Wet]]),2))</f>
        <v>2115.17</v>
      </c>
      <c r="Q39" s="443" t="str">
        <f>IF(BalCom[[#This Row],[Master name]]="","",IF(N39="SFG-Water","",IF(AND(N39&lt;&gt;0,P39&lt;&gt;0),"Ok","Error")))</f>
        <v>Ok</v>
      </c>
    </row>
    <row r="40" spans="1:17">
      <c r="A40" s="98" t="str">
        <f>IF(LEFT(BalCom[[#This Row],[Code]],3)="NBR","NBR","CHE")</f>
        <v>CHE</v>
      </c>
      <c r="C40" s="11" t="s">
        <v>629</v>
      </c>
      <c r="D40" s="11" t="s">
        <v>645</v>
      </c>
      <c r="E40" s="11" t="s">
        <v>644</v>
      </c>
      <c r="F40" s="91" t="s">
        <v>279</v>
      </c>
      <c r="G40" s="99">
        <v>0.65</v>
      </c>
      <c r="H40" s="12">
        <v>274.72500000000002</v>
      </c>
      <c r="I40" s="12">
        <v>4210.6765999999998</v>
      </c>
      <c r="K40" s="12">
        <f>SUMIFS(H:H,C:C,BalCom[[#This Row],[Name]],D:D,BalCom[[#This Row],[Master name]])</f>
        <v>2201.4630000000002</v>
      </c>
      <c r="L40" s="12">
        <f>IFERROR(BalCom[[#This Row],[Balance (Kg)]]*BalCom[[#This Row],[Dry Kg]]/BalCom[[#This Row],[Total Dry Kg]],0)</f>
        <v>525.45881031613965</v>
      </c>
      <c r="M40" s="12">
        <f>IF(D40="","",BalCom[[#This Row],[Bal. Kg Dry]]/BalCom[[#This Row],[TSC]])</f>
        <v>808.39816971713788</v>
      </c>
      <c r="N40" s="97" t="str">
        <f>IF(_xlfn.XLOOKUP(BalCom[[#This Row],[Code]],Info!B:B,Info!D:D,0)=0,BalCom[[#This Row],[Code]],(_xlfn.XLOOKUP(BalCom[[#This Row],[Code]],Info!B:B,Info!D:D,0)))</f>
        <v>CH215</v>
      </c>
      <c r="O40" s="12">
        <f>IF(BalCom[[#This Row],[New Code]]="SFG-Water",0,_xlfn.XLOOKUP(BalCom[[#This Row],[New Code]],Used_before_Trf!A:A,Used_before_Trf!U:U,""))</f>
        <v>20.738312000000001</v>
      </c>
      <c r="P40" s="12">
        <f>IF(D40="","",ROUND((BalCom[[#This Row],[Price]]*BalCom[[#This Row],[Bal. Kg Wet]]),2))</f>
        <v>16764.810000000001</v>
      </c>
      <c r="Q40" s="443" t="str">
        <f>IF(BalCom[[#This Row],[Master name]]="","",IF(N40="SFG-Water","",IF(AND(N40&lt;&gt;0,P40&lt;&gt;0),"Ok","Error")))</f>
        <v>Ok</v>
      </c>
    </row>
    <row r="41" spans="1:17">
      <c r="A41" s="98" t="str">
        <f>IF(LEFT(BalCom[[#This Row],[Code]],3)="NBR","NBR","CHE")</f>
        <v>CHE</v>
      </c>
      <c r="C41" s="11" t="s">
        <v>629</v>
      </c>
      <c r="D41" s="11" t="s">
        <v>645</v>
      </c>
      <c r="E41" s="11" t="s">
        <v>640</v>
      </c>
      <c r="F41" s="546" t="s">
        <v>211</v>
      </c>
      <c r="G41" s="99">
        <v>0.5</v>
      </c>
      <c r="H41" s="12">
        <v>18.315000000000001</v>
      </c>
      <c r="I41" s="12">
        <v>4210.6765999999998</v>
      </c>
      <c r="K41" s="12">
        <f>SUMIFS(H:H,C:C,BalCom[[#This Row],[Name]],D:D,BalCom[[#This Row],[Master name]])</f>
        <v>2201.4630000000002</v>
      </c>
      <c r="L41" s="12">
        <f>IFERROR(BalCom[[#This Row],[Balance (Kg)]]*BalCom[[#This Row],[Dry Kg]]/BalCom[[#This Row],[Total Dry Kg]],0)</f>
        <v>35.030587354409313</v>
      </c>
      <c r="M41" s="12">
        <f>IF(D41="","",BalCom[[#This Row],[Bal. Kg Dry]]/BalCom[[#This Row],[TSC]])</f>
        <v>70.061174708818626</v>
      </c>
      <c r="N41" s="97" t="str">
        <f>IF(_xlfn.XLOOKUP(BalCom[[#This Row],[Code]],Info!B:B,Info!D:D,0)=0,BalCom[[#This Row],[Code]],(_xlfn.XLOOKUP(BalCom[[#This Row],[Code]],Info!B:B,Info!D:D,0)))</f>
        <v>CH140</v>
      </c>
      <c r="O41" s="12">
        <f>IF(BalCom[[#This Row],[New Code]]="SFG-Water",0,_xlfn.XLOOKUP(BalCom[[#This Row],[New Code]],Used_before_Trf!A:A,Used_before_Trf!U:U,""))</f>
        <v>57.918555023923446</v>
      </c>
      <c r="P41" s="12">
        <f>IF(D41="","",ROUND((BalCom[[#This Row],[Price]]*BalCom[[#This Row],[Bal. Kg Wet]]),2))</f>
        <v>4057.84</v>
      </c>
      <c r="Q41" s="443" t="str">
        <f>IF(BalCom[[#This Row],[Master name]]="","",IF(N41="SFG-Water","",IF(AND(N41&lt;&gt;0,P41&lt;&gt;0),"Ok","Error")))</f>
        <v>Ok</v>
      </c>
    </row>
    <row r="42" spans="1:17">
      <c r="A42" s="98" t="str">
        <f>IF(LEFT(BalCom[[#This Row],[Code]],3)="NBR","NBR","CHE")</f>
        <v>NBR</v>
      </c>
      <c r="C42" s="11" t="s">
        <v>629</v>
      </c>
      <c r="D42" s="11" t="s">
        <v>646</v>
      </c>
      <c r="E42" s="11" t="s">
        <v>647</v>
      </c>
      <c r="F42" s="91" t="s">
        <v>508</v>
      </c>
      <c r="G42" s="99">
        <v>0.44069999999999998</v>
      </c>
      <c r="H42" s="12">
        <v>1817.2</v>
      </c>
      <c r="I42" s="12">
        <v>672.51070000000004</v>
      </c>
      <c r="K42" s="12">
        <f>SUMIFS(H:H,C:C,BalCom[[#This Row],[Name]],D:D,BalCom[[#This Row],[Master name]])</f>
        <v>2200.6291999999999</v>
      </c>
      <c r="L42" s="12">
        <f>IFERROR(BalCom[[#This Row],[Balance (Kg)]]*BalCom[[#This Row],[Dry Kg]]/BalCom[[#This Row],[Total Dry Kg]],0)</f>
        <v>555.33501238645761</v>
      </c>
      <c r="M42" s="12">
        <f>IF(D42="","",BalCom[[#This Row],[Bal. Kg Dry]]/BalCom[[#This Row],[TSC]])</f>
        <v>1260.1202913239338</v>
      </c>
      <c r="N42" s="97" t="str">
        <f>IF(_xlfn.XLOOKUP(BalCom[[#This Row],[Code]],Info!B:B,Info!D:D,0)=0,BalCom[[#This Row],[Code]],(_xlfn.XLOOKUP(BalCom[[#This Row],[Code]],Info!B:B,Info!D:D,0)))</f>
        <v>NBR30</v>
      </c>
      <c r="O42" s="12">
        <f>IF(BalCom[[#This Row],[New Code]]="SFG-Water",0,_xlfn.XLOOKUP(BalCom[[#This Row],[New Code]],Used_before_Trf!A:A,Used_before_Trf!U:U,""))</f>
        <v>38.308109507736226</v>
      </c>
      <c r="P42" s="12">
        <f>IF(D42="","",ROUND((BalCom[[#This Row],[Price]]*BalCom[[#This Row],[Bal. Kg Wet]]),2))</f>
        <v>48272.83</v>
      </c>
      <c r="Q42" s="443" t="str">
        <f>IF(BalCom[[#This Row],[Master name]]="","",IF(N42="SFG-Water","",IF(AND(N42&lt;&gt;0,P42&lt;&gt;0),"Ok","Error")))</f>
        <v>Ok</v>
      </c>
    </row>
    <row r="43" spans="1:17">
      <c r="A43" s="98" t="str">
        <f>IF(LEFT(BalCom[[#This Row],[Code]],3)="NBR","NBR","CHE")</f>
        <v>CHE</v>
      </c>
      <c r="C43" s="11" t="s">
        <v>629</v>
      </c>
      <c r="D43" s="11" t="s">
        <v>646</v>
      </c>
      <c r="E43" s="11" t="s">
        <v>632</v>
      </c>
      <c r="F43" s="546" t="s">
        <v>277</v>
      </c>
      <c r="G43" s="99">
        <v>0.03</v>
      </c>
      <c r="H43" s="12">
        <v>1.8691083179999997</v>
      </c>
      <c r="I43" s="12">
        <v>672.51070000000004</v>
      </c>
      <c r="K43" s="12">
        <f>SUMIFS(H:H,C:C,BalCom[[#This Row],[Name]],D:D,BalCom[[#This Row],[Master name]])</f>
        <v>2200.6291999999999</v>
      </c>
      <c r="L43" s="12">
        <f>IFERROR(BalCom[[#This Row],[Balance (Kg)]]*BalCom[[#This Row],[Dry Kg]]/BalCom[[#This Row],[Total Dry Kg]],0)</f>
        <v>0.57119815701527654</v>
      </c>
      <c r="M43" s="12">
        <f>IF(D43="","",BalCom[[#This Row],[Bal. Kg Dry]]/BalCom[[#This Row],[TSC]])</f>
        <v>19.039938567175884</v>
      </c>
      <c r="N43" s="97" t="str">
        <f>IF(_xlfn.XLOOKUP(BalCom[[#This Row],[Code]],Info!B:B,Info!D:D,0)=0,BalCom[[#This Row],[Code]],(_xlfn.XLOOKUP(BalCom[[#This Row],[Code]],Info!B:B,Info!D:D,0)))</f>
        <v>CH212</v>
      </c>
      <c r="O43" s="12">
        <f>IF(BalCom[[#This Row],[New Code]]="SFG-Water",0,_xlfn.XLOOKUP(BalCom[[#This Row],[New Code]],Used_before_Trf!A:A,Used_before_Trf!U:U,""))</f>
        <v>32.035420833333333</v>
      </c>
      <c r="P43" s="12">
        <f>IF(D43="","",ROUND((BalCom[[#This Row],[Price]]*BalCom[[#This Row],[Bal. Kg Wet]]),2))</f>
        <v>609.95000000000005</v>
      </c>
      <c r="Q43" s="443" t="str">
        <f>IF(BalCom[[#This Row],[Master name]]="","",IF(N43="SFG-Water","",IF(AND(N43&lt;&gt;0,P43&lt;&gt;0),"Ok","Error")))</f>
        <v>Ok</v>
      </c>
    </row>
    <row r="44" spans="1:17">
      <c r="A44" s="98" t="str">
        <f>IF(LEFT(BalCom[[#This Row],[Code]],3)="NBR","NBR","CHE")</f>
        <v>CHE</v>
      </c>
      <c r="C44" s="11" t="s">
        <v>629</v>
      </c>
      <c r="D44" s="11" t="s">
        <v>646</v>
      </c>
      <c r="E44" s="11" t="s">
        <v>633</v>
      </c>
      <c r="F44" s="91" t="s">
        <v>497</v>
      </c>
      <c r="G44" s="99">
        <v>0.03</v>
      </c>
      <c r="H44" s="12">
        <v>25.388891681999997</v>
      </c>
      <c r="I44" s="12">
        <v>672.51070000000004</v>
      </c>
      <c r="K44" s="12">
        <f>SUMIFS(H:H,C:C,BalCom[[#This Row],[Name]],D:D,BalCom[[#This Row],[Master name]])</f>
        <v>2200.6291999999999</v>
      </c>
      <c r="L44" s="12">
        <f>IFERROR(BalCom[[#This Row],[Balance (Kg)]]*BalCom[[#This Row],[Dry Kg]]/BalCom[[#This Row],[Total Dry Kg]],0)</f>
        <v>7.7588270287815861</v>
      </c>
      <c r="M44" s="12">
        <f>IF(D44="","",BalCom[[#This Row],[Bal. Kg Dry]]/BalCom[[#This Row],[TSC]])</f>
        <v>258.62756762605289</v>
      </c>
      <c r="N44" s="97" t="str">
        <f>IF(_xlfn.XLOOKUP(BalCom[[#This Row],[Code]],Info!B:B,Info!D:D,0)=0,BalCom[[#This Row],[Code]],(_xlfn.XLOOKUP(BalCom[[#This Row],[Code]],Info!B:B,Info!D:D,0)))</f>
        <v>SFG-Water</v>
      </c>
      <c r="O44" s="12">
        <f>IF(BalCom[[#This Row],[New Code]]="SFG-Water",0,_xlfn.XLOOKUP(BalCom[[#This Row],[New Code]],Used_before_Trf!A:A,Used_before_Trf!U:U,""))</f>
        <v>0</v>
      </c>
      <c r="P44" s="12">
        <f>IF(D44="","",ROUND((BalCom[[#This Row],[Price]]*BalCom[[#This Row],[Bal. Kg Wet]]),2))</f>
        <v>0</v>
      </c>
      <c r="Q44" s="443" t="str">
        <f>IF(BalCom[[#This Row],[Master name]]="","",IF(N44="SFG-Water","",IF(AND(N44&lt;&gt;0,P44&lt;&gt;0),"Ok","Error")))</f>
        <v/>
      </c>
    </row>
    <row r="45" spans="1:17">
      <c r="A45" s="98" t="str">
        <f>IF(LEFT(BalCom[[#This Row],[Code]],3)="NBR","NBR","CHE")</f>
        <v>CHE</v>
      </c>
      <c r="C45" s="11" t="s">
        <v>629</v>
      </c>
      <c r="D45" s="11" t="s">
        <v>646</v>
      </c>
      <c r="E45" s="11" t="s">
        <v>634</v>
      </c>
      <c r="F45" s="91" t="s">
        <v>303</v>
      </c>
      <c r="G45" s="99">
        <v>0.15</v>
      </c>
      <c r="H45" s="12">
        <v>3.6343999999999999</v>
      </c>
      <c r="I45" s="12">
        <v>672.51070000000004</v>
      </c>
      <c r="K45" s="12">
        <f>SUMIFS(H:H,C:C,BalCom[[#This Row],[Name]],D:D,BalCom[[#This Row],[Master name]])</f>
        <v>2200.6291999999999</v>
      </c>
      <c r="L45" s="12">
        <f>IFERROR(BalCom[[#This Row],[Balance (Kg)]]*BalCom[[#This Row],[Dry Kg]]/BalCom[[#This Row],[Total Dry Kg]],0)</f>
        <v>1.1106700247729151</v>
      </c>
      <c r="M45" s="12">
        <f>IF(D45="","",BalCom[[#This Row],[Bal. Kg Dry]]/BalCom[[#This Row],[TSC]])</f>
        <v>7.404466831819434</v>
      </c>
      <c r="N45" s="97" t="str">
        <f>IF(_xlfn.XLOOKUP(BalCom[[#This Row],[Code]],Info!B:B,Info!D:D,0)=0,BalCom[[#This Row],[Code]],(_xlfn.XLOOKUP(BalCom[[#This Row],[Code]],Info!B:B,Info!D:D,0)))</f>
        <v>CH227</v>
      </c>
      <c r="O45" s="12">
        <f>IF(BalCom[[#This Row],[New Code]]="SFG-Water",0,_xlfn.XLOOKUP(BalCom[[#This Row],[New Code]],Used_before_Trf!A:A,Used_before_Trf!U:U,""))</f>
        <v>14.054039924978982</v>
      </c>
      <c r="P45" s="12">
        <f>IF(D45="","",ROUND((BalCom[[#This Row],[Price]]*BalCom[[#This Row],[Bal. Kg Wet]]),2))</f>
        <v>104.06</v>
      </c>
      <c r="Q45" s="443" t="str">
        <f>IF(BalCom[[#This Row],[Master name]]="","",IF(N45="SFG-Water","",IF(AND(N45&lt;&gt;0,P45&lt;&gt;0),"Ok","Error")))</f>
        <v>Ok</v>
      </c>
    </row>
    <row r="46" spans="1:17">
      <c r="A46" s="98" t="str">
        <f>IF(LEFT(BalCom[[#This Row],[Code]],3)="NBR","NBR","CHE")</f>
        <v>CHE</v>
      </c>
      <c r="C46" s="11" t="s">
        <v>629</v>
      </c>
      <c r="D46" s="11" t="s">
        <v>646</v>
      </c>
      <c r="E46" s="11" t="s">
        <v>635</v>
      </c>
      <c r="F46" s="91" t="s">
        <v>348</v>
      </c>
      <c r="G46" s="99">
        <v>0.6</v>
      </c>
      <c r="H46" s="12">
        <v>14.537599999999999</v>
      </c>
      <c r="I46" s="12">
        <v>672.51070000000004</v>
      </c>
      <c r="K46" s="12">
        <f>SUMIFS(H:H,C:C,BalCom[[#This Row],[Name]],D:D,BalCom[[#This Row],[Master name]])</f>
        <v>2200.6291999999999</v>
      </c>
      <c r="L46" s="12">
        <f>IFERROR(BalCom[[#This Row],[Balance (Kg)]]*BalCom[[#This Row],[Dry Kg]]/BalCom[[#This Row],[Total Dry Kg]],0)</f>
        <v>4.4426800990916604</v>
      </c>
      <c r="M46" s="12">
        <f>IF(D46="","",BalCom[[#This Row],[Bal. Kg Dry]]/BalCom[[#This Row],[TSC]])</f>
        <v>7.404466831819434</v>
      </c>
      <c r="N46" s="97" t="str">
        <f>IF(_xlfn.XLOOKUP(BalCom[[#This Row],[Code]],Info!B:B,Info!D:D,0)=0,BalCom[[#This Row],[Code]],(_xlfn.XLOOKUP(BalCom[[#This Row],[Code]],Info!B:B,Info!D:D,0)))</f>
        <v>CH93</v>
      </c>
      <c r="O46" s="12">
        <f>IF(BalCom[[#This Row],[New Code]]="SFG-Water",0,_xlfn.XLOOKUP(BalCom[[#This Row],[New Code]],Used_before_Trf!A:A,Used_before_Trf!U:U,""))</f>
        <v>69.839849490925189</v>
      </c>
      <c r="P46" s="12">
        <f>IF(D46="","",ROUND((BalCom[[#This Row],[Price]]*BalCom[[#This Row],[Bal. Kg Wet]]),2))</f>
        <v>517.13</v>
      </c>
      <c r="Q46" s="443" t="str">
        <f>IF(BalCom[[#This Row],[Master name]]="","",IF(N46="SFG-Water","",IF(AND(N46&lt;&gt;0,P46&lt;&gt;0),"Ok","Error")))</f>
        <v>Ok</v>
      </c>
    </row>
    <row r="47" spans="1:17">
      <c r="A47" s="98" t="str">
        <f>IF(LEFT(BalCom[[#This Row],[Code]],3)="NBR","NBR","CHE")</f>
        <v>CHE</v>
      </c>
      <c r="C47" s="11" t="s">
        <v>629</v>
      </c>
      <c r="D47" s="11" t="s">
        <v>646</v>
      </c>
      <c r="E47" s="11" t="s">
        <v>636</v>
      </c>
      <c r="F47" s="91" t="s">
        <v>346</v>
      </c>
      <c r="G47" s="99">
        <v>0.6</v>
      </c>
      <c r="H47" s="12">
        <v>18.172000000000001</v>
      </c>
      <c r="I47" s="12">
        <v>672.51070000000004</v>
      </c>
      <c r="K47" s="12">
        <f>SUMIFS(H:H,C:C,BalCom[[#This Row],[Name]],D:D,BalCom[[#This Row],[Master name]])</f>
        <v>2200.6291999999999</v>
      </c>
      <c r="L47" s="12">
        <f>IFERROR(BalCom[[#This Row],[Balance (Kg)]]*BalCom[[#This Row],[Dry Kg]]/BalCom[[#This Row],[Total Dry Kg]],0)</f>
        <v>5.5533501238645755</v>
      </c>
      <c r="M47" s="12">
        <f>IF(D47="","",BalCom[[#This Row],[Bal. Kg Dry]]/BalCom[[#This Row],[TSC]])</f>
        <v>9.2555835397742925</v>
      </c>
      <c r="N47" s="97" t="str">
        <f>IF(_xlfn.XLOOKUP(BalCom[[#This Row],[Code]],Info!B:B,Info!D:D,0)=0,BalCom[[#This Row],[Code]],(_xlfn.XLOOKUP(BalCom[[#This Row],[Code]],Info!B:B,Info!D:D,0)))</f>
        <v>CH92</v>
      </c>
      <c r="O47" s="12">
        <f>IF(BalCom[[#This Row],[New Code]]="SFG-Water",0,_xlfn.XLOOKUP(BalCom[[#This Row],[New Code]],Used_before_Trf!A:A,Used_before_Trf!U:U,""))</f>
        <v>28.016027710254928</v>
      </c>
      <c r="P47" s="12">
        <f>IF(D47="","",ROUND((BalCom[[#This Row],[Price]]*BalCom[[#This Row],[Bal. Kg Wet]]),2))</f>
        <v>259.3</v>
      </c>
      <c r="Q47" s="443" t="str">
        <f>IF(BalCom[[#This Row],[Master name]]="","",IF(N47="SFG-Water","",IF(AND(N47&lt;&gt;0,P47&lt;&gt;0),"Ok","Error")))</f>
        <v>Ok</v>
      </c>
    </row>
    <row r="48" spans="1:17">
      <c r="A48" s="98" t="str">
        <f>IF(LEFT(BalCom[[#This Row],[Code]],3)="NBR","NBR","CHE")</f>
        <v>CHE</v>
      </c>
      <c r="C48" s="11" t="s">
        <v>629</v>
      </c>
      <c r="D48" s="11" t="s">
        <v>646</v>
      </c>
      <c r="E48" s="11" t="s">
        <v>637</v>
      </c>
      <c r="F48" s="91" t="s">
        <v>344</v>
      </c>
      <c r="G48" s="99">
        <v>0.5</v>
      </c>
      <c r="H48" s="12">
        <v>10.9032</v>
      </c>
      <c r="I48" s="12">
        <v>672.51070000000004</v>
      </c>
      <c r="K48" s="12">
        <f>SUMIFS(H:H,C:C,BalCom[[#This Row],[Name]],D:D,BalCom[[#This Row],[Master name]])</f>
        <v>2200.6291999999999</v>
      </c>
      <c r="L48" s="12">
        <f>IFERROR(BalCom[[#This Row],[Balance (Kg)]]*BalCom[[#This Row],[Dry Kg]]/BalCom[[#This Row],[Total Dry Kg]],0)</f>
        <v>3.3320100743187453</v>
      </c>
      <c r="M48" s="12">
        <f>IF(D48="","",BalCom[[#This Row],[Bal. Kg Dry]]/BalCom[[#This Row],[TSC]])</f>
        <v>6.6640201486374906</v>
      </c>
      <c r="N48" s="97" t="str">
        <f>IF(_xlfn.XLOOKUP(BalCom[[#This Row],[Code]],Info!B:B,Info!D:D,0)=0,BalCom[[#This Row],[Code]],(_xlfn.XLOOKUP(BalCom[[#This Row],[Code]],Info!B:B,Info!D:D,0)))</f>
        <v>CH91</v>
      </c>
      <c r="O48" s="12">
        <f>IF(BalCom[[#This Row],[New Code]]="SFG-Water",0,_xlfn.XLOOKUP(BalCom[[#This Row],[New Code]],Used_before_Trf!A:A,Used_before_Trf!U:U,""))</f>
        <v>50.317319152837626</v>
      </c>
      <c r="P48" s="12">
        <f>IF(D48="","",ROUND((BalCom[[#This Row],[Price]]*BalCom[[#This Row],[Bal. Kg Wet]]),2))</f>
        <v>335.32</v>
      </c>
      <c r="Q48" s="443" t="str">
        <f>IF(BalCom[[#This Row],[Master name]]="","",IF(N48="SFG-Water","",IF(AND(N48&lt;&gt;0,P48&lt;&gt;0),"Ok","Error")))</f>
        <v>Ok</v>
      </c>
    </row>
    <row r="49" spans="1:17">
      <c r="A49" s="98" t="str">
        <f>IF(LEFT(BalCom[[#This Row],[Code]],3)="NBR","NBR","CHE")</f>
        <v>CHE</v>
      </c>
      <c r="C49" s="11" t="s">
        <v>629</v>
      </c>
      <c r="D49" s="11" t="s">
        <v>646</v>
      </c>
      <c r="E49" s="11" t="s">
        <v>644</v>
      </c>
      <c r="F49" s="91" t="s">
        <v>279</v>
      </c>
      <c r="G49" s="99">
        <v>0.65</v>
      </c>
      <c r="H49" s="12">
        <v>272.58</v>
      </c>
      <c r="I49" s="12">
        <v>672.51070000000004</v>
      </c>
      <c r="K49" s="12">
        <f>SUMIFS(H:H,C:C,BalCom[[#This Row],[Name]],D:D,BalCom[[#This Row],[Master name]])</f>
        <v>2200.6291999999999</v>
      </c>
      <c r="L49" s="12">
        <f>IFERROR(BalCom[[#This Row],[Balance (Kg)]]*BalCom[[#This Row],[Dry Kg]]/BalCom[[#This Row],[Total Dry Kg]],0)</f>
        <v>83.300251857968632</v>
      </c>
      <c r="M49" s="12">
        <f>IF(D49="","",BalCom[[#This Row],[Bal. Kg Dry]]/BalCom[[#This Row],[TSC]])</f>
        <v>128.15423362764403</v>
      </c>
      <c r="N49" s="97" t="str">
        <f>IF(_xlfn.XLOOKUP(BalCom[[#This Row],[Code]],Info!B:B,Info!D:D,0)=0,BalCom[[#This Row],[Code]],(_xlfn.XLOOKUP(BalCom[[#This Row],[Code]],Info!B:B,Info!D:D,0)))</f>
        <v>CH215</v>
      </c>
      <c r="O49" s="12">
        <f>IF(BalCom[[#This Row],[New Code]]="SFG-Water",0,_xlfn.XLOOKUP(BalCom[[#This Row],[New Code]],Used_before_Trf!A:A,Used_before_Trf!U:U,""))</f>
        <v>20.738312000000001</v>
      </c>
      <c r="P49" s="12">
        <f>IF(D49="","",ROUND((BalCom[[#This Row],[Price]]*BalCom[[#This Row],[Bal. Kg Wet]]),2))</f>
        <v>2657.7</v>
      </c>
      <c r="Q49" s="443" t="str">
        <f>IF(BalCom[[#This Row],[Master name]]="","",IF(N49="SFG-Water","",IF(AND(N49&lt;&gt;0,P49&lt;&gt;0),"Ok","Error")))</f>
        <v>Ok</v>
      </c>
    </row>
    <row r="50" spans="1:17">
      <c r="A50" s="98" t="str">
        <f>IF(LEFT(BalCom[[#This Row],[Code]],3)="NBR","NBR","CHE")</f>
        <v>CHE</v>
      </c>
      <c r="C50" s="11" t="s">
        <v>629</v>
      </c>
      <c r="D50" s="11" t="s">
        <v>646</v>
      </c>
      <c r="E50" s="11" t="s">
        <v>639</v>
      </c>
      <c r="F50" s="91" t="s">
        <v>295</v>
      </c>
      <c r="G50" s="99">
        <v>0.55000000000000004</v>
      </c>
      <c r="H50" s="12">
        <v>18.172000000000001</v>
      </c>
      <c r="I50" s="12">
        <v>672.51070000000004</v>
      </c>
      <c r="K50" s="12">
        <f>SUMIFS(H:H,C:C,BalCom[[#This Row],[Name]],D:D,BalCom[[#This Row],[Master name]])</f>
        <v>2200.6291999999999</v>
      </c>
      <c r="L50" s="12">
        <f>IFERROR(BalCom[[#This Row],[Balance (Kg)]]*BalCom[[#This Row],[Dry Kg]]/BalCom[[#This Row],[Total Dry Kg]],0)</f>
        <v>5.5533501238645755</v>
      </c>
      <c r="M50" s="12">
        <f>IF(D50="","",BalCom[[#This Row],[Bal. Kg Dry]]/BalCom[[#This Row],[TSC]])</f>
        <v>10.097000225208319</v>
      </c>
      <c r="N50" s="97" t="str">
        <f>IF(_xlfn.XLOOKUP(BalCom[[#This Row],[Code]],Info!B:B,Info!D:D,0)=0,BalCom[[#This Row],[Code]],(_xlfn.XLOOKUP(BalCom[[#This Row],[Code]],Info!B:B,Info!D:D,0)))</f>
        <v>CH222</v>
      </c>
      <c r="O50" s="12">
        <f>IF(BalCom[[#This Row],[New Code]]="SFG-Water",0,_xlfn.XLOOKUP(BalCom[[#This Row],[New Code]],Used_before_Trf!A:A,Used_before_Trf!U:U,""))</f>
        <v>42.341880945075175</v>
      </c>
      <c r="P50" s="12">
        <f>IF(D50="","",ROUND((BalCom[[#This Row],[Price]]*BalCom[[#This Row],[Bal. Kg Wet]]),2))</f>
        <v>427.53</v>
      </c>
      <c r="Q50" s="443" t="str">
        <f>IF(BalCom[[#This Row],[Master name]]="","",IF(N50="SFG-Water","",IF(AND(N50&lt;&gt;0,P50&lt;&gt;0),"Ok","Error")))</f>
        <v>Ok</v>
      </c>
    </row>
    <row r="51" spans="1:17">
      <c r="A51" s="98" t="str">
        <f>IF(LEFT(BalCom[[#This Row],[Code]],3)="NBR","NBR","CHE")</f>
        <v>CHE</v>
      </c>
      <c r="C51" s="11" t="s">
        <v>629</v>
      </c>
      <c r="D51" s="11" t="s">
        <v>646</v>
      </c>
      <c r="E51" s="11" t="s">
        <v>640</v>
      </c>
      <c r="F51" s="546" t="s">
        <v>211</v>
      </c>
      <c r="G51" s="99">
        <v>0.5</v>
      </c>
      <c r="H51" s="12">
        <v>18.172000000000001</v>
      </c>
      <c r="I51" s="12">
        <v>672.51070000000004</v>
      </c>
      <c r="K51" s="12">
        <f>SUMIFS(H:H,C:C,BalCom[[#This Row],[Name]],D:D,BalCom[[#This Row],[Master name]])</f>
        <v>2200.6291999999999</v>
      </c>
      <c r="L51" s="12">
        <f>IFERROR(BalCom[[#This Row],[Balance (Kg)]]*BalCom[[#This Row],[Dry Kg]]/BalCom[[#This Row],[Total Dry Kg]],0)</f>
        <v>5.5533501238645755</v>
      </c>
      <c r="M51" s="12">
        <f>IF(D51="","",BalCom[[#This Row],[Bal. Kg Dry]]/BalCom[[#This Row],[TSC]])</f>
        <v>11.106700247729151</v>
      </c>
      <c r="N51" s="97" t="str">
        <f>IF(_xlfn.XLOOKUP(BalCom[[#This Row],[Code]],Info!B:B,Info!D:D,0)=0,BalCom[[#This Row],[Code]],(_xlfn.XLOOKUP(BalCom[[#This Row],[Code]],Info!B:B,Info!D:D,0)))</f>
        <v>CH140</v>
      </c>
      <c r="O51" s="12">
        <f>IF(BalCom[[#This Row],[New Code]]="SFG-Water",0,_xlfn.XLOOKUP(BalCom[[#This Row],[New Code]],Used_before_Trf!A:A,Used_before_Trf!U:U,""))</f>
        <v>57.918555023923446</v>
      </c>
      <c r="P51" s="12">
        <f>IF(D51="","",ROUND((BalCom[[#This Row],[Price]]*BalCom[[#This Row],[Bal. Kg Wet]]),2))</f>
        <v>643.28</v>
      </c>
      <c r="Q51" s="443" t="str">
        <f>IF(BalCom[[#This Row],[Master name]]="","",IF(N51="SFG-Water","",IF(AND(N51&lt;&gt;0,P51&lt;&gt;0),"Ok","Error")))</f>
        <v>Ok</v>
      </c>
    </row>
    <row r="52" spans="1:17">
      <c r="A52" s="98" t="str">
        <f>IF(LEFT(BalCom[[#This Row],[Code]],3)="NBR","NBR","CHE")</f>
        <v>CHE</v>
      </c>
      <c r="C52" s="11" t="s">
        <v>629</v>
      </c>
      <c r="D52" s="11" t="s">
        <v>648</v>
      </c>
      <c r="E52" s="11" t="s">
        <v>649</v>
      </c>
      <c r="F52" s="91" t="s">
        <v>277</v>
      </c>
      <c r="G52" s="99">
        <v>0.03</v>
      </c>
      <c r="H52" s="12">
        <v>0.81663183360000002</v>
      </c>
      <c r="I52" s="12">
        <v>903.33220000000006</v>
      </c>
      <c r="K52" s="12">
        <f>SUMIFS(H:H,C:C,BalCom[[#This Row],[Name]],D:D,BalCom[[#This Row],[Master name]])</f>
        <v>1799.16</v>
      </c>
      <c r="L52" s="12">
        <f>IFERROR(BalCom[[#This Row],[Balance (Kg)]]*BalCom[[#This Row],[Dry Kg]]/BalCom[[#This Row],[Total Dry Kg]],0)</f>
        <v>0.41001902600987233</v>
      </c>
      <c r="M52" s="12">
        <f>IF(D52="","",BalCom[[#This Row],[Bal. Kg Dry]]/BalCom[[#This Row],[TSC]])</f>
        <v>13.667300866995745</v>
      </c>
      <c r="N52" s="97" t="str">
        <f>IF(_xlfn.XLOOKUP(BalCom[[#This Row],[Code]],Info!B:B,Info!D:D,0)=0,BalCom[[#This Row],[Code]],(_xlfn.XLOOKUP(BalCom[[#This Row],[Code]],Info!B:B,Info!D:D,0)))</f>
        <v>CH212</v>
      </c>
      <c r="O52" s="12">
        <f>IF(BalCom[[#This Row],[New Code]]="SFG-Water",0,_xlfn.XLOOKUP(BalCom[[#This Row],[New Code]],Used_before_Trf!A:A,Used_before_Trf!U:U,""))</f>
        <v>32.035420833333333</v>
      </c>
      <c r="P52" s="12">
        <f>IF(D52="","",ROUND((BalCom[[#This Row],[Price]]*BalCom[[#This Row],[Bal. Kg Wet]]),2))</f>
        <v>437.84</v>
      </c>
      <c r="Q52" s="443" t="str">
        <f>IF(BalCom[[#This Row],[Master name]]="","",IF(N52="SFG-Water","",IF(AND(N52&lt;&gt;0,P52&lt;&gt;0),"Ok","Error")))</f>
        <v>Ok</v>
      </c>
    </row>
    <row r="53" spans="1:17">
      <c r="A53" s="98" t="str">
        <f>IF(LEFT(BalCom[[#This Row],[Code]],3)="NBR","NBR","CHE")</f>
        <v>CHE</v>
      </c>
      <c r="C53" s="11" t="s">
        <v>629</v>
      </c>
      <c r="D53" s="11" t="s">
        <v>648</v>
      </c>
      <c r="E53" s="11" t="s">
        <v>633</v>
      </c>
      <c r="F53" s="91" t="s">
        <v>497</v>
      </c>
      <c r="G53" s="99">
        <v>0.03</v>
      </c>
      <c r="H53" s="12">
        <v>23.682568166399999</v>
      </c>
      <c r="I53" s="12">
        <v>903.33220000000006</v>
      </c>
      <c r="K53" s="12">
        <f>SUMIFS(H:H,C:C,BalCom[[#This Row],[Name]],D:D,BalCom[[#This Row],[Master name]])</f>
        <v>1799.16</v>
      </c>
      <c r="L53" s="12">
        <f>IFERROR(BalCom[[#This Row],[Balance (Kg)]]*BalCom[[#This Row],[Dry Kg]]/BalCom[[#This Row],[Total Dry Kg]],0)</f>
        <v>11.890674761224171</v>
      </c>
      <c r="M53" s="12">
        <f>IF(D53="","",BalCom[[#This Row],[Bal. Kg Dry]]/BalCom[[#This Row],[TSC]])</f>
        <v>396.35582537413904</v>
      </c>
      <c r="N53" s="97" t="str">
        <f>IF(_xlfn.XLOOKUP(BalCom[[#This Row],[Code]],Info!B:B,Info!D:D,0)=0,BalCom[[#This Row],[Code]],(_xlfn.XLOOKUP(BalCom[[#This Row],[Code]],Info!B:B,Info!D:D,0)))</f>
        <v>SFG-Water</v>
      </c>
      <c r="O53" s="12">
        <f>IF(BalCom[[#This Row],[New Code]]="SFG-Water",0,_xlfn.XLOOKUP(BalCom[[#This Row],[New Code]],Used_before_Trf!A:A,Used_before_Trf!U:U,""))</f>
        <v>0</v>
      </c>
      <c r="P53" s="12">
        <f>IF(D53="","",ROUND((BalCom[[#This Row],[Price]]*BalCom[[#This Row],[Bal. Kg Wet]]),2))</f>
        <v>0</v>
      </c>
      <c r="Q53" s="443" t="str">
        <f>IF(BalCom[[#This Row],[Master name]]="","",IF(N53="SFG-Water","",IF(AND(N53&lt;&gt;0,P53&lt;&gt;0),"Ok","Error")))</f>
        <v/>
      </c>
    </row>
    <row r="54" spans="1:17">
      <c r="A54" s="98" t="str">
        <f>IF(LEFT(BalCom[[#This Row],[Code]],3)="NBR","NBR","CHE")</f>
        <v>CHE</v>
      </c>
      <c r="C54" s="11" t="s">
        <v>629</v>
      </c>
      <c r="D54" s="11" t="s">
        <v>648</v>
      </c>
      <c r="E54" s="11" t="s">
        <v>634</v>
      </c>
      <c r="F54" s="91" t="s">
        <v>303</v>
      </c>
      <c r="G54" s="99">
        <v>0.15</v>
      </c>
      <c r="H54" s="12">
        <v>3.0623999999999998</v>
      </c>
      <c r="I54" s="12">
        <v>903.33220000000006</v>
      </c>
      <c r="K54" s="12">
        <f>SUMIFS(H:H,C:C,BalCom[[#This Row],[Name]],D:D,BalCom[[#This Row],[Master name]])</f>
        <v>1799.16</v>
      </c>
      <c r="L54" s="12">
        <f>IFERROR(BalCom[[#This Row],[Balance (Kg)]]*BalCom[[#This Row],[Dry Kg]]/BalCom[[#This Row],[Total Dry Kg]],0)</f>
        <v>1.5375867234042553</v>
      </c>
      <c r="M54" s="12">
        <f>IF(D54="","",BalCom[[#This Row],[Bal. Kg Dry]]/BalCom[[#This Row],[TSC]])</f>
        <v>10.25057815602837</v>
      </c>
      <c r="N54" s="97" t="str">
        <f>IF(_xlfn.XLOOKUP(BalCom[[#This Row],[Code]],Info!B:B,Info!D:D,0)=0,BalCom[[#This Row],[Code]],(_xlfn.XLOOKUP(BalCom[[#This Row],[Code]],Info!B:B,Info!D:D,0)))</f>
        <v>CH227</v>
      </c>
      <c r="O54" s="12">
        <f>IF(BalCom[[#This Row],[New Code]]="SFG-Water",0,_xlfn.XLOOKUP(BalCom[[#This Row],[New Code]],Used_before_Trf!A:A,Used_before_Trf!U:U,""))</f>
        <v>14.054039924978982</v>
      </c>
      <c r="P54" s="12">
        <f>IF(D54="","",ROUND((BalCom[[#This Row],[Price]]*BalCom[[#This Row],[Bal. Kg Wet]]),2))</f>
        <v>144.06</v>
      </c>
      <c r="Q54" s="443" t="str">
        <f>IF(BalCom[[#This Row],[Master name]]="","",IF(N54="SFG-Water","",IF(AND(N54&lt;&gt;0,P54&lt;&gt;0),"Ok","Error")))</f>
        <v>Ok</v>
      </c>
    </row>
    <row r="55" spans="1:17">
      <c r="A55" s="98" t="str">
        <f>IF(LEFT(BalCom[[#This Row],[Code]],3)="NBR","NBR","CHE")</f>
        <v>CHE</v>
      </c>
      <c r="C55" s="11" t="s">
        <v>629</v>
      </c>
      <c r="D55" s="11" t="s">
        <v>648</v>
      </c>
      <c r="E55" s="11" t="s">
        <v>650</v>
      </c>
      <c r="F55" s="91" t="s">
        <v>239</v>
      </c>
      <c r="G55" s="99">
        <v>0.3</v>
      </c>
      <c r="H55" s="12">
        <v>16.8432</v>
      </c>
      <c r="I55" s="12">
        <v>903.33220000000006</v>
      </c>
      <c r="K55" s="12">
        <f>SUMIFS(H:H,C:C,BalCom[[#This Row],[Name]],D:D,BalCom[[#This Row],[Master name]])</f>
        <v>1799.16</v>
      </c>
      <c r="L55" s="12">
        <f>IFERROR(BalCom[[#This Row],[Balance (Kg)]]*BalCom[[#This Row],[Dry Kg]]/BalCom[[#This Row],[Total Dry Kg]],0)</f>
        <v>8.4567269787234043</v>
      </c>
      <c r="M55" s="12">
        <f>IF(D55="","",BalCom[[#This Row],[Bal. Kg Dry]]/BalCom[[#This Row],[TSC]])</f>
        <v>28.189089929078015</v>
      </c>
      <c r="N55" s="97" t="str">
        <f>IF(_xlfn.XLOOKUP(BalCom[[#This Row],[Code]],Info!B:B,Info!D:D,0)=0,BalCom[[#This Row],[Code]],(_xlfn.XLOOKUP(BalCom[[#This Row],[Code]],Info!B:B,Info!D:D,0)))</f>
        <v>CH168</v>
      </c>
      <c r="O55" s="12">
        <f>IF(BalCom[[#This Row],[New Code]]="SFG-Water",0,_xlfn.XLOOKUP(BalCom[[#This Row],[New Code]],Used_before_Trf!A:A,Used_before_Trf!U:U,""))</f>
        <v>58.404505704720911</v>
      </c>
      <c r="P55" s="12">
        <f>IF(D55="","",ROUND((BalCom[[#This Row],[Price]]*BalCom[[#This Row],[Bal. Kg Wet]]),2))</f>
        <v>1646.37</v>
      </c>
      <c r="Q55" s="443" t="str">
        <f>IF(BalCom[[#This Row],[Master name]]="","",IF(N55="SFG-Water","",IF(AND(N55&lt;&gt;0,P55&lt;&gt;0),"Ok","Error")))</f>
        <v>Ok</v>
      </c>
    </row>
    <row r="56" spans="1:17">
      <c r="A56" s="98" t="str">
        <f>IF(LEFT(BalCom[[#This Row],[Code]],3)="NBR","NBR","CHE")</f>
        <v>CHE</v>
      </c>
      <c r="C56" s="11" t="s">
        <v>629</v>
      </c>
      <c r="D56" s="11" t="s">
        <v>648</v>
      </c>
      <c r="E56" s="11" t="s">
        <v>635</v>
      </c>
      <c r="F56" s="91" t="s">
        <v>348</v>
      </c>
      <c r="G56" s="99">
        <v>0.6</v>
      </c>
      <c r="H56" s="12">
        <v>15.311999999999999</v>
      </c>
      <c r="I56" s="12">
        <v>903.33220000000006</v>
      </c>
      <c r="K56" s="12">
        <f>SUMIFS(H:H,C:C,BalCom[[#This Row],[Name]],D:D,BalCom[[#This Row],[Master name]])</f>
        <v>1799.16</v>
      </c>
      <c r="L56" s="12">
        <f>IFERROR(BalCom[[#This Row],[Balance (Kg)]]*BalCom[[#This Row],[Dry Kg]]/BalCom[[#This Row],[Total Dry Kg]],0)</f>
        <v>7.687933617021276</v>
      </c>
      <c r="M56" s="12">
        <f>IF(D56="","",BalCom[[#This Row],[Bal. Kg Dry]]/BalCom[[#This Row],[TSC]])</f>
        <v>12.81322269503546</v>
      </c>
      <c r="N56" s="97" t="str">
        <f>IF(_xlfn.XLOOKUP(BalCom[[#This Row],[Code]],Info!B:B,Info!D:D,0)=0,BalCom[[#This Row],[Code]],(_xlfn.XLOOKUP(BalCom[[#This Row],[Code]],Info!B:B,Info!D:D,0)))</f>
        <v>CH93</v>
      </c>
      <c r="O56" s="12">
        <f>IF(BalCom[[#This Row],[New Code]]="SFG-Water",0,_xlfn.XLOOKUP(BalCom[[#This Row],[New Code]],Used_before_Trf!A:A,Used_before_Trf!U:U,""))</f>
        <v>69.839849490925189</v>
      </c>
      <c r="P56" s="12">
        <f>IF(D56="","",ROUND((BalCom[[#This Row],[Price]]*BalCom[[#This Row],[Bal. Kg Wet]]),2))</f>
        <v>894.87</v>
      </c>
      <c r="Q56" s="443" t="str">
        <f>IF(BalCom[[#This Row],[Master name]]="","",IF(N56="SFG-Water","",IF(AND(N56&lt;&gt;0,P56&lt;&gt;0),"Ok","Error")))</f>
        <v>Ok</v>
      </c>
    </row>
    <row r="57" spans="1:17">
      <c r="A57" s="98" t="str">
        <f>IF(LEFT(BalCom[[#This Row],[Code]],3)="NBR","NBR","CHE")</f>
        <v>CHE</v>
      </c>
      <c r="C57" s="11" t="s">
        <v>629</v>
      </c>
      <c r="D57" s="11" t="s">
        <v>648</v>
      </c>
      <c r="E57" s="11" t="s">
        <v>636</v>
      </c>
      <c r="F57" s="91" t="s">
        <v>346</v>
      </c>
      <c r="G57" s="99">
        <v>0.6</v>
      </c>
      <c r="H57" s="12">
        <v>6.1247999999999996</v>
      </c>
      <c r="I57" s="12">
        <v>903.33220000000006</v>
      </c>
      <c r="K57" s="12">
        <f>SUMIFS(H:H,C:C,BalCom[[#This Row],[Name]],D:D,BalCom[[#This Row],[Master name]])</f>
        <v>1799.16</v>
      </c>
      <c r="L57" s="12">
        <f>IFERROR(BalCom[[#This Row],[Balance (Kg)]]*BalCom[[#This Row],[Dry Kg]]/BalCom[[#This Row],[Total Dry Kg]],0)</f>
        <v>3.0751734468085106</v>
      </c>
      <c r="M57" s="12">
        <f>IF(D57="","",BalCom[[#This Row],[Bal. Kg Dry]]/BalCom[[#This Row],[TSC]])</f>
        <v>5.1252890780141849</v>
      </c>
      <c r="N57" s="97" t="str">
        <f>IF(_xlfn.XLOOKUP(BalCom[[#This Row],[Code]],Info!B:B,Info!D:D,0)=0,BalCom[[#This Row],[Code]],(_xlfn.XLOOKUP(BalCom[[#This Row],[Code]],Info!B:B,Info!D:D,0)))</f>
        <v>CH92</v>
      </c>
      <c r="O57" s="12">
        <f>IF(BalCom[[#This Row],[New Code]]="SFG-Water",0,_xlfn.XLOOKUP(BalCom[[#This Row],[New Code]],Used_before_Trf!A:A,Used_before_Trf!U:U,""))</f>
        <v>28.016027710254928</v>
      </c>
      <c r="P57" s="12">
        <f>IF(D57="","",ROUND((BalCom[[#This Row],[Price]]*BalCom[[#This Row],[Bal. Kg Wet]]),2))</f>
        <v>143.59</v>
      </c>
      <c r="Q57" s="443" t="str">
        <f>IF(BalCom[[#This Row],[Master name]]="","",IF(N57="SFG-Water","",IF(AND(N57&lt;&gt;0,P57&lt;&gt;0),"Ok","Error")))</f>
        <v>Ok</v>
      </c>
    </row>
    <row r="58" spans="1:17">
      <c r="A58" s="98" t="str">
        <f>IF(LEFT(BalCom[[#This Row],[Code]],3)="NBR","NBR","CHE")</f>
        <v>CHE</v>
      </c>
      <c r="C58" s="11" t="s">
        <v>629</v>
      </c>
      <c r="D58" s="11" t="s">
        <v>648</v>
      </c>
      <c r="E58" s="11" t="s">
        <v>637</v>
      </c>
      <c r="F58" s="91" t="s">
        <v>344</v>
      </c>
      <c r="G58" s="99">
        <v>0.5</v>
      </c>
      <c r="H58" s="12">
        <v>3.0623999999999998</v>
      </c>
      <c r="I58" s="12">
        <v>903.33220000000006</v>
      </c>
      <c r="K58" s="12">
        <f>SUMIFS(H:H,C:C,BalCom[[#This Row],[Name]],D:D,BalCom[[#This Row],[Master name]])</f>
        <v>1799.16</v>
      </c>
      <c r="L58" s="12">
        <f>IFERROR(BalCom[[#This Row],[Balance (Kg)]]*BalCom[[#This Row],[Dry Kg]]/BalCom[[#This Row],[Total Dry Kg]],0)</f>
        <v>1.5375867234042553</v>
      </c>
      <c r="M58" s="12">
        <f>IF(D58="","",BalCom[[#This Row],[Bal. Kg Dry]]/BalCom[[#This Row],[TSC]])</f>
        <v>3.0751734468085106</v>
      </c>
      <c r="N58" s="97" t="str">
        <f>IF(_xlfn.XLOOKUP(BalCom[[#This Row],[Code]],Info!B:B,Info!D:D,0)=0,BalCom[[#This Row],[Code]],(_xlfn.XLOOKUP(BalCom[[#This Row],[Code]],Info!B:B,Info!D:D,0)))</f>
        <v>CH91</v>
      </c>
      <c r="O58" s="12">
        <f>IF(BalCom[[#This Row],[New Code]]="SFG-Water",0,_xlfn.XLOOKUP(BalCom[[#This Row],[New Code]],Used_before_Trf!A:A,Used_before_Trf!U:U,""))</f>
        <v>50.317319152837626</v>
      </c>
      <c r="P58" s="12">
        <f>IF(D58="","",ROUND((BalCom[[#This Row],[Price]]*BalCom[[#This Row],[Bal. Kg Wet]]),2))</f>
        <v>154.72999999999999</v>
      </c>
      <c r="Q58" s="443" t="str">
        <f>IF(BalCom[[#This Row],[Master name]]="","",IF(N58="SFG-Water","",IF(AND(N58&lt;&gt;0,P58&lt;&gt;0),"Ok","Error")))</f>
        <v>Ok</v>
      </c>
    </row>
    <row r="59" spans="1:17">
      <c r="A59" s="98" t="str">
        <f>IF(LEFT(BalCom[[#This Row],[Code]],3)="NBR","NBR","CHE")</f>
        <v>NBR</v>
      </c>
      <c r="C59" s="11" t="s">
        <v>629</v>
      </c>
      <c r="D59" s="11" t="s">
        <v>648</v>
      </c>
      <c r="E59" s="11" t="s">
        <v>647</v>
      </c>
      <c r="F59" s="91" t="s">
        <v>508</v>
      </c>
      <c r="G59" s="99">
        <v>0.44069999999999998</v>
      </c>
      <c r="H59" s="12">
        <v>1531.2</v>
      </c>
      <c r="I59" s="12">
        <v>903.33220000000006</v>
      </c>
      <c r="K59" s="12">
        <f>SUMIFS(H:H,C:C,BalCom[[#This Row],[Name]],D:D,BalCom[[#This Row],[Master name]])</f>
        <v>1799.16</v>
      </c>
      <c r="L59" s="12">
        <f>IFERROR(BalCom[[#This Row],[Balance (Kg)]]*BalCom[[#This Row],[Dry Kg]]/BalCom[[#This Row],[Total Dry Kg]],0)</f>
        <v>768.79336170212775</v>
      </c>
      <c r="M59" s="12">
        <f>IF(D59="","",BalCom[[#This Row],[Bal. Kg Dry]]/BalCom[[#This Row],[TSC]])</f>
        <v>1744.4823274384564</v>
      </c>
      <c r="N59" s="97" t="str">
        <f>IF(_xlfn.XLOOKUP(BalCom[[#This Row],[Code]],Info!B:B,Info!D:D,0)=0,BalCom[[#This Row],[Code]],(_xlfn.XLOOKUP(BalCom[[#This Row],[Code]],Info!B:B,Info!D:D,0)))</f>
        <v>NBR30</v>
      </c>
      <c r="O59" s="12">
        <f>IF(BalCom[[#This Row],[New Code]]="SFG-Water",0,_xlfn.XLOOKUP(BalCom[[#This Row],[New Code]],Used_before_Trf!A:A,Used_before_Trf!U:U,""))</f>
        <v>38.308109507736226</v>
      </c>
      <c r="P59" s="12">
        <f>IF(D59="","",ROUND((BalCom[[#This Row],[Price]]*BalCom[[#This Row],[Bal. Kg Wet]]),2))</f>
        <v>66827.820000000007</v>
      </c>
      <c r="Q59" s="443" t="str">
        <f>IF(BalCom[[#This Row],[Master name]]="","",IF(N59="SFG-Water","",IF(AND(N59&lt;&gt;0,P59&lt;&gt;0),"Ok","Error")))</f>
        <v>Ok</v>
      </c>
    </row>
    <row r="60" spans="1:17">
      <c r="A60" s="98" t="str">
        <f>IF(LEFT(BalCom[[#This Row],[Code]],3)="NBR","NBR","CHE")</f>
        <v>CHE</v>
      </c>
      <c r="C60" s="11" t="s">
        <v>629</v>
      </c>
      <c r="D60" s="11" t="s">
        <v>648</v>
      </c>
      <c r="E60" s="11" t="s">
        <v>644</v>
      </c>
      <c r="F60" s="91" t="s">
        <v>279</v>
      </c>
      <c r="G60" s="506">
        <v>0.65</v>
      </c>
      <c r="H60" s="11">
        <v>153.12</v>
      </c>
      <c r="I60" s="13">
        <v>903.33220000000006</v>
      </c>
      <c r="J60" s="11"/>
      <c r="K60" s="12">
        <f>SUMIFS(H:H,C:C,BalCom[[#This Row],[Name]],D:D,BalCom[[#This Row],[Master name]])</f>
        <v>1799.16</v>
      </c>
      <c r="L60" s="12">
        <f>IFERROR(BalCom[[#This Row],[Balance (Kg)]]*BalCom[[#This Row],[Dry Kg]]/BalCom[[#This Row],[Total Dry Kg]],0)</f>
        <v>76.879336170212767</v>
      </c>
      <c r="M60" s="12">
        <f>IF(D60="","",BalCom[[#This Row],[Bal. Kg Dry]]/BalCom[[#This Row],[TSC]])</f>
        <v>118.27590180032733</v>
      </c>
      <c r="N60" s="97" t="str">
        <f>IF(_xlfn.XLOOKUP(BalCom[[#This Row],[Code]],Info!B:B,Info!D:D,0)=0,BalCom[[#This Row],[Code]],(_xlfn.XLOOKUP(BalCom[[#This Row],[Code]],Info!B:B,Info!D:D,0)))</f>
        <v>CH215</v>
      </c>
      <c r="O60" s="12">
        <f>IF(BalCom[[#This Row],[New Code]]="SFG-Water",0,_xlfn.XLOOKUP(BalCom[[#This Row],[New Code]],Used_before_Trf!A:A,Used_before_Trf!U:U,""))</f>
        <v>20.738312000000001</v>
      </c>
      <c r="P60" s="12">
        <f>IF(D60="","",ROUND((BalCom[[#This Row],[Price]]*BalCom[[#This Row],[Bal. Kg Wet]]),2))</f>
        <v>2452.84</v>
      </c>
      <c r="Q60" s="443" t="str">
        <f>IF(BalCom[[#This Row],[Master name]]="","",IF(N60="SFG-Water","",IF(AND(N60&lt;&gt;0,P60&lt;&gt;0),"Ok","Error")))</f>
        <v>Ok</v>
      </c>
    </row>
    <row r="61" spans="1:17">
      <c r="A61" s="98" t="str">
        <f>IF(LEFT(BalCom[[#This Row],[Code]],3)="NBR","NBR","CHE")</f>
        <v>CHE</v>
      </c>
      <c r="C61" s="11" t="s">
        <v>629</v>
      </c>
      <c r="D61" s="11" t="s">
        <v>648</v>
      </c>
      <c r="E61" s="11" t="s">
        <v>639</v>
      </c>
      <c r="F61" s="91" t="s">
        <v>295</v>
      </c>
      <c r="G61" s="506">
        <v>0.55000000000000004</v>
      </c>
      <c r="H61" s="11">
        <v>30.623999999999999</v>
      </c>
      <c r="I61" s="13">
        <v>903.33220000000006</v>
      </c>
      <c r="J61" s="11"/>
      <c r="K61" s="12">
        <f>SUMIFS(H:H,C:C,BalCom[[#This Row],[Name]],D:D,BalCom[[#This Row],[Master name]])</f>
        <v>1799.16</v>
      </c>
      <c r="L61" s="12">
        <f>IFERROR(BalCom[[#This Row],[Balance (Kg)]]*BalCom[[#This Row],[Dry Kg]]/BalCom[[#This Row],[Total Dry Kg]],0)</f>
        <v>15.375867234042552</v>
      </c>
      <c r="M61" s="12">
        <f>IF(D61="","",BalCom[[#This Row],[Bal. Kg Dry]]/BalCom[[#This Row],[TSC]])</f>
        <v>27.956122243713729</v>
      </c>
      <c r="N61" s="97" t="str">
        <f>IF(_xlfn.XLOOKUP(BalCom[[#This Row],[Code]],Info!B:B,Info!D:D,0)=0,BalCom[[#This Row],[Code]],(_xlfn.XLOOKUP(BalCom[[#This Row],[Code]],Info!B:B,Info!D:D,0)))</f>
        <v>CH222</v>
      </c>
      <c r="O61" s="12">
        <f>IF(BalCom[[#This Row],[New Code]]="SFG-Water",0,_xlfn.XLOOKUP(BalCom[[#This Row],[New Code]],Used_before_Trf!A:A,Used_before_Trf!U:U,""))</f>
        <v>42.341880945075175</v>
      </c>
      <c r="P61" s="12">
        <f>IF(D61="","",ROUND((BalCom[[#This Row],[Price]]*BalCom[[#This Row],[Bal. Kg Wet]]),2))</f>
        <v>1183.71</v>
      </c>
      <c r="Q61" s="443" t="str">
        <f>IF(BalCom[[#This Row],[Master name]]="","",IF(N61="SFG-Water","",IF(AND(N61&lt;&gt;0,P61&lt;&gt;0),"Ok","Error")))</f>
        <v>Ok</v>
      </c>
    </row>
    <row r="62" spans="1:17">
      <c r="A62" s="98" t="str">
        <f>IF(LEFT(BalCom[[#This Row],[Code]],3)="NBR","NBR","CHE")</f>
        <v>CHE</v>
      </c>
      <c r="C62" s="11" t="s">
        <v>629</v>
      </c>
      <c r="D62" s="11" t="s">
        <v>648</v>
      </c>
      <c r="E62" s="11" t="s">
        <v>651</v>
      </c>
      <c r="F62" s="91" t="s">
        <v>211</v>
      </c>
      <c r="G62" s="506">
        <v>0.5</v>
      </c>
      <c r="H62" s="11">
        <v>15.311999999999999</v>
      </c>
      <c r="I62" s="13">
        <v>903.33220000000006</v>
      </c>
      <c r="J62" s="11"/>
      <c r="K62" s="12">
        <f>SUMIFS(H:H,C:C,BalCom[[#This Row],[Name]],D:D,BalCom[[#This Row],[Master name]])</f>
        <v>1799.16</v>
      </c>
      <c r="L62" s="12">
        <f>IFERROR(BalCom[[#This Row],[Balance (Kg)]]*BalCom[[#This Row],[Dry Kg]]/BalCom[[#This Row],[Total Dry Kg]],0)</f>
        <v>7.687933617021276</v>
      </c>
      <c r="M62" s="12">
        <f>IF(D62="","",BalCom[[#This Row],[Bal. Kg Dry]]/BalCom[[#This Row],[TSC]])</f>
        <v>15.375867234042552</v>
      </c>
      <c r="N62" s="97" t="str">
        <f>IF(_xlfn.XLOOKUP(BalCom[[#This Row],[Code]],Info!B:B,Info!D:D,0)=0,BalCom[[#This Row],[Code]],(_xlfn.XLOOKUP(BalCom[[#This Row],[Code]],Info!B:B,Info!D:D,0)))</f>
        <v>CH140</v>
      </c>
      <c r="O62" s="12">
        <f>IF(BalCom[[#This Row],[New Code]]="SFG-Water",0,_xlfn.XLOOKUP(BalCom[[#This Row],[New Code]],Used_before_Trf!A:A,Used_before_Trf!U:U,""))</f>
        <v>57.918555023923446</v>
      </c>
      <c r="P62" s="12">
        <f>IF(D62="","",ROUND((BalCom[[#This Row],[Price]]*BalCom[[#This Row],[Bal. Kg Wet]]),2))</f>
        <v>890.55</v>
      </c>
      <c r="Q62" s="443" t="str">
        <f>IF(BalCom[[#This Row],[Master name]]="","",IF(N62="SFG-Water","",IF(AND(N62&lt;&gt;0,P62&lt;&gt;0),"Ok","Error")))</f>
        <v>Ok</v>
      </c>
    </row>
    <row r="63" spans="1:17">
      <c r="A63" s="98" t="str">
        <f>IF(LEFT(BalCom[[#This Row],[Code]],3)="NBR","NBR","CHE")</f>
        <v>NBR</v>
      </c>
      <c r="C63" s="11" t="s">
        <v>629</v>
      </c>
      <c r="D63" s="11" t="s">
        <v>652</v>
      </c>
      <c r="E63" s="11" t="s">
        <v>647</v>
      </c>
      <c r="F63" s="91" t="s">
        <v>508</v>
      </c>
      <c r="G63" s="506">
        <v>0.44069999999999998</v>
      </c>
      <c r="H63" s="11">
        <v>1812.8</v>
      </c>
      <c r="I63" s="13">
        <v>2740.4039999999995</v>
      </c>
      <c r="J63" s="11"/>
      <c r="K63" s="12">
        <f>SUMIFS(H:H,C:C,BalCom[[#This Row],[Name]],D:D,BalCom[[#This Row],[Master name]])</f>
        <v>2198.9264000000003</v>
      </c>
      <c r="L63" s="12">
        <f>IFERROR(BalCom[[#This Row],[Balance (Kg)]]*BalCom[[#This Row],[Dry Kg]]/BalCom[[#This Row],[Total Dry Kg]],0)</f>
        <v>2259.1953833470725</v>
      </c>
      <c r="M63" s="12">
        <f>IF(D63="","",BalCom[[#This Row],[Bal. Kg Dry]]/BalCom[[#This Row],[TSC]])</f>
        <v>5126.3793586273487</v>
      </c>
      <c r="N63" s="97" t="str">
        <f>IF(_xlfn.XLOOKUP(BalCom[[#This Row],[Code]],Info!B:B,Info!D:D,0)=0,BalCom[[#This Row],[Code]],(_xlfn.XLOOKUP(BalCom[[#This Row],[Code]],Info!B:B,Info!D:D,0)))</f>
        <v>NBR30</v>
      </c>
      <c r="O63" s="12">
        <f>IF(BalCom[[#This Row],[New Code]]="SFG-Water",0,_xlfn.XLOOKUP(BalCom[[#This Row],[New Code]],Used_before_Trf!A:A,Used_before_Trf!U:U,""))</f>
        <v>38.308109507736226</v>
      </c>
      <c r="P63" s="12">
        <f>IF(D63="","",ROUND((BalCom[[#This Row],[Price]]*BalCom[[#This Row],[Bal. Kg Wet]]),2))</f>
        <v>196381.9</v>
      </c>
      <c r="Q63" s="443" t="str">
        <f>IF(BalCom[[#This Row],[Master name]]="","",IF(N63="SFG-Water","",IF(AND(N63&lt;&gt;0,P63&lt;&gt;0),"Ok","Error")))</f>
        <v>Ok</v>
      </c>
    </row>
    <row r="64" spans="1:17">
      <c r="A64" s="98" t="str">
        <f>IF(LEFT(BalCom[[#This Row],[Code]],3)="NBR","NBR","CHE")</f>
        <v>CHE</v>
      </c>
      <c r="C64" s="11" t="s">
        <v>629</v>
      </c>
      <c r="D64" s="11" t="s">
        <v>652</v>
      </c>
      <c r="E64" s="11" t="s">
        <v>632</v>
      </c>
      <c r="F64" s="546" t="s">
        <v>277</v>
      </c>
      <c r="G64" s="506">
        <v>0.03</v>
      </c>
      <c r="H64" s="11">
        <v>2.1131936495999999</v>
      </c>
      <c r="I64" s="13">
        <v>2740.4039999999995</v>
      </c>
      <c r="J64" s="11"/>
      <c r="K64" s="12">
        <f>SUMIFS(H:H,C:C,BalCom[[#This Row],[Name]],D:D,BalCom[[#This Row],[Master name]])</f>
        <v>2198.9264000000003</v>
      </c>
      <c r="L64" s="12">
        <f>IFERROR(BalCom[[#This Row],[Balance (Kg)]]*BalCom[[#This Row],[Dry Kg]]/BalCom[[#This Row],[Total Dry Kg]],0)</f>
        <v>2.6335598727353662</v>
      </c>
      <c r="M64" s="12">
        <f>IF(D64="","",BalCom[[#This Row],[Bal. Kg Dry]]/BalCom[[#This Row],[TSC]])</f>
        <v>87.78532909117888</v>
      </c>
      <c r="N64" s="97" t="str">
        <f>IF(_xlfn.XLOOKUP(BalCom[[#This Row],[Code]],Info!B:B,Info!D:D,0)=0,BalCom[[#This Row],[Code]],(_xlfn.XLOOKUP(BalCom[[#This Row],[Code]],Info!B:B,Info!D:D,0)))</f>
        <v>CH212</v>
      </c>
      <c r="O64" s="12">
        <f>IF(BalCom[[#This Row],[New Code]]="SFG-Water",0,_xlfn.XLOOKUP(BalCom[[#This Row],[New Code]],Used_before_Trf!A:A,Used_before_Trf!U:U,""))</f>
        <v>32.035420833333333</v>
      </c>
      <c r="P64" s="12">
        <f>IF(D64="","",ROUND((BalCom[[#This Row],[Price]]*BalCom[[#This Row],[Bal. Kg Wet]]),2))</f>
        <v>2812.24</v>
      </c>
      <c r="Q64" s="443" t="str">
        <f>IF(BalCom[[#This Row],[Master name]]="","",IF(N64="SFG-Water","",IF(AND(N64&lt;&gt;0,P64&lt;&gt;0),"Ok","Error")))</f>
        <v>Ok</v>
      </c>
    </row>
    <row r="65" spans="1:17">
      <c r="A65" s="98" t="str">
        <f>IF(LEFT(BalCom[[#This Row],[Code]],3)="NBR","NBR","CHE")</f>
        <v>CHE</v>
      </c>
      <c r="C65" s="11" t="s">
        <v>629</v>
      </c>
      <c r="D65" s="11" t="s">
        <v>652</v>
      </c>
      <c r="E65" s="11" t="s">
        <v>633</v>
      </c>
      <c r="F65" s="91" t="s">
        <v>497</v>
      </c>
      <c r="G65" s="506">
        <v>0.03</v>
      </c>
      <c r="H65" s="11">
        <v>28.704406350399996</v>
      </c>
      <c r="I65" s="13">
        <v>2740.4039999999995</v>
      </c>
      <c r="J65" s="11"/>
      <c r="K65" s="12">
        <f>SUMIFS(H:H,C:C,BalCom[[#This Row],[Name]],D:D,BalCom[[#This Row],[Master name]])</f>
        <v>2198.9264000000003</v>
      </c>
      <c r="L65" s="12">
        <f>IFERROR(BalCom[[#This Row],[Balance (Kg)]]*BalCom[[#This Row],[Dry Kg]]/BalCom[[#This Row],[Total Dry Kg]],0)</f>
        <v>35.772761644164866</v>
      </c>
      <c r="M65" s="12">
        <f>IF(D65="","",BalCom[[#This Row],[Bal. Kg Dry]]/BalCom[[#This Row],[TSC]])</f>
        <v>1192.425388138829</v>
      </c>
      <c r="N65" s="97" t="str">
        <f>IF(_xlfn.XLOOKUP(BalCom[[#This Row],[Code]],Info!B:B,Info!D:D,0)=0,BalCom[[#This Row],[Code]],(_xlfn.XLOOKUP(BalCom[[#This Row],[Code]],Info!B:B,Info!D:D,0)))</f>
        <v>SFG-Water</v>
      </c>
      <c r="O65" s="12">
        <f>IF(BalCom[[#This Row],[New Code]]="SFG-Water",0,_xlfn.XLOOKUP(BalCom[[#This Row],[New Code]],Used_before_Trf!A:A,Used_before_Trf!U:U,""))</f>
        <v>0</v>
      </c>
      <c r="P65" s="12">
        <f>IF(D65="","",ROUND((BalCom[[#This Row],[Price]]*BalCom[[#This Row],[Bal. Kg Wet]]),2))</f>
        <v>0</v>
      </c>
      <c r="Q65" s="443" t="str">
        <f>IF(BalCom[[#This Row],[Master name]]="","",IF(N65="SFG-Water","",IF(AND(N65&lt;&gt;0,P65&lt;&gt;0),"Ok","Error")))</f>
        <v/>
      </c>
    </row>
    <row r="66" spans="1:17">
      <c r="A66" s="98" t="str">
        <f>IF(LEFT(BalCom[[#This Row],[Code]],3)="NBR","NBR","CHE")</f>
        <v>CHE</v>
      </c>
      <c r="C66" s="11" t="s">
        <v>629</v>
      </c>
      <c r="D66" s="11" t="s">
        <v>652</v>
      </c>
      <c r="E66" s="11" t="s">
        <v>634</v>
      </c>
      <c r="F66" s="91" t="s">
        <v>303</v>
      </c>
      <c r="G66" s="99">
        <v>0.15</v>
      </c>
      <c r="H66" s="12">
        <v>3.6255999999999999</v>
      </c>
      <c r="I66" s="12">
        <v>2740.4039999999995</v>
      </c>
      <c r="K66" s="12">
        <f>SUMIFS(H:H,C:C,BalCom[[#This Row],[Name]],D:D,BalCom[[#This Row],[Master name]])</f>
        <v>2198.9264000000003</v>
      </c>
      <c r="L66" s="12">
        <f>IFERROR(BalCom[[#This Row],[Balance (Kg)]]*BalCom[[#This Row],[Dry Kg]]/BalCom[[#This Row],[Total Dry Kg]],0)</f>
        <v>4.5183907666941456</v>
      </c>
      <c r="M66" s="12">
        <f>IF(D66="","",BalCom[[#This Row],[Bal. Kg Dry]]/BalCom[[#This Row],[TSC]])</f>
        <v>30.122605111294305</v>
      </c>
      <c r="N66" s="97" t="str">
        <f>IF(_xlfn.XLOOKUP(BalCom[[#This Row],[Code]],Info!B:B,Info!D:D,0)=0,BalCom[[#This Row],[Code]],(_xlfn.XLOOKUP(BalCom[[#This Row],[Code]],Info!B:B,Info!D:D,0)))</f>
        <v>CH227</v>
      </c>
      <c r="O66" s="12">
        <f>IF(BalCom[[#This Row],[New Code]]="SFG-Water",0,_xlfn.XLOOKUP(BalCom[[#This Row],[New Code]],Used_before_Trf!A:A,Used_before_Trf!U:U,""))</f>
        <v>14.054039924978982</v>
      </c>
      <c r="P66" s="12">
        <f>IF(D66="","",ROUND((BalCom[[#This Row],[Price]]*BalCom[[#This Row],[Bal. Kg Wet]]),2))</f>
        <v>423.34</v>
      </c>
      <c r="Q66" s="443" t="str">
        <f>IF(BalCom[[#This Row],[Master name]]="","",IF(N66="SFG-Water","",IF(AND(N66&lt;&gt;0,P66&lt;&gt;0),"Ok","Error")))</f>
        <v>Ok</v>
      </c>
    </row>
    <row r="67" spans="1:17">
      <c r="A67" s="98" t="str">
        <f>IF(LEFT(BalCom[[#This Row],[Code]],3)="NBR","NBR","CHE")</f>
        <v>CHE</v>
      </c>
      <c r="C67" s="11" t="s">
        <v>629</v>
      </c>
      <c r="D67" s="11" t="s">
        <v>652</v>
      </c>
      <c r="E67" s="11" t="s">
        <v>635</v>
      </c>
      <c r="F67" s="91" t="s">
        <v>348</v>
      </c>
      <c r="G67" s="506">
        <v>0.6</v>
      </c>
      <c r="H67" s="11">
        <v>14.5024</v>
      </c>
      <c r="I67" s="13">
        <v>2740.4039999999995</v>
      </c>
      <c r="J67" s="11"/>
      <c r="K67" s="12">
        <f>SUMIFS(H:H,C:C,BalCom[[#This Row],[Name]],D:D,BalCom[[#This Row],[Master name]])</f>
        <v>2198.9264000000003</v>
      </c>
      <c r="L67" s="12">
        <f>IFERROR(BalCom[[#This Row],[Balance (Kg)]]*BalCom[[#This Row],[Dry Kg]]/BalCom[[#This Row],[Total Dry Kg]],0)</f>
        <v>18.073563066776583</v>
      </c>
      <c r="M67" s="12">
        <f>IF(D67="","",BalCom[[#This Row],[Bal. Kg Dry]]/BalCom[[#This Row],[TSC]])</f>
        <v>30.122605111294305</v>
      </c>
      <c r="N67" s="97" t="str">
        <f>IF(_xlfn.XLOOKUP(BalCom[[#This Row],[Code]],Info!B:B,Info!D:D,0)=0,BalCom[[#This Row],[Code]],(_xlfn.XLOOKUP(BalCom[[#This Row],[Code]],Info!B:B,Info!D:D,0)))</f>
        <v>CH93</v>
      </c>
      <c r="O67" s="12">
        <f>IF(BalCom[[#This Row],[New Code]]="SFG-Water",0,_xlfn.XLOOKUP(BalCom[[#This Row],[New Code]],Used_before_Trf!A:A,Used_before_Trf!U:U,""))</f>
        <v>69.839849490925189</v>
      </c>
      <c r="P67" s="12">
        <f>IF(D67="","",ROUND((BalCom[[#This Row],[Price]]*BalCom[[#This Row],[Bal. Kg Wet]]),2))</f>
        <v>2103.7600000000002</v>
      </c>
      <c r="Q67" s="443" t="str">
        <f>IF(BalCom[[#This Row],[Master name]]="","",IF(N67="SFG-Water","",IF(AND(N67&lt;&gt;0,P67&lt;&gt;0),"Ok","Error")))</f>
        <v>Ok</v>
      </c>
    </row>
    <row r="68" spans="1:17">
      <c r="A68" s="98" t="str">
        <f>IF(LEFT(BalCom[[#This Row],[Code]],3)="NBR","NBR","CHE")</f>
        <v>CHE</v>
      </c>
      <c r="C68" s="11" t="s">
        <v>629</v>
      </c>
      <c r="D68" s="11" t="s">
        <v>652</v>
      </c>
      <c r="E68" s="11" t="s">
        <v>636</v>
      </c>
      <c r="F68" s="91" t="s">
        <v>346</v>
      </c>
      <c r="G68" s="506">
        <v>0.6</v>
      </c>
      <c r="H68" s="11">
        <v>18.128</v>
      </c>
      <c r="I68" s="13">
        <v>2740.4039999999995</v>
      </c>
      <c r="J68" s="11"/>
      <c r="K68" s="12">
        <f>SUMIFS(H:H,C:C,BalCom[[#This Row],[Name]],D:D,BalCom[[#This Row],[Master name]])</f>
        <v>2198.9264000000003</v>
      </c>
      <c r="L68" s="12">
        <f>IFERROR(BalCom[[#This Row],[Balance (Kg)]]*BalCom[[#This Row],[Dry Kg]]/BalCom[[#This Row],[Total Dry Kg]],0)</f>
        <v>22.591953833470725</v>
      </c>
      <c r="M68" s="12">
        <f>IF(D68="","",BalCom[[#This Row],[Bal. Kg Dry]]/BalCom[[#This Row],[TSC]])</f>
        <v>37.653256389117878</v>
      </c>
      <c r="N68" s="97" t="str">
        <f>IF(_xlfn.XLOOKUP(BalCom[[#This Row],[Code]],Info!B:B,Info!D:D,0)=0,BalCom[[#This Row],[Code]],(_xlfn.XLOOKUP(BalCom[[#This Row],[Code]],Info!B:B,Info!D:D,0)))</f>
        <v>CH92</v>
      </c>
      <c r="O68" s="12">
        <f>IF(BalCom[[#This Row],[New Code]]="SFG-Water",0,_xlfn.XLOOKUP(BalCom[[#This Row],[New Code]],Used_before_Trf!A:A,Used_before_Trf!U:U,""))</f>
        <v>28.016027710254928</v>
      </c>
      <c r="P68" s="12">
        <f>IF(D68="","",ROUND((BalCom[[#This Row],[Price]]*BalCom[[#This Row],[Bal. Kg Wet]]),2))</f>
        <v>1054.8900000000001</v>
      </c>
      <c r="Q68" s="443" t="str">
        <f>IF(BalCom[[#This Row],[Master name]]="","",IF(N68="SFG-Water","",IF(AND(N68&lt;&gt;0,P68&lt;&gt;0),"Ok","Error")))</f>
        <v>Ok</v>
      </c>
    </row>
    <row r="69" spans="1:17">
      <c r="A69" s="98" t="str">
        <f>IF(LEFT(BalCom[[#This Row],[Code]],3)="NBR","NBR","CHE")</f>
        <v>CHE</v>
      </c>
      <c r="C69" s="11" t="s">
        <v>629</v>
      </c>
      <c r="D69" s="11" t="s">
        <v>652</v>
      </c>
      <c r="E69" s="11" t="s">
        <v>637</v>
      </c>
      <c r="F69" s="91" t="s">
        <v>344</v>
      </c>
      <c r="G69" s="506">
        <v>0.5</v>
      </c>
      <c r="H69" s="11">
        <v>10.876799999999999</v>
      </c>
      <c r="I69" s="13">
        <v>2740.4039999999995</v>
      </c>
      <c r="J69" s="11"/>
      <c r="K69" s="12">
        <f>SUMIFS(H:H,C:C,BalCom[[#This Row],[Name]],D:D,BalCom[[#This Row],[Master name]])</f>
        <v>2198.9264000000003</v>
      </c>
      <c r="L69" s="12">
        <f>IFERROR(BalCom[[#This Row],[Balance (Kg)]]*BalCom[[#This Row],[Dry Kg]]/BalCom[[#This Row],[Total Dry Kg]],0)</f>
        <v>13.555172300082434</v>
      </c>
      <c r="M69" s="12">
        <f>IF(D69="","",BalCom[[#This Row],[Bal. Kg Dry]]/BalCom[[#This Row],[TSC]])</f>
        <v>27.110344600164868</v>
      </c>
      <c r="N69" s="97" t="str">
        <f>IF(_xlfn.XLOOKUP(BalCom[[#This Row],[Code]],Info!B:B,Info!D:D,0)=0,BalCom[[#This Row],[Code]],(_xlfn.XLOOKUP(BalCom[[#This Row],[Code]],Info!B:B,Info!D:D,0)))</f>
        <v>CH91</v>
      </c>
      <c r="O69" s="12">
        <f>IF(BalCom[[#This Row],[New Code]]="SFG-Water",0,_xlfn.XLOOKUP(BalCom[[#This Row],[New Code]],Used_before_Trf!A:A,Used_before_Trf!U:U,""))</f>
        <v>50.317319152837626</v>
      </c>
      <c r="P69" s="12">
        <f>IF(D69="","",ROUND((BalCom[[#This Row],[Price]]*BalCom[[#This Row],[Bal. Kg Wet]]),2))</f>
        <v>1364.12</v>
      </c>
      <c r="Q69" s="443" t="str">
        <f>IF(BalCom[[#This Row],[Master name]]="","",IF(N69="SFG-Water","",IF(AND(N69&lt;&gt;0,P69&lt;&gt;0),"Ok","Error")))</f>
        <v>Ok</v>
      </c>
    </row>
    <row r="70" spans="1:17">
      <c r="A70" s="98" t="str">
        <f>IF(LEFT(BalCom[[#This Row],[Code]],3)="NBR","NBR","CHE")</f>
        <v>CHE</v>
      </c>
      <c r="C70" s="11" t="s">
        <v>629</v>
      </c>
      <c r="D70" s="11" t="s">
        <v>652</v>
      </c>
      <c r="E70" s="11" t="s">
        <v>644</v>
      </c>
      <c r="F70" s="91" t="s">
        <v>279</v>
      </c>
      <c r="G70" s="506">
        <v>0.65</v>
      </c>
      <c r="H70" s="11">
        <v>271.92</v>
      </c>
      <c r="I70" s="13">
        <v>2740.4039999999995</v>
      </c>
      <c r="J70" s="11"/>
      <c r="K70" s="12">
        <f>SUMIFS(H:H,C:C,BalCom[[#This Row],[Name]],D:D,BalCom[[#This Row],[Master name]])</f>
        <v>2198.9264000000003</v>
      </c>
      <c r="L70" s="12">
        <f>IFERROR(BalCom[[#This Row],[Balance (Kg)]]*BalCom[[#This Row],[Dry Kg]]/BalCom[[#This Row],[Total Dry Kg]],0)</f>
        <v>338.87930750206095</v>
      </c>
      <c r="M70" s="12">
        <f>IF(D70="","",BalCom[[#This Row],[Bal. Kg Dry]]/BalCom[[#This Row],[TSC]])</f>
        <v>521.3527807724015</v>
      </c>
      <c r="N70" s="97" t="str">
        <f>IF(_xlfn.XLOOKUP(BalCom[[#This Row],[Code]],Info!B:B,Info!D:D,0)=0,BalCom[[#This Row],[Code]],(_xlfn.XLOOKUP(BalCom[[#This Row],[Code]],Info!B:B,Info!D:D,0)))</f>
        <v>CH215</v>
      </c>
      <c r="O70" s="12">
        <f>IF(BalCom[[#This Row],[New Code]]="SFG-Water",0,_xlfn.XLOOKUP(BalCom[[#This Row],[New Code]],Used_before_Trf!A:A,Used_before_Trf!U:U,""))</f>
        <v>20.738312000000001</v>
      </c>
      <c r="P70" s="12">
        <f>IF(D70="","",ROUND((BalCom[[#This Row],[Price]]*BalCom[[#This Row],[Bal. Kg Wet]]),2))</f>
        <v>10811.98</v>
      </c>
      <c r="Q70" s="443" t="str">
        <f>IF(BalCom[[#This Row],[Master name]]="","",IF(N70="SFG-Water","",IF(AND(N70&lt;&gt;0,P70&lt;&gt;0),"Ok","Error")))</f>
        <v>Ok</v>
      </c>
    </row>
    <row r="71" spans="1:17">
      <c r="A71" s="98" t="str">
        <f>IF(LEFT(BalCom[[#This Row],[Code]],3)="NBR","NBR","CHE")</f>
        <v>CHE</v>
      </c>
      <c r="C71" s="11" t="s">
        <v>629</v>
      </c>
      <c r="D71" s="11" t="s">
        <v>652</v>
      </c>
      <c r="E71" s="11" t="s">
        <v>639</v>
      </c>
      <c r="F71" s="91" t="s">
        <v>295</v>
      </c>
      <c r="G71" s="506">
        <v>0.55000000000000004</v>
      </c>
      <c r="H71" s="11">
        <v>18.128</v>
      </c>
      <c r="I71" s="13">
        <v>2740.4039999999995</v>
      </c>
      <c r="J71" s="11"/>
      <c r="K71" s="12">
        <f>SUMIFS(H:H,C:C,BalCom[[#This Row],[Name]],D:D,BalCom[[#This Row],[Master name]])</f>
        <v>2198.9264000000003</v>
      </c>
      <c r="L71" s="12">
        <f>IFERROR(BalCom[[#This Row],[Balance (Kg)]]*BalCom[[#This Row],[Dry Kg]]/BalCom[[#This Row],[Total Dry Kg]],0)</f>
        <v>22.591953833470725</v>
      </c>
      <c r="M71" s="12">
        <f>IF(D71="","",BalCom[[#This Row],[Bal. Kg Dry]]/BalCom[[#This Row],[TSC]])</f>
        <v>41.076279697219498</v>
      </c>
      <c r="N71" s="97" t="str">
        <f>IF(_xlfn.XLOOKUP(BalCom[[#This Row],[Code]],Info!B:B,Info!D:D,0)=0,BalCom[[#This Row],[Code]],(_xlfn.XLOOKUP(BalCom[[#This Row],[Code]],Info!B:B,Info!D:D,0)))</f>
        <v>CH222</v>
      </c>
      <c r="O71" s="12">
        <f>IF(BalCom[[#This Row],[New Code]]="SFG-Water",0,_xlfn.XLOOKUP(BalCom[[#This Row],[New Code]],Used_before_Trf!A:A,Used_before_Trf!U:U,""))</f>
        <v>42.341880945075175</v>
      </c>
      <c r="P71" s="12">
        <f>IF(D71="","",ROUND((BalCom[[#This Row],[Price]]*BalCom[[#This Row],[Bal. Kg Wet]]),2))</f>
        <v>1739.25</v>
      </c>
      <c r="Q71" s="443" t="str">
        <f>IF(BalCom[[#This Row],[Master name]]="","",IF(N71="SFG-Water","",IF(AND(N71&lt;&gt;0,P71&lt;&gt;0),"Ok","Error")))</f>
        <v>Ok</v>
      </c>
    </row>
    <row r="72" spans="1:17">
      <c r="A72" s="98" t="str">
        <f>IF(LEFT(BalCom[[#This Row],[Code]],3)="NBR","NBR","CHE")</f>
        <v>CHE</v>
      </c>
      <c r="C72" s="11" t="s">
        <v>629</v>
      </c>
      <c r="D72" s="11" t="s">
        <v>652</v>
      </c>
      <c r="E72" s="11" t="s">
        <v>640</v>
      </c>
      <c r="F72" s="546" t="s">
        <v>211</v>
      </c>
      <c r="G72" s="506">
        <v>0.5</v>
      </c>
      <c r="H72" s="11">
        <v>18.128</v>
      </c>
      <c r="I72" s="13">
        <v>2740.4039999999995</v>
      </c>
      <c r="J72" s="11"/>
      <c r="K72" s="12">
        <f>SUMIFS(H:H,C:C,BalCom[[#This Row],[Name]],D:D,BalCom[[#This Row],[Master name]])</f>
        <v>2198.9264000000003</v>
      </c>
      <c r="L72" s="12">
        <f>IFERROR(BalCom[[#This Row],[Balance (Kg)]]*BalCom[[#This Row],[Dry Kg]]/BalCom[[#This Row],[Total Dry Kg]],0)</f>
        <v>22.591953833470725</v>
      </c>
      <c r="M72" s="12">
        <f>IF(D72="","",BalCom[[#This Row],[Bal. Kg Dry]]/BalCom[[#This Row],[TSC]])</f>
        <v>45.183907666941451</v>
      </c>
      <c r="N72" s="97" t="str">
        <f>IF(_xlfn.XLOOKUP(BalCom[[#This Row],[Code]],Info!B:B,Info!D:D,0)=0,BalCom[[#This Row],[Code]],(_xlfn.XLOOKUP(BalCom[[#This Row],[Code]],Info!B:B,Info!D:D,0)))</f>
        <v>CH140</v>
      </c>
      <c r="O72" s="12">
        <f>IF(BalCom[[#This Row],[New Code]]="SFG-Water",0,_xlfn.XLOOKUP(BalCom[[#This Row],[New Code]],Used_before_Trf!A:A,Used_before_Trf!U:U,""))</f>
        <v>57.918555023923446</v>
      </c>
      <c r="P72" s="12">
        <f>IF(D72="","",ROUND((BalCom[[#This Row],[Price]]*BalCom[[#This Row],[Bal. Kg Wet]]),2))</f>
        <v>2616.9899999999998</v>
      </c>
      <c r="Q72" s="443" t="str">
        <f>IF(BalCom[[#This Row],[Master name]]="","",IF(N72="SFG-Water","",IF(AND(N72&lt;&gt;0,P72&lt;&gt;0),"Ok","Error")))</f>
        <v>Ok</v>
      </c>
    </row>
    <row r="73" spans="1:17">
      <c r="A73" s="98" t="str">
        <f>IF(LEFT(BalCom[[#This Row],[Code]],3)="NBR","NBR","CHE")</f>
        <v>NBR</v>
      </c>
      <c r="C73" s="11" t="s">
        <v>629</v>
      </c>
      <c r="D73" s="11" t="s">
        <v>653</v>
      </c>
      <c r="E73" s="11" t="s">
        <v>647</v>
      </c>
      <c r="F73" s="91" t="s">
        <v>508</v>
      </c>
      <c r="G73" s="506">
        <v>0.44069999999999998</v>
      </c>
      <c r="H73" s="11">
        <v>1826</v>
      </c>
      <c r="I73" s="13">
        <v>1549.326</v>
      </c>
      <c r="J73" s="11"/>
      <c r="K73" s="12">
        <f>SUMIFS(H:H,C:C,BalCom[[#This Row],[Name]],D:D,BalCom[[#This Row],[Master name]])</f>
        <v>2198.5039999999999</v>
      </c>
      <c r="L73" s="12">
        <f>IFERROR(BalCom[[#This Row],[Balance (Kg)]]*BalCom[[#This Row],[Dry Kg]]/BalCom[[#This Row],[Total Dry Kg]],0)</f>
        <v>1286.8156146179404</v>
      </c>
      <c r="M73" s="12">
        <f>IF(D73="","",BalCom[[#This Row],[Bal. Kg Dry]]/BalCom[[#This Row],[TSC]])</f>
        <v>2919.9355902381221</v>
      </c>
      <c r="N73" s="97" t="str">
        <f>IF(_xlfn.XLOOKUP(BalCom[[#This Row],[Code]],Info!B:B,Info!D:D,0)=0,BalCom[[#This Row],[Code]],(_xlfn.XLOOKUP(BalCom[[#This Row],[Code]],Info!B:B,Info!D:D,0)))</f>
        <v>NBR30</v>
      </c>
      <c r="O73" s="12">
        <f>IF(BalCom[[#This Row],[New Code]]="SFG-Water",0,_xlfn.XLOOKUP(BalCom[[#This Row],[New Code]],Used_before_Trf!A:A,Used_before_Trf!U:U,""))</f>
        <v>38.308109507736226</v>
      </c>
      <c r="P73" s="12">
        <f>IF(D73="","",ROUND((BalCom[[#This Row],[Price]]*BalCom[[#This Row],[Bal. Kg Wet]]),2))</f>
        <v>111857.21</v>
      </c>
      <c r="Q73" s="443" t="str">
        <f>IF(BalCom[[#This Row],[Master name]]="","",IF(N73="SFG-Water","",IF(AND(N73&lt;&gt;0,P73&lt;&gt;0),"Ok","Error")))</f>
        <v>Ok</v>
      </c>
    </row>
    <row r="74" spans="1:17">
      <c r="A74" s="98" t="str">
        <f>IF(LEFT(BalCom[[#This Row],[Code]],3)="NBR","NBR","CHE")</f>
        <v>CHE</v>
      </c>
      <c r="C74" s="11" t="s">
        <v>629</v>
      </c>
      <c r="D74" s="11" t="s">
        <v>653</v>
      </c>
      <c r="E74" s="11" t="s">
        <v>632</v>
      </c>
      <c r="F74" s="546" t="s">
        <v>277</v>
      </c>
      <c r="G74" s="506">
        <v>0.03</v>
      </c>
      <c r="H74" s="11">
        <v>2.1285809819999999</v>
      </c>
      <c r="I74" s="13">
        <v>1549.326</v>
      </c>
      <c r="J74" s="11"/>
      <c r="K74" s="12">
        <f>SUMIFS(H:H,C:C,BalCom[[#This Row],[Name]],D:D,BalCom[[#This Row],[Master name]])</f>
        <v>2198.5039999999999</v>
      </c>
      <c r="L74" s="12">
        <f>IFERROR(BalCom[[#This Row],[Balance (Kg)]]*BalCom[[#This Row],[Dry Kg]]/BalCom[[#This Row],[Total Dry Kg]],0)</f>
        <v>1.5000499696694352</v>
      </c>
      <c r="M74" s="12">
        <f>IF(D74="","",BalCom[[#This Row],[Bal. Kg Dry]]/BalCom[[#This Row],[TSC]])</f>
        <v>50.001665655647841</v>
      </c>
      <c r="N74" s="97" t="str">
        <f>IF(_xlfn.XLOOKUP(BalCom[[#This Row],[Code]],Info!B:B,Info!D:D,0)=0,BalCom[[#This Row],[Code]],(_xlfn.XLOOKUP(BalCom[[#This Row],[Code]],Info!B:B,Info!D:D,0)))</f>
        <v>CH212</v>
      </c>
      <c r="O74" s="12">
        <f>IF(BalCom[[#This Row],[New Code]]="SFG-Water",0,_xlfn.XLOOKUP(BalCom[[#This Row],[New Code]],Used_before_Trf!A:A,Used_before_Trf!U:U,""))</f>
        <v>32.035420833333333</v>
      </c>
      <c r="P74" s="12">
        <f>IF(D74="","",ROUND((BalCom[[#This Row],[Price]]*BalCom[[#This Row],[Bal. Kg Wet]]),2))</f>
        <v>1601.82</v>
      </c>
      <c r="Q74" s="443" t="str">
        <f>IF(BalCom[[#This Row],[Master name]]="","",IF(N74="SFG-Water","",IF(AND(N74&lt;&gt;0,P74&lt;&gt;0),"Ok","Error")))</f>
        <v>Ok</v>
      </c>
    </row>
    <row r="75" spans="1:17">
      <c r="A75" s="98" t="str">
        <f>IF(LEFT(BalCom[[#This Row],[Code]],3)="NBR","NBR","CHE")</f>
        <v>CHE</v>
      </c>
      <c r="C75" s="11" t="s">
        <v>629</v>
      </c>
      <c r="D75" s="11" t="s">
        <v>653</v>
      </c>
      <c r="E75" s="11" t="s">
        <v>633</v>
      </c>
      <c r="F75" s="91" t="s">
        <v>497</v>
      </c>
      <c r="G75" s="99">
        <v>0.03</v>
      </c>
      <c r="H75" s="12">
        <v>28.913419017999999</v>
      </c>
      <c r="I75" s="12">
        <v>1549.326</v>
      </c>
      <c r="K75" s="12">
        <f>SUMIFS(H:H,C:C,BalCom[[#This Row],[Name]],D:D,BalCom[[#This Row],[Master name]])</f>
        <v>2198.5039999999999</v>
      </c>
      <c r="L75" s="12">
        <f>IFERROR(BalCom[[#This Row],[Balance (Kg)]]*BalCom[[#This Row],[Dry Kg]]/BalCom[[#This Row],[Total Dry Kg]],0)</f>
        <v>20.375815478835548</v>
      </c>
      <c r="M75" s="12">
        <f>IF(D75="","",BalCom[[#This Row],[Bal. Kg Dry]]/BalCom[[#This Row],[TSC]])</f>
        <v>679.19384929451826</v>
      </c>
      <c r="N75" s="97" t="str">
        <f>IF(_xlfn.XLOOKUP(BalCom[[#This Row],[Code]],Info!B:B,Info!D:D,0)=0,BalCom[[#This Row],[Code]],(_xlfn.XLOOKUP(BalCom[[#This Row],[Code]],Info!B:B,Info!D:D,0)))</f>
        <v>SFG-Water</v>
      </c>
      <c r="O75" s="12">
        <f>IF(BalCom[[#This Row],[New Code]]="SFG-Water",0,_xlfn.XLOOKUP(BalCom[[#This Row],[New Code]],Used_before_Trf!A:A,Used_before_Trf!U:U,""))</f>
        <v>0</v>
      </c>
      <c r="P75" s="12">
        <f>IF(D75="","",ROUND((BalCom[[#This Row],[Price]]*BalCom[[#This Row],[Bal. Kg Wet]]),2))</f>
        <v>0</v>
      </c>
      <c r="Q75" s="443" t="str">
        <f>IF(BalCom[[#This Row],[Master name]]="","",IF(N75="SFG-Water","",IF(AND(N75&lt;&gt;0,P75&lt;&gt;0),"Ok","Error")))</f>
        <v/>
      </c>
    </row>
    <row r="76" spans="1:17">
      <c r="A76" s="98" t="str">
        <f>IF(LEFT(BalCom[[#This Row],[Code]],3)="NBR","NBR","CHE")</f>
        <v>CHE</v>
      </c>
      <c r="C76" s="11" t="s">
        <v>629</v>
      </c>
      <c r="D76" s="11" t="s">
        <v>653</v>
      </c>
      <c r="E76" s="11" t="s">
        <v>634</v>
      </c>
      <c r="F76" s="91" t="s">
        <v>303</v>
      </c>
      <c r="G76" s="506">
        <v>0.15</v>
      </c>
      <c r="H76" s="11">
        <v>5.4779999999999998</v>
      </c>
      <c r="I76" s="13">
        <v>1549.326</v>
      </c>
      <c r="J76" s="11"/>
      <c r="K76" s="12">
        <f>SUMIFS(H:H,C:C,BalCom[[#This Row],[Name]],D:D,BalCom[[#This Row],[Master name]])</f>
        <v>2198.5039999999999</v>
      </c>
      <c r="L76" s="12">
        <f>IFERROR(BalCom[[#This Row],[Balance (Kg)]]*BalCom[[#This Row],[Dry Kg]]/BalCom[[#This Row],[Total Dry Kg]],0)</f>
        <v>3.8604468438538211</v>
      </c>
      <c r="M76" s="12">
        <f>IF(D76="","",BalCom[[#This Row],[Bal. Kg Dry]]/BalCom[[#This Row],[TSC]])</f>
        <v>25.736312292358807</v>
      </c>
      <c r="N76" s="97" t="str">
        <f>IF(_xlfn.XLOOKUP(BalCom[[#This Row],[Code]],Info!B:B,Info!D:D,0)=0,BalCom[[#This Row],[Code]],(_xlfn.XLOOKUP(BalCom[[#This Row],[Code]],Info!B:B,Info!D:D,0)))</f>
        <v>CH227</v>
      </c>
      <c r="O76" s="12">
        <f>IF(BalCom[[#This Row],[New Code]]="SFG-Water",0,_xlfn.XLOOKUP(BalCom[[#This Row],[New Code]],Used_before_Trf!A:A,Used_before_Trf!U:U,""))</f>
        <v>14.054039924978982</v>
      </c>
      <c r="P76" s="12">
        <f>IF(D76="","",ROUND((BalCom[[#This Row],[Price]]*BalCom[[#This Row],[Bal. Kg Wet]]),2))</f>
        <v>361.7</v>
      </c>
      <c r="Q76" s="443" t="str">
        <f>IF(BalCom[[#This Row],[Master name]]="","",IF(N76="SFG-Water","",IF(AND(N76&lt;&gt;0,P76&lt;&gt;0),"Ok","Error")))</f>
        <v>Ok</v>
      </c>
    </row>
    <row r="77" spans="1:17">
      <c r="A77" s="98" t="str">
        <f>IF(LEFT(BalCom[[#This Row],[Code]],3)="NBR","NBR","CHE")</f>
        <v>CHE</v>
      </c>
      <c r="C77" s="11" t="s">
        <v>629</v>
      </c>
      <c r="D77" s="11" t="s">
        <v>653</v>
      </c>
      <c r="E77" s="11" t="s">
        <v>635</v>
      </c>
      <c r="F77" s="91" t="s">
        <v>348</v>
      </c>
      <c r="G77" s="506">
        <v>0.6</v>
      </c>
      <c r="H77" s="11">
        <v>14.608000000000001</v>
      </c>
      <c r="I77" s="13">
        <v>1549.326</v>
      </c>
      <c r="J77" s="11"/>
      <c r="K77" s="12">
        <f>SUMIFS(H:H,C:C,BalCom[[#This Row],[Name]],D:D,BalCom[[#This Row],[Master name]])</f>
        <v>2198.5039999999999</v>
      </c>
      <c r="L77" s="12">
        <f>IFERROR(BalCom[[#This Row],[Balance (Kg)]]*BalCom[[#This Row],[Dry Kg]]/BalCom[[#This Row],[Total Dry Kg]],0)</f>
        <v>10.294524916943523</v>
      </c>
      <c r="M77" s="12">
        <f>IF(D77="","",BalCom[[#This Row],[Bal. Kg Dry]]/BalCom[[#This Row],[TSC]])</f>
        <v>17.157541528239207</v>
      </c>
      <c r="N77" s="97" t="str">
        <f>IF(_xlfn.XLOOKUP(BalCom[[#This Row],[Code]],Info!B:B,Info!D:D,0)=0,BalCom[[#This Row],[Code]],(_xlfn.XLOOKUP(BalCom[[#This Row],[Code]],Info!B:B,Info!D:D,0)))</f>
        <v>CH93</v>
      </c>
      <c r="O77" s="12">
        <f>IF(BalCom[[#This Row],[New Code]]="SFG-Water",0,_xlfn.XLOOKUP(BalCom[[#This Row],[New Code]],Used_before_Trf!A:A,Used_before_Trf!U:U,""))</f>
        <v>69.839849490925189</v>
      </c>
      <c r="P77" s="12">
        <f>IF(D77="","",ROUND((BalCom[[#This Row],[Price]]*BalCom[[#This Row],[Bal. Kg Wet]]),2))</f>
        <v>1198.28</v>
      </c>
      <c r="Q77" s="443" t="str">
        <f>IF(BalCom[[#This Row],[Master name]]="","",IF(N77="SFG-Water","",IF(AND(N77&lt;&gt;0,P77&lt;&gt;0),"Ok","Error")))</f>
        <v>Ok</v>
      </c>
    </row>
    <row r="78" spans="1:17">
      <c r="A78" s="98" t="str">
        <f>IF(LEFT(BalCom[[#This Row],[Code]],3)="NBR","NBR","CHE")</f>
        <v>CHE</v>
      </c>
      <c r="C78" s="11" t="s">
        <v>629</v>
      </c>
      <c r="D78" s="11" t="s">
        <v>653</v>
      </c>
      <c r="E78" s="11" t="s">
        <v>636</v>
      </c>
      <c r="F78" s="91" t="s">
        <v>346</v>
      </c>
      <c r="G78" s="506">
        <v>0.6</v>
      </c>
      <c r="H78" s="11">
        <v>18.260000000000002</v>
      </c>
      <c r="I78" s="13">
        <v>1549.326</v>
      </c>
      <c r="J78" s="11"/>
      <c r="K78" s="12">
        <f>SUMIFS(H:H,C:C,BalCom[[#This Row],[Name]],D:D,BalCom[[#This Row],[Master name]])</f>
        <v>2198.5039999999999</v>
      </c>
      <c r="L78" s="12">
        <f>IFERROR(BalCom[[#This Row],[Balance (Kg)]]*BalCom[[#This Row],[Dry Kg]]/BalCom[[#This Row],[Total Dry Kg]],0)</f>
        <v>12.868156146179404</v>
      </c>
      <c r="M78" s="12">
        <f>IF(D78="","",BalCom[[#This Row],[Bal. Kg Dry]]/BalCom[[#This Row],[TSC]])</f>
        <v>21.446926910299005</v>
      </c>
      <c r="N78" s="97" t="str">
        <f>IF(_xlfn.XLOOKUP(BalCom[[#This Row],[Code]],Info!B:B,Info!D:D,0)=0,BalCom[[#This Row],[Code]],(_xlfn.XLOOKUP(BalCom[[#This Row],[Code]],Info!B:B,Info!D:D,0)))</f>
        <v>CH92</v>
      </c>
      <c r="O78" s="12">
        <f>IF(BalCom[[#This Row],[New Code]]="SFG-Water",0,_xlfn.XLOOKUP(BalCom[[#This Row],[New Code]],Used_before_Trf!A:A,Used_before_Trf!U:U,""))</f>
        <v>28.016027710254928</v>
      </c>
      <c r="P78" s="12">
        <f>IF(D78="","",ROUND((BalCom[[#This Row],[Price]]*BalCom[[#This Row],[Bal. Kg Wet]]),2))</f>
        <v>600.86</v>
      </c>
      <c r="Q78" s="443" t="str">
        <f>IF(BalCom[[#This Row],[Master name]]="","",IF(N78="SFG-Water","",IF(AND(N78&lt;&gt;0,P78&lt;&gt;0),"Ok","Error")))</f>
        <v>Ok</v>
      </c>
    </row>
    <row r="79" spans="1:17">
      <c r="A79" s="98" t="str">
        <f>IF(LEFT(BalCom[[#This Row],[Code]],3)="NBR","NBR","CHE")</f>
        <v>CHE</v>
      </c>
      <c r="C79" s="11" t="s">
        <v>629</v>
      </c>
      <c r="D79" s="11" t="s">
        <v>653</v>
      </c>
      <c r="E79" s="11" t="s">
        <v>637</v>
      </c>
      <c r="F79" s="91" t="s">
        <v>344</v>
      </c>
      <c r="G79" s="506">
        <v>0.5</v>
      </c>
      <c r="H79" s="11">
        <v>10.956</v>
      </c>
      <c r="I79" s="13">
        <v>1549.326</v>
      </c>
      <c r="J79" s="11"/>
      <c r="K79" s="12">
        <f>SUMIFS(H:H,C:C,BalCom[[#This Row],[Name]],D:D,BalCom[[#This Row],[Master name]])</f>
        <v>2198.5039999999999</v>
      </c>
      <c r="L79" s="12">
        <f>IFERROR(BalCom[[#This Row],[Balance (Kg)]]*BalCom[[#This Row],[Dry Kg]]/BalCom[[#This Row],[Total Dry Kg]],0)</f>
        <v>7.7208936877076422</v>
      </c>
      <c r="M79" s="12">
        <f>IF(D79="","",BalCom[[#This Row],[Bal. Kg Dry]]/BalCom[[#This Row],[TSC]])</f>
        <v>15.441787375415284</v>
      </c>
      <c r="N79" s="97" t="str">
        <f>IF(_xlfn.XLOOKUP(BalCom[[#This Row],[Code]],Info!B:B,Info!D:D,0)=0,BalCom[[#This Row],[Code]],(_xlfn.XLOOKUP(BalCom[[#This Row],[Code]],Info!B:B,Info!D:D,0)))</f>
        <v>CH91</v>
      </c>
      <c r="O79" s="12">
        <f>IF(BalCom[[#This Row],[New Code]]="SFG-Water",0,_xlfn.XLOOKUP(BalCom[[#This Row],[New Code]],Used_before_Trf!A:A,Used_before_Trf!U:U,""))</f>
        <v>50.317319152837626</v>
      </c>
      <c r="P79" s="12">
        <f>IF(D79="","",ROUND((BalCom[[#This Row],[Price]]*BalCom[[#This Row],[Bal. Kg Wet]]),2))</f>
        <v>776.99</v>
      </c>
      <c r="Q79" s="443" t="str">
        <f>IF(BalCom[[#This Row],[Master name]]="","",IF(N79="SFG-Water","",IF(AND(N79&lt;&gt;0,P79&lt;&gt;0),"Ok","Error")))</f>
        <v>Ok</v>
      </c>
    </row>
    <row r="80" spans="1:17">
      <c r="A80" s="98" t="str">
        <f>IF(LEFT(BalCom[[#This Row],[Code]],3)="NBR","NBR","CHE")</f>
        <v>CHE</v>
      </c>
      <c r="C80" s="11" t="s">
        <v>629</v>
      </c>
      <c r="D80" s="11" t="s">
        <v>653</v>
      </c>
      <c r="E80" s="11" t="s">
        <v>644</v>
      </c>
      <c r="F80" s="91" t="s">
        <v>279</v>
      </c>
      <c r="G80" s="506">
        <v>0.65</v>
      </c>
      <c r="H80" s="11">
        <v>273.89999999999998</v>
      </c>
      <c r="I80" s="13">
        <v>1549.326</v>
      </c>
      <c r="J80" s="11"/>
      <c r="K80" s="12">
        <f>SUMIFS(H:H,C:C,BalCom[[#This Row],[Name]],D:D,BalCom[[#This Row],[Master name]])</f>
        <v>2198.5039999999999</v>
      </c>
      <c r="L80" s="12">
        <f>IFERROR(BalCom[[#This Row],[Balance (Kg)]]*BalCom[[#This Row],[Dry Kg]]/BalCom[[#This Row],[Total Dry Kg]],0)</f>
        <v>193.02234219269101</v>
      </c>
      <c r="M80" s="12">
        <f>IF(D80="","",BalCom[[#This Row],[Bal. Kg Dry]]/BalCom[[#This Row],[TSC]])</f>
        <v>296.95744952721691</v>
      </c>
      <c r="N80" s="97" t="str">
        <f>IF(_xlfn.XLOOKUP(BalCom[[#This Row],[Code]],Info!B:B,Info!D:D,0)=0,BalCom[[#This Row],[Code]],(_xlfn.XLOOKUP(BalCom[[#This Row],[Code]],Info!B:B,Info!D:D,0)))</f>
        <v>CH215</v>
      </c>
      <c r="O80" s="12">
        <f>IF(BalCom[[#This Row],[New Code]]="SFG-Water",0,_xlfn.XLOOKUP(BalCom[[#This Row],[New Code]],Used_before_Trf!A:A,Used_before_Trf!U:U,""))</f>
        <v>20.738312000000001</v>
      </c>
      <c r="P80" s="12">
        <f>IF(D80="","",ROUND((BalCom[[#This Row],[Price]]*BalCom[[#This Row],[Bal. Kg Wet]]),2))</f>
        <v>6158.4</v>
      </c>
      <c r="Q80" s="443" t="str">
        <f>IF(BalCom[[#This Row],[Master name]]="","",IF(N80="SFG-Water","",IF(AND(N80&lt;&gt;0,P80&lt;&gt;0),"Ok","Error")))</f>
        <v>Ok</v>
      </c>
    </row>
    <row r="81" spans="1:17">
      <c r="A81" s="98" t="str">
        <f>IF(LEFT(BalCom[[#This Row],[Code]],3)="NBR","NBR","CHE")</f>
        <v>CHE</v>
      </c>
      <c r="C81" s="11" t="s">
        <v>629</v>
      </c>
      <c r="D81" s="11" t="s">
        <v>653</v>
      </c>
      <c r="E81" s="11" t="s">
        <v>640</v>
      </c>
      <c r="F81" s="546" t="s">
        <v>211</v>
      </c>
      <c r="G81" s="506">
        <v>0.5</v>
      </c>
      <c r="H81" s="11">
        <v>18.260000000000002</v>
      </c>
      <c r="I81" s="13">
        <v>1549.326</v>
      </c>
      <c r="J81" s="11"/>
      <c r="K81" s="12">
        <f>SUMIFS(H:H,C:C,BalCom[[#This Row],[Name]],D:D,BalCom[[#This Row],[Master name]])</f>
        <v>2198.5039999999999</v>
      </c>
      <c r="L81" s="12">
        <f>IFERROR(BalCom[[#This Row],[Balance (Kg)]]*BalCom[[#This Row],[Dry Kg]]/BalCom[[#This Row],[Total Dry Kg]],0)</f>
        <v>12.868156146179404</v>
      </c>
      <c r="M81" s="12">
        <f>IF(D81="","",BalCom[[#This Row],[Bal. Kg Dry]]/BalCom[[#This Row],[TSC]])</f>
        <v>25.736312292358807</v>
      </c>
      <c r="N81" s="97" t="str">
        <f>IF(_xlfn.XLOOKUP(BalCom[[#This Row],[Code]],Info!B:B,Info!D:D,0)=0,BalCom[[#This Row],[Code]],(_xlfn.XLOOKUP(BalCom[[#This Row],[Code]],Info!B:B,Info!D:D,0)))</f>
        <v>CH140</v>
      </c>
      <c r="O81" s="12">
        <f>IF(BalCom[[#This Row],[New Code]]="SFG-Water",0,_xlfn.XLOOKUP(BalCom[[#This Row],[New Code]],Used_before_Trf!A:A,Used_before_Trf!U:U,""))</f>
        <v>57.918555023923446</v>
      </c>
      <c r="P81" s="12">
        <f>IF(D81="","",ROUND((BalCom[[#This Row],[Price]]*BalCom[[#This Row],[Bal. Kg Wet]]),2))</f>
        <v>1490.61</v>
      </c>
      <c r="Q81" s="443" t="str">
        <f>IF(BalCom[[#This Row],[Master name]]="","",IF(N81="SFG-Water","",IF(AND(N81&lt;&gt;0,P81&lt;&gt;0),"Ok","Error")))</f>
        <v>Ok</v>
      </c>
    </row>
    <row r="82" spans="1:17">
      <c r="A82" s="98" t="str">
        <f>IF(LEFT(BalCom[[#This Row],[Code]],3)="NBR","NBR","CHE")</f>
        <v>NBR</v>
      </c>
      <c r="C82" s="11" t="s">
        <v>629</v>
      </c>
      <c r="D82" s="11" t="s">
        <v>654</v>
      </c>
      <c r="E82" s="11" t="s">
        <v>631</v>
      </c>
      <c r="F82" s="91" t="s">
        <v>502</v>
      </c>
      <c r="G82" s="506">
        <v>0.4496</v>
      </c>
      <c r="H82" s="11">
        <v>1080</v>
      </c>
      <c r="I82" s="13">
        <v>846.3</v>
      </c>
      <c r="J82" s="11"/>
      <c r="K82" s="12">
        <f>SUMIFS(H:H,C:C,BalCom[[#This Row],[Name]],D:D,BalCom[[#This Row],[Master name]])</f>
        <v>1196.6399999999999</v>
      </c>
      <c r="L82" s="12">
        <f>IFERROR(BalCom[[#This Row],[Balance (Kg)]]*BalCom[[#This Row],[Dry Kg]]/BalCom[[#This Row],[Total Dry Kg]],0)</f>
        <v>763.80866425992792</v>
      </c>
      <c r="M82" s="12">
        <f>IF(D82="","",BalCom[[#This Row],[Bal. Kg Dry]]/BalCom[[#This Row],[TSC]])</f>
        <v>1698.8626874108718</v>
      </c>
      <c r="N82" s="97" t="str">
        <f>IF(_xlfn.XLOOKUP(BalCom[[#This Row],[Code]],Info!B:B,Info!D:D,0)=0,BalCom[[#This Row],[Code]],(_xlfn.XLOOKUP(BalCom[[#This Row],[Code]],Info!B:B,Info!D:D,0)))</f>
        <v>NBR01</v>
      </c>
      <c r="O82" s="12">
        <f>IF(BalCom[[#This Row],[New Code]]="SFG-Water",0,_xlfn.XLOOKUP(BalCom[[#This Row],[New Code]],Used_before_Trf!A:A,Used_before_Trf!U:U,""))</f>
        <v>50.516914477361652</v>
      </c>
      <c r="P82" s="12">
        <f>IF(D82="","",ROUND((BalCom[[#This Row],[Price]]*BalCom[[#This Row],[Bal. Kg Wet]]),2))</f>
        <v>85821.3</v>
      </c>
      <c r="Q82" s="443" t="str">
        <f>IF(BalCom[[#This Row],[Master name]]="","",IF(N82="SFG-Water","",IF(AND(N82&lt;&gt;0,P82&lt;&gt;0),"Ok","Error")))</f>
        <v>Ok</v>
      </c>
    </row>
    <row r="83" spans="1:17">
      <c r="A83" s="98" t="str">
        <f>IF(LEFT(BalCom[[#This Row],[Code]],3)="NBR","NBR","CHE")</f>
        <v>CHE</v>
      </c>
      <c r="C83" s="11" t="s">
        <v>629</v>
      </c>
      <c r="D83" s="11" t="s">
        <v>654</v>
      </c>
      <c r="E83" s="11" t="s">
        <v>632</v>
      </c>
      <c r="F83" s="546" t="s">
        <v>277</v>
      </c>
      <c r="G83" s="506">
        <v>0.03</v>
      </c>
      <c r="H83" s="11">
        <v>1.2622500000000001</v>
      </c>
      <c r="I83" s="13">
        <v>846.3</v>
      </c>
      <c r="J83" s="11"/>
      <c r="K83" s="12">
        <f>SUMIFS(H:H,C:C,BalCom[[#This Row],[Name]],D:D,BalCom[[#This Row],[Master name]])</f>
        <v>1196.6399999999999</v>
      </c>
      <c r="L83" s="12">
        <f>IFERROR(BalCom[[#This Row],[Balance (Kg)]]*BalCom[[#This Row],[Dry Kg]]/BalCom[[#This Row],[Total Dry Kg]],0)</f>
        <v>0.89270137635379077</v>
      </c>
      <c r="M83" s="12">
        <f>IF(D83="","",BalCom[[#This Row],[Bal. Kg Dry]]/BalCom[[#This Row],[TSC]])</f>
        <v>29.756712545126359</v>
      </c>
      <c r="N83" s="97" t="str">
        <f>IF(_xlfn.XLOOKUP(BalCom[[#This Row],[Code]],Info!B:B,Info!D:D,0)=0,BalCom[[#This Row],[Code]],(_xlfn.XLOOKUP(BalCom[[#This Row],[Code]],Info!B:B,Info!D:D,0)))</f>
        <v>CH212</v>
      </c>
      <c r="O83" s="12">
        <f>IF(BalCom[[#This Row],[New Code]]="SFG-Water",0,_xlfn.XLOOKUP(BalCom[[#This Row],[New Code]],Used_before_Trf!A:A,Used_before_Trf!U:U,""))</f>
        <v>32.035420833333333</v>
      </c>
      <c r="P83" s="12">
        <f>IF(D83="","",ROUND((BalCom[[#This Row],[Price]]*BalCom[[#This Row],[Bal. Kg Wet]]),2))</f>
        <v>953.27</v>
      </c>
      <c r="Q83" s="443" t="str">
        <f>IF(BalCom[[#This Row],[Master name]]="","",IF(N83="SFG-Water","",IF(AND(N83&lt;&gt;0,P83&lt;&gt;0),"Ok","Error")))</f>
        <v>Ok</v>
      </c>
    </row>
    <row r="84" spans="1:17">
      <c r="A84" s="98" t="str">
        <f>IF(LEFT(BalCom[[#This Row],[Code]],3)="NBR","NBR","CHE")</f>
        <v>CHE</v>
      </c>
      <c r="C84" s="11" t="s">
        <v>629</v>
      </c>
      <c r="D84" s="11" t="s">
        <v>654</v>
      </c>
      <c r="E84" s="11" t="s">
        <v>633</v>
      </c>
      <c r="F84" s="91" t="s">
        <v>497</v>
      </c>
      <c r="G84" s="506">
        <v>0.03</v>
      </c>
      <c r="H84" s="11">
        <v>17.097750000000001</v>
      </c>
      <c r="I84" s="13">
        <v>846.3</v>
      </c>
      <c r="J84" s="11"/>
      <c r="K84" s="12">
        <f>SUMIFS(H:H,C:C,BalCom[[#This Row],[Name]],D:D,BalCom[[#This Row],[Master name]])</f>
        <v>1196.6399999999999</v>
      </c>
      <c r="L84" s="12">
        <f>IFERROR(BalCom[[#This Row],[Balance (Kg)]]*BalCom[[#This Row],[Dry Kg]]/BalCom[[#This Row],[Total Dry Kg]],0)</f>
        <v>12.092045916064983</v>
      </c>
      <c r="M84" s="12">
        <f>IF(D84="","",BalCom[[#This Row],[Bal. Kg Dry]]/BalCom[[#This Row],[TSC]])</f>
        <v>403.06819720216612</v>
      </c>
      <c r="N84" s="97" t="str">
        <f>IF(_xlfn.XLOOKUP(BalCom[[#This Row],[Code]],Info!B:B,Info!D:D,0)=0,BalCom[[#This Row],[Code]],(_xlfn.XLOOKUP(BalCom[[#This Row],[Code]],Info!B:B,Info!D:D,0)))</f>
        <v>SFG-Water</v>
      </c>
      <c r="O84" s="12">
        <f>IF(BalCom[[#This Row],[New Code]]="SFG-Water",0,_xlfn.XLOOKUP(BalCom[[#This Row],[New Code]],Used_before_Trf!A:A,Used_before_Trf!U:U,""))</f>
        <v>0</v>
      </c>
      <c r="P84" s="12">
        <f>IF(D84="","",ROUND((BalCom[[#This Row],[Price]]*BalCom[[#This Row],[Bal. Kg Wet]]),2))</f>
        <v>0</v>
      </c>
      <c r="Q84" s="443" t="str">
        <f>IF(BalCom[[#This Row],[Master name]]="","",IF(N84="SFG-Water","",IF(AND(N84&lt;&gt;0,P84&lt;&gt;0),"Ok","Error")))</f>
        <v/>
      </c>
    </row>
    <row r="85" spans="1:17">
      <c r="A85" s="98" t="str">
        <f>IF(LEFT(BalCom[[#This Row],[Code]],3)="NBR","NBR","CHE")</f>
        <v>CHE</v>
      </c>
      <c r="C85" s="11" t="s">
        <v>629</v>
      </c>
      <c r="D85" s="11" t="s">
        <v>654</v>
      </c>
      <c r="E85" s="11" t="s">
        <v>634</v>
      </c>
      <c r="F85" s="91" t="s">
        <v>303</v>
      </c>
      <c r="G85" s="506">
        <v>0.15</v>
      </c>
      <c r="H85" s="11">
        <v>4.32</v>
      </c>
      <c r="I85" s="13">
        <v>846.3</v>
      </c>
      <c r="J85" s="11"/>
      <c r="K85" s="12">
        <f>SUMIFS(H:H,C:C,BalCom[[#This Row],[Name]],D:D,BalCom[[#This Row],[Master name]])</f>
        <v>1196.6399999999999</v>
      </c>
      <c r="L85" s="12">
        <f>IFERROR(BalCom[[#This Row],[Balance (Kg)]]*BalCom[[#This Row],[Dry Kg]]/BalCom[[#This Row],[Total Dry Kg]],0)</f>
        <v>3.0552346570397115</v>
      </c>
      <c r="M85" s="12">
        <f>IF(D85="","",BalCom[[#This Row],[Bal. Kg Dry]]/BalCom[[#This Row],[TSC]])</f>
        <v>20.36823104693141</v>
      </c>
      <c r="N85" s="97" t="str">
        <f>IF(_xlfn.XLOOKUP(BalCom[[#This Row],[Code]],Info!B:B,Info!D:D,0)=0,BalCom[[#This Row],[Code]],(_xlfn.XLOOKUP(BalCom[[#This Row],[Code]],Info!B:B,Info!D:D,0)))</f>
        <v>CH227</v>
      </c>
      <c r="O85" s="12">
        <f>IF(BalCom[[#This Row],[New Code]]="SFG-Water",0,_xlfn.XLOOKUP(BalCom[[#This Row],[New Code]],Used_before_Trf!A:A,Used_before_Trf!U:U,""))</f>
        <v>14.054039924978982</v>
      </c>
      <c r="P85" s="12">
        <f>IF(D85="","",ROUND((BalCom[[#This Row],[Price]]*BalCom[[#This Row],[Bal. Kg Wet]]),2))</f>
        <v>286.26</v>
      </c>
      <c r="Q85" s="443" t="str">
        <f>IF(BalCom[[#This Row],[Master name]]="","",IF(N85="SFG-Water","",IF(AND(N85&lt;&gt;0,P85&lt;&gt;0),"Ok","Error")))</f>
        <v>Ok</v>
      </c>
    </row>
    <row r="86" spans="1:17">
      <c r="A86" s="98" t="str">
        <f>IF(LEFT(BalCom[[#This Row],[Code]],3)="NBR","NBR","CHE")</f>
        <v>CHE</v>
      </c>
      <c r="C86" s="11" t="s">
        <v>629</v>
      </c>
      <c r="D86" s="11" t="s">
        <v>654</v>
      </c>
      <c r="E86" s="11" t="s">
        <v>650</v>
      </c>
      <c r="F86" s="91" t="s">
        <v>239</v>
      </c>
      <c r="G86" s="506">
        <v>0.3</v>
      </c>
      <c r="H86" s="11">
        <v>11.88</v>
      </c>
      <c r="I86" s="13">
        <v>846.3</v>
      </c>
      <c r="J86" s="11"/>
      <c r="K86" s="12">
        <f>SUMIFS(H:H,C:C,BalCom[[#This Row],[Name]],D:D,BalCom[[#This Row],[Master name]])</f>
        <v>1196.6399999999999</v>
      </c>
      <c r="L86" s="12">
        <f>IFERROR(BalCom[[#This Row],[Balance (Kg)]]*BalCom[[#This Row],[Dry Kg]]/BalCom[[#This Row],[Total Dry Kg]],0)</f>
        <v>8.4018953068592062</v>
      </c>
      <c r="M86" s="12">
        <f>IF(D86="","",BalCom[[#This Row],[Bal. Kg Dry]]/BalCom[[#This Row],[TSC]])</f>
        <v>28.00631768953069</v>
      </c>
      <c r="N86" s="97" t="str">
        <f>IF(_xlfn.XLOOKUP(BalCom[[#This Row],[Code]],Info!B:B,Info!D:D,0)=0,BalCom[[#This Row],[Code]],(_xlfn.XLOOKUP(BalCom[[#This Row],[Code]],Info!B:B,Info!D:D,0)))</f>
        <v>CH168</v>
      </c>
      <c r="O86" s="12">
        <f>IF(BalCom[[#This Row],[New Code]]="SFG-Water",0,_xlfn.XLOOKUP(BalCom[[#This Row],[New Code]],Used_before_Trf!A:A,Used_before_Trf!U:U,""))</f>
        <v>58.404505704720911</v>
      </c>
      <c r="P86" s="12">
        <f>IF(D86="","",ROUND((BalCom[[#This Row],[Price]]*BalCom[[#This Row],[Bal. Kg Wet]]),2))</f>
        <v>1635.7</v>
      </c>
      <c r="Q86" s="443" t="str">
        <f>IF(BalCom[[#This Row],[Master name]]="","",IF(N86="SFG-Water","",IF(AND(N86&lt;&gt;0,P86&lt;&gt;0),"Ok","Error")))</f>
        <v>Ok</v>
      </c>
    </row>
    <row r="87" spans="1:17">
      <c r="A87" s="98" t="str">
        <f>IF(LEFT(BalCom[[#This Row],[Code]],3)="NBR","NBR","CHE")</f>
        <v>CHE</v>
      </c>
      <c r="C87" s="11" t="s">
        <v>629</v>
      </c>
      <c r="D87" s="11" t="s">
        <v>654</v>
      </c>
      <c r="E87" s="11" t="s">
        <v>635</v>
      </c>
      <c r="F87" s="91" t="s">
        <v>348</v>
      </c>
      <c r="G87" s="506">
        <v>0.6</v>
      </c>
      <c r="H87" s="11">
        <v>10.8</v>
      </c>
      <c r="I87" s="13">
        <v>846.3</v>
      </c>
      <c r="J87" s="11"/>
      <c r="K87" s="12">
        <f>SUMIFS(H:H,C:C,BalCom[[#This Row],[Name]],D:D,BalCom[[#This Row],[Master name]])</f>
        <v>1196.6399999999999</v>
      </c>
      <c r="L87" s="12">
        <f>IFERROR(BalCom[[#This Row],[Balance (Kg)]]*BalCom[[#This Row],[Dry Kg]]/BalCom[[#This Row],[Total Dry Kg]],0)</f>
        <v>7.6380866425992799</v>
      </c>
      <c r="M87" s="12">
        <f>IF(D87="","",BalCom[[#This Row],[Bal. Kg Dry]]/BalCom[[#This Row],[TSC]])</f>
        <v>12.730144404332133</v>
      </c>
      <c r="N87" s="97" t="str">
        <f>IF(_xlfn.XLOOKUP(BalCom[[#This Row],[Code]],Info!B:B,Info!D:D,0)=0,BalCom[[#This Row],[Code]],(_xlfn.XLOOKUP(BalCom[[#This Row],[Code]],Info!B:B,Info!D:D,0)))</f>
        <v>CH93</v>
      </c>
      <c r="O87" s="12">
        <f>IF(BalCom[[#This Row],[New Code]]="SFG-Water",0,_xlfn.XLOOKUP(BalCom[[#This Row],[New Code]],Used_before_Trf!A:A,Used_before_Trf!U:U,""))</f>
        <v>69.839849490925189</v>
      </c>
      <c r="P87" s="12">
        <f>IF(D87="","",ROUND((BalCom[[#This Row],[Price]]*BalCom[[#This Row],[Bal. Kg Wet]]),2))</f>
        <v>889.07</v>
      </c>
      <c r="Q87" s="443" t="str">
        <f>IF(BalCom[[#This Row],[Master name]]="","",IF(N87="SFG-Water","",IF(AND(N87&lt;&gt;0,P87&lt;&gt;0),"Ok","Error")))</f>
        <v>Ok</v>
      </c>
    </row>
    <row r="88" spans="1:17">
      <c r="A88" s="98" t="str">
        <f>IF(LEFT(BalCom[[#This Row],[Code]],3)="NBR","NBR","CHE")</f>
        <v>CHE</v>
      </c>
      <c r="C88" s="11" t="s">
        <v>629</v>
      </c>
      <c r="D88" s="11" t="s">
        <v>654</v>
      </c>
      <c r="E88" s="11" t="s">
        <v>636</v>
      </c>
      <c r="F88" s="91" t="s">
        <v>346</v>
      </c>
      <c r="G88" s="99">
        <v>0.6</v>
      </c>
      <c r="H88" s="12">
        <v>4.32</v>
      </c>
      <c r="I88" s="12">
        <v>846.3</v>
      </c>
      <c r="K88" s="12">
        <f>SUMIFS(H:H,C:C,BalCom[[#This Row],[Name]],D:D,BalCom[[#This Row],[Master name]])</f>
        <v>1196.6399999999999</v>
      </c>
      <c r="L88" s="12">
        <f>IFERROR(BalCom[[#This Row],[Balance (Kg)]]*BalCom[[#This Row],[Dry Kg]]/BalCom[[#This Row],[Total Dry Kg]],0)</f>
        <v>3.0552346570397115</v>
      </c>
      <c r="M88" s="12">
        <f>IF(D88="","",BalCom[[#This Row],[Bal. Kg Dry]]/BalCom[[#This Row],[TSC]])</f>
        <v>5.0920577617328524</v>
      </c>
      <c r="N88" s="97" t="str">
        <f>IF(_xlfn.XLOOKUP(BalCom[[#This Row],[Code]],Info!B:B,Info!D:D,0)=0,BalCom[[#This Row],[Code]],(_xlfn.XLOOKUP(BalCom[[#This Row],[Code]],Info!B:B,Info!D:D,0)))</f>
        <v>CH92</v>
      </c>
      <c r="O88" s="12">
        <f>IF(BalCom[[#This Row],[New Code]]="SFG-Water",0,_xlfn.XLOOKUP(BalCom[[#This Row],[New Code]],Used_before_Trf!A:A,Used_before_Trf!U:U,""))</f>
        <v>28.016027710254928</v>
      </c>
      <c r="P88" s="12">
        <f>IF(D88="","",ROUND((BalCom[[#This Row],[Price]]*BalCom[[#This Row],[Bal. Kg Wet]]),2))</f>
        <v>142.66</v>
      </c>
      <c r="Q88" s="443" t="str">
        <f>IF(BalCom[[#This Row],[Master name]]="","",IF(N88="SFG-Water","",IF(AND(N88&lt;&gt;0,P88&lt;&gt;0),"Ok","Error")))</f>
        <v>Ok</v>
      </c>
    </row>
    <row r="89" spans="1:17">
      <c r="A89" s="98" t="str">
        <f>IF(LEFT(BalCom[[#This Row],[Code]],3)="NBR","NBR","CHE")</f>
        <v>CHE</v>
      </c>
      <c r="C89" s="11" t="s">
        <v>629</v>
      </c>
      <c r="D89" s="11" t="s">
        <v>654</v>
      </c>
      <c r="E89" s="11" t="s">
        <v>637</v>
      </c>
      <c r="F89" s="91" t="s">
        <v>344</v>
      </c>
      <c r="G89" s="506">
        <v>0.5</v>
      </c>
      <c r="H89" s="11">
        <v>2.16</v>
      </c>
      <c r="I89" s="13">
        <v>846.3</v>
      </c>
      <c r="J89" s="11"/>
      <c r="K89" s="12">
        <f>SUMIFS(H:H,C:C,BalCom[[#This Row],[Name]],D:D,BalCom[[#This Row],[Master name]])</f>
        <v>1196.6399999999999</v>
      </c>
      <c r="L89" s="12">
        <f>IFERROR(BalCom[[#This Row],[Balance (Kg)]]*BalCom[[#This Row],[Dry Kg]]/BalCom[[#This Row],[Total Dry Kg]],0)</f>
        <v>1.5276173285198558</v>
      </c>
      <c r="M89" s="12">
        <f>IF(D89="","",BalCom[[#This Row],[Bal. Kg Dry]]/BalCom[[#This Row],[TSC]])</f>
        <v>3.0552346570397115</v>
      </c>
      <c r="N89" s="97" t="str">
        <f>IF(_xlfn.XLOOKUP(BalCom[[#This Row],[Code]],Info!B:B,Info!D:D,0)=0,BalCom[[#This Row],[Code]],(_xlfn.XLOOKUP(BalCom[[#This Row],[Code]],Info!B:B,Info!D:D,0)))</f>
        <v>CH91</v>
      </c>
      <c r="O89" s="12">
        <f>IF(BalCom[[#This Row],[New Code]]="SFG-Water",0,_xlfn.XLOOKUP(BalCom[[#This Row],[New Code]],Used_before_Trf!A:A,Used_before_Trf!U:U,""))</f>
        <v>50.317319152837626</v>
      </c>
      <c r="P89" s="12">
        <f>IF(D89="","",ROUND((BalCom[[#This Row],[Price]]*BalCom[[#This Row],[Bal. Kg Wet]]),2))</f>
        <v>153.72999999999999</v>
      </c>
      <c r="Q89" s="443" t="str">
        <f>IF(BalCom[[#This Row],[Master name]]="","",IF(N89="SFG-Water","",IF(AND(N89&lt;&gt;0,P89&lt;&gt;0),"Ok","Error")))</f>
        <v>Ok</v>
      </c>
    </row>
    <row r="90" spans="1:17">
      <c r="A90" s="98" t="str">
        <f>IF(LEFT(BalCom[[#This Row],[Code]],3)="NBR","NBR","CHE")</f>
        <v>CHE</v>
      </c>
      <c r="C90" s="11" t="s">
        <v>629</v>
      </c>
      <c r="D90" s="11" t="s">
        <v>654</v>
      </c>
      <c r="E90" s="11" t="s">
        <v>655</v>
      </c>
      <c r="F90" s="91" t="s">
        <v>279</v>
      </c>
      <c r="G90" s="506">
        <v>0.65</v>
      </c>
      <c r="H90" s="11">
        <v>54</v>
      </c>
      <c r="I90" s="13">
        <v>846.3</v>
      </c>
      <c r="J90" s="11"/>
      <c r="K90" s="12">
        <f>SUMIFS(H:H,C:C,BalCom[[#This Row],[Name]],D:D,BalCom[[#This Row],[Master name]])</f>
        <v>1196.6399999999999</v>
      </c>
      <c r="L90" s="12">
        <f>IFERROR(BalCom[[#This Row],[Balance (Kg)]]*BalCom[[#This Row],[Dry Kg]]/BalCom[[#This Row],[Total Dry Kg]],0)</f>
        <v>38.190433212996389</v>
      </c>
      <c r="M90" s="12">
        <f>IF(D90="","",BalCom[[#This Row],[Bal. Kg Dry]]/BalCom[[#This Row],[TSC]])</f>
        <v>58.754512635379058</v>
      </c>
      <c r="N90" s="97" t="str">
        <f>IF(_xlfn.XLOOKUP(BalCom[[#This Row],[Code]],Info!B:B,Info!D:D,0)=0,BalCom[[#This Row],[Code]],(_xlfn.XLOOKUP(BalCom[[#This Row],[Code]],Info!B:B,Info!D:D,0)))</f>
        <v>CH215</v>
      </c>
      <c r="O90" s="12">
        <f>IF(BalCom[[#This Row],[New Code]]="SFG-Water",0,_xlfn.XLOOKUP(BalCom[[#This Row],[New Code]],Used_before_Trf!A:A,Used_before_Trf!U:U,""))</f>
        <v>20.738312000000001</v>
      </c>
      <c r="P90" s="12">
        <f>IF(D90="","",ROUND((BalCom[[#This Row],[Price]]*BalCom[[#This Row],[Bal. Kg Wet]]),2))</f>
        <v>1218.47</v>
      </c>
      <c r="Q90" s="443" t="str">
        <f>IF(BalCom[[#This Row],[Master name]]="","",IF(N90="SFG-Water","",IF(AND(N90&lt;&gt;0,P90&lt;&gt;0),"Ok","Error")))</f>
        <v>Ok</v>
      </c>
    </row>
    <row r="91" spans="1:17">
      <c r="A91" s="98" t="str">
        <f>IF(LEFT(BalCom[[#This Row],[Code]],3)="NBR","NBR","CHE")</f>
        <v>CHE</v>
      </c>
      <c r="C91" s="11" t="s">
        <v>629</v>
      </c>
      <c r="D91" s="11" t="s">
        <v>654</v>
      </c>
      <c r="E91" s="11" t="s">
        <v>651</v>
      </c>
      <c r="F91" s="91" t="s">
        <v>211</v>
      </c>
      <c r="G91" s="506">
        <v>0.5</v>
      </c>
      <c r="H91" s="11">
        <v>10.8</v>
      </c>
      <c r="I91" s="13">
        <v>846.3</v>
      </c>
      <c r="J91" s="11"/>
      <c r="K91" s="12">
        <f>SUMIFS(H:H,C:C,BalCom[[#This Row],[Name]],D:D,BalCom[[#This Row],[Master name]])</f>
        <v>1196.6399999999999</v>
      </c>
      <c r="L91" s="12">
        <f>IFERROR(BalCom[[#This Row],[Balance (Kg)]]*BalCom[[#This Row],[Dry Kg]]/BalCom[[#This Row],[Total Dry Kg]],0)</f>
        <v>7.6380866425992799</v>
      </c>
      <c r="M91" s="12">
        <f>IF(D91="","",BalCom[[#This Row],[Bal. Kg Dry]]/BalCom[[#This Row],[TSC]])</f>
        <v>15.27617328519856</v>
      </c>
      <c r="N91" s="97" t="str">
        <f>IF(_xlfn.XLOOKUP(BalCom[[#This Row],[Code]],Info!B:B,Info!D:D,0)=0,BalCom[[#This Row],[Code]],(_xlfn.XLOOKUP(BalCom[[#This Row],[Code]],Info!B:B,Info!D:D,0)))</f>
        <v>CH140</v>
      </c>
      <c r="O91" s="12">
        <f>IF(BalCom[[#This Row],[New Code]]="SFG-Water",0,_xlfn.XLOOKUP(BalCom[[#This Row],[New Code]],Used_before_Trf!A:A,Used_before_Trf!U:U,""))</f>
        <v>57.918555023923446</v>
      </c>
      <c r="P91" s="12">
        <f>IF(D91="","",ROUND((BalCom[[#This Row],[Price]]*BalCom[[#This Row],[Bal. Kg Wet]]),2))</f>
        <v>884.77</v>
      </c>
      <c r="Q91" s="443" t="str">
        <f>IF(BalCom[[#This Row],[Master name]]="","",IF(N91="SFG-Water","",IF(AND(N91&lt;&gt;0,P91&lt;&gt;0),"Ok","Error")))</f>
        <v>Ok</v>
      </c>
    </row>
    <row r="92" spans="1:17">
      <c r="A92" s="98" t="str">
        <f>IF(LEFT(BalCom[[#This Row],[Code]],3)="NBR","NBR","CHE")</f>
        <v>CHE</v>
      </c>
      <c r="C92" s="11" t="s">
        <v>629</v>
      </c>
      <c r="D92" s="11" t="s">
        <v>656</v>
      </c>
      <c r="E92" s="11" t="s">
        <v>632</v>
      </c>
      <c r="F92" s="546" t="s">
        <v>277</v>
      </c>
      <c r="G92" s="506">
        <v>0.03</v>
      </c>
      <c r="H92" s="11">
        <v>1.8364500000000001</v>
      </c>
      <c r="I92" s="13">
        <v>977.84259999999995</v>
      </c>
      <c r="J92" s="11"/>
      <c r="K92" s="12">
        <f>SUMIFS(H:H,C:C,BalCom[[#This Row],[Name]],D:D,BalCom[[#This Row],[Master name]])</f>
        <v>1900.8926999999999</v>
      </c>
      <c r="L92" s="12">
        <f>IFERROR(BalCom[[#This Row],[Balance (Kg)]]*BalCom[[#This Row],[Dry Kg]]/BalCom[[#This Row],[Total Dry Kg]],0)</f>
        <v>0.94469248199543299</v>
      </c>
      <c r="M92" s="12">
        <f>IF(D92="","",BalCom[[#This Row],[Bal. Kg Dry]]/BalCom[[#This Row],[TSC]])</f>
        <v>31.489749399847767</v>
      </c>
      <c r="N92" s="97" t="str">
        <f>IF(_xlfn.XLOOKUP(BalCom[[#This Row],[Code]],Info!B:B,Info!D:D,0)=0,BalCom[[#This Row],[Code]],(_xlfn.XLOOKUP(BalCom[[#This Row],[Code]],Info!B:B,Info!D:D,0)))</f>
        <v>CH212</v>
      </c>
      <c r="O92" s="12">
        <f>IF(BalCom[[#This Row],[New Code]]="SFG-Water",0,_xlfn.XLOOKUP(BalCom[[#This Row],[New Code]],Used_before_Trf!A:A,Used_before_Trf!U:U,""))</f>
        <v>32.035420833333333</v>
      </c>
      <c r="P92" s="12">
        <f>IF(D92="","",ROUND((BalCom[[#This Row],[Price]]*BalCom[[#This Row],[Bal. Kg Wet]]),2))</f>
        <v>1008.79</v>
      </c>
      <c r="Q92" s="443" t="str">
        <f>IF(BalCom[[#This Row],[Master name]]="","",IF(N92="SFG-Water","",IF(AND(N92&lt;&gt;0,P92&lt;&gt;0),"Ok","Error")))</f>
        <v>Ok</v>
      </c>
    </row>
    <row r="93" spans="1:17">
      <c r="A93" s="98" t="str">
        <f>IF(LEFT(BalCom[[#This Row],[Code]],3)="NBR","NBR","CHE")</f>
        <v>CHE</v>
      </c>
      <c r="C93" s="11" t="s">
        <v>629</v>
      </c>
      <c r="D93" s="11" t="s">
        <v>656</v>
      </c>
      <c r="E93" s="11" t="s">
        <v>633</v>
      </c>
      <c r="F93" s="91" t="s">
        <v>497</v>
      </c>
      <c r="G93" s="506">
        <v>0.03</v>
      </c>
      <c r="H93" s="11">
        <v>24.87555</v>
      </c>
      <c r="I93" s="13">
        <v>977.84259999999995</v>
      </c>
      <c r="J93" s="11"/>
      <c r="K93" s="12">
        <f>SUMIFS(H:H,C:C,BalCom[[#This Row],[Name]],D:D,BalCom[[#This Row],[Master name]])</f>
        <v>1900.8926999999999</v>
      </c>
      <c r="L93" s="12">
        <f>IFERROR(BalCom[[#This Row],[Balance (Kg)]]*BalCom[[#This Row],[Dry Kg]]/BalCom[[#This Row],[Total Dry Kg]],0)</f>
        <v>12.796289074301775</v>
      </c>
      <c r="M93" s="12">
        <f>IF(D93="","",BalCom[[#This Row],[Bal. Kg Dry]]/BalCom[[#This Row],[TSC]])</f>
        <v>426.5429691433925</v>
      </c>
      <c r="N93" s="97" t="str">
        <f>IF(_xlfn.XLOOKUP(BalCom[[#This Row],[Code]],Info!B:B,Info!D:D,0)=0,BalCom[[#This Row],[Code]],(_xlfn.XLOOKUP(BalCom[[#This Row],[Code]],Info!B:B,Info!D:D,0)))</f>
        <v>SFG-Water</v>
      </c>
      <c r="O93" s="12">
        <f>IF(BalCom[[#This Row],[New Code]]="SFG-Water",0,_xlfn.XLOOKUP(BalCom[[#This Row],[New Code]],Used_before_Trf!A:A,Used_before_Trf!U:U,""))</f>
        <v>0</v>
      </c>
      <c r="P93" s="12">
        <f>IF(D93="","",ROUND((BalCom[[#This Row],[Price]]*BalCom[[#This Row],[Bal. Kg Wet]]),2))</f>
        <v>0</v>
      </c>
      <c r="Q93" s="443" t="str">
        <f>IF(BalCom[[#This Row],[Master name]]="","",IF(N93="SFG-Water","",IF(AND(N93&lt;&gt;0,P93&lt;&gt;0),"Ok","Error")))</f>
        <v/>
      </c>
    </row>
    <row r="94" spans="1:17">
      <c r="A94" s="98" t="str">
        <f>IF(LEFT(BalCom[[#This Row],[Code]],3)="NBR","NBR","CHE")</f>
        <v>CHE</v>
      </c>
      <c r="C94" s="11" t="s">
        <v>629</v>
      </c>
      <c r="D94" s="11" t="s">
        <v>656</v>
      </c>
      <c r="E94" s="11" t="s">
        <v>657</v>
      </c>
      <c r="F94" s="91" t="s">
        <v>181</v>
      </c>
      <c r="G94" s="506">
        <v>0.3</v>
      </c>
      <c r="H94" s="11">
        <v>5.0084999999999997</v>
      </c>
      <c r="I94" s="13">
        <v>977.84259999999995</v>
      </c>
      <c r="J94" s="11"/>
      <c r="K94" s="12">
        <f>SUMIFS(H:H,C:C,BalCom[[#This Row],[Name]],D:D,BalCom[[#This Row],[Master name]])</f>
        <v>1900.8926999999999</v>
      </c>
      <c r="L94" s="12">
        <f>IFERROR(BalCom[[#This Row],[Balance (Kg)]]*BalCom[[#This Row],[Dry Kg]]/BalCom[[#This Row],[Total Dry Kg]],0)</f>
        <v>2.5764340418057263</v>
      </c>
      <c r="M94" s="12">
        <f>IF(D94="","",BalCom[[#This Row],[Bal. Kg Dry]]/BalCom[[#This Row],[TSC]])</f>
        <v>8.5881134726857553</v>
      </c>
      <c r="N94" s="97" t="str">
        <f>IF(_xlfn.XLOOKUP(BalCom[[#This Row],[Code]],Info!B:B,Info!D:D,0)=0,BalCom[[#This Row],[Code]],(_xlfn.XLOOKUP(BalCom[[#This Row],[Code]],Info!B:B,Info!D:D,0)))</f>
        <v>CH106</v>
      </c>
      <c r="O94" s="12">
        <f>IF(BalCom[[#This Row],[New Code]]="SFG-Water",0,_xlfn.XLOOKUP(BalCom[[#This Row],[New Code]],Used_before_Trf!A:A,Used_before_Trf!U:U,""))</f>
        <v>32.57468982630273</v>
      </c>
      <c r="P94" s="12">
        <f>IF(D94="","",ROUND((BalCom[[#This Row],[Price]]*BalCom[[#This Row],[Bal. Kg Wet]]),2))</f>
        <v>279.76</v>
      </c>
      <c r="Q94" s="443" t="str">
        <f>IF(BalCom[[#This Row],[Master name]]="","",IF(N94="SFG-Water","",IF(AND(N94&lt;&gt;0,P94&lt;&gt;0),"Ok","Error")))</f>
        <v>Ok</v>
      </c>
    </row>
    <row r="95" spans="1:17">
      <c r="A95" s="98" t="str">
        <f>IF(LEFT(BalCom[[#This Row],[Code]],3)="NBR","NBR","CHE")</f>
        <v>CHE</v>
      </c>
      <c r="C95" s="11" t="s">
        <v>629</v>
      </c>
      <c r="D95" s="11" t="s">
        <v>656</v>
      </c>
      <c r="E95" s="11" t="s">
        <v>650</v>
      </c>
      <c r="F95" s="546" t="s">
        <v>239</v>
      </c>
      <c r="G95" s="506">
        <v>0.3</v>
      </c>
      <c r="H95" s="11">
        <v>20.033999999999999</v>
      </c>
      <c r="I95" s="13">
        <v>977.84259999999995</v>
      </c>
      <c r="J95" s="11"/>
      <c r="K95" s="12">
        <f>SUMIFS(H:H,C:C,BalCom[[#This Row],[Name]],D:D,BalCom[[#This Row],[Master name]])</f>
        <v>1900.8926999999999</v>
      </c>
      <c r="L95" s="12">
        <f>IFERROR(BalCom[[#This Row],[Balance (Kg)]]*BalCom[[#This Row],[Dry Kg]]/BalCom[[#This Row],[Total Dry Kg]],0)</f>
        <v>10.305736167222905</v>
      </c>
      <c r="M95" s="12">
        <f>IF(D95="","",BalCom[[#This Row],[Bal. Kg Dry]]/BalCom[[#This Row],[TSC]])</f>
        <v>34.352453890743021</v>
      </c>
      <c r="N95" s="97" t="str">
        <f>IF(_xlfn.XLOOKUP(BalCom[[#This Row],[Code]],Info!B:B,Info!D:D,0)=0,BalCom[[#This Row],[Code]],(_xlfn.XLOOKUP(BalCom[[#This Row],[Code]],Info!B:B,Info!D:D,0)))</f>
        <v>CH168</v>
      </c>
      <c r="O95" s="12">
        <f>IF(BalCom[[#This Row],[New Code]]="SFG-Water",0,_xlfn.XLOOKUP(BalCom[[#This Row],[New Code]],Used_before_Trf!A:A,Used_before_Trf!U:U,""))</f>
        <v>58.404505704720911</v>
      </c>
      <c r="P95" s="12">
        <f>IF(D95="","",ROUND((BalCom[[#This Row],[Price]]*BalCom[[#This Row],[Bal. Kg Wet]]),2))</f>
        <v>2006.34</v>
      </c>
      <c r="Q95" s="443" t="str">
        <f>IF(BalCom[[#This Row],[Master name]]="","",IF(N95="SFG-Water","",IF(AND(N95&lt;&gt;0,P95&lt;&gt;0),"Ok","Error")))</f>
        <v>Ok</v>
      </c>
    </row>
    <row r="96" spans="1:17">
      <c r="A96" s="98" t="str">
        <f>IF(LEFT(BalCom[[#This Row],[Code]],3)="NBR","NBR","CHE")</f>
        <v>CHE</v>
      </c>
      <c r="C96" s="11" t="s">
        <v>629</v>
      </c>
      <c r="D96" s="11" t="s">
        <v>656</v>
      </c>
      <c r="E96" s="11" t="s">
        <v>635</v>
      </c>
      <c r="F96" s="91" t="s">
        <v>348</v>
      </c>
      <c r="G96" s="506">
        <v>0.6</v>
      </c>
      <c r="H96" s="11">
        <v>16.695</v>
      </c>
      <c r="I96" s="13">
        <v>977.84259999999995</v>
      </c>
      <c r="J96" s="11"/>
      <c r="K96" s="12">
        <f>SUMIFS(H:H,C:C,BalCom[[#This Row],[Name]],D:D,BalCom[[#This Row],[Master name]])</f>
        <v>1900.8926999999999</v>
      </c>
      <c r="L96" s="12">
        <f>IFERROR(BalCom[[#This Row],[Balance (Kg)]]*BalCom[[#This Row],[Dry Kg]]/BalCom[[#This Row],[Total Dry Kg]],0)</f>
        <v>8.5881134726857553</v>
      </c>
      <c r="M96" s="12">
        <f>IF(D96="","",BalCom[[#This Row],[Bal. Kg Dry]]/BalCom[[#This Row],[TSC]])</f>
        <v>14.31352245447626</v>
      </c>
      <c r="N96" s="97" t="str">
        <f>IF(_xlfn.XLOOKUP(BalCom[[#This Row],[Code]],Info!B:B,Info!D:D,0)=0,BalCom[[#This Row],[Code]],(_xlfn.XLOOKUP(BalCom[[#This Row],[Code]],Info!B:B,Info!D:D,0)))</f>
        <v>CH93</v>
      </c>
      <c r="O96" s="12">
        <f>IF(BalCom[[#This Row],[New Code]]="SFG-Water",0,_xlfn.XLOOKUP(BalCom[[#This Row],[New Code]],Used_before_Trf!A:A,Used_before_Trf!U:U,""))</f>
        <v>69.839849490925189</v>
      </c>
      <c r="P96" s="12">
        <f>IF(D96="","",ROUND((BalCom[[#This Row],[Price]]*BalCom[[#This Row],[Bal. Kg Wet]]),2))</f>
        <v>999.65</v>
      </c>
      <c r="Q96" s="443" t="str">
        <f>IF(BalCom[[#This Row],[Master name]]="","",IF(N96="SFG-Water","",IF(AND(N96&lt;&gt;0,P96&lt;&gt;0),"Ok","Error")))</f>
        <v>Ok</v>
      </c>
    </row>
    <row r="97" spans="1:17">
      <c r="A97" s="98" t="str">
        <f>IF(LEFT(BalCom[[#This Row],[Code]],3)="NBR","NBR","CHE")</f>
        <v>CHE</v>
      </c>
      <c r="C97" s="11" t="s">
        <v>629</v>
      </c>
      <c r="D97" s="11" t="s">
        <v>656</v>
      </c>
      <c r="E97" s="11" t="s">
        <v>636</v>
      </c>
      <c r="F97" s="91" t="s">
        <v>346</v>
      </c>
      <c r="G97" s="506">
        <v>0.6</v>
      </c>
      <c r="H97" s="11">
        <v>6.6779999999999999</v>
      </c>
      <c r="I97" s="13">
        <v>977.84259999999995</v>
      </c>
      <c r="J97" s="11"/>
      <c r="K97" s="12">
        <f>SUMIFS(H:H,C:C,BalCom[[#This Row],[Name]],D:D,BalCom[[#This Row],[Master name]])</f>
        <v>1900.8926999999999</v>
      </c>
      <c r="L97" s="12">
        <f>IFERROR(BalCom[[#This Row],[Balance (Kg)]]*BalCom[[#This Row],[Dry Kg]]/BalCom[[#This Row],[Total Dry Kg]],0)</f>
        <v>3.4352453890743018</v>
      </c>
      <c r="M97" s="12">
        <f>IF(D97="","",BalCom[[#This Row],[Bal. Kg Dry]]/BalCom[[#This Row],[TSC]])</f>
        <v>5.7254089817905029</v>
      </c>
      <c r="N97" s="97" t="str">
        <f>IF(_xlfn.XLOOKUP(BalCom[[#This Row],[Code]],Info!B:B,Info!D:D,0)=0,BalCom[[#This Row],[Code]],(_xlfn.XLOOKUP(BalCom[[#This Row],[Code]],Info!B:B,Info!D:D,0)))</f>
        <v>CH92</v>
      </c>
      <c r="O97" s="12">
        <f>IF(BalCom[[#This Row],[New Code]]="SFG-Water",0,_xlfn.XLOOKUP(BalCom[[#This Row],[New Code]],Used_before_Trf!A:A,Used_before_Trf!U:U,""))</f>
        <v>28.016027710254928</v>
      </c>
      <c r="P97" s="12">
        <f>IF(D97="","",ROUND((BalCom[[#This Row],[Price]]*BalCom[[#This Row],[Bal. Kg Wet]]),2))</f>
        <v>160.4</v>
      </c>
      <c r="Q97" s="443" t="str">
        <f>IF(BalCom[[#This Row],[Master name]]="","",IF(N97="SFG-Water","",IF(AND(N97&lt;&gt;0,P97&lt;&gt;0),"Ok","Error")))</f>
        <v>Ok</v>
      </c>
    </row>
    <row r="98" spans="1:17">
      <c r="A98" s="98" t="str">
        <f>IF(LEFT(BalCom[[#This Row],[Code]],3)="NBR","NBR","CHE")</f>
        <v>CHE</v>
      </c>
      <c r="C98" s="11" t="s">
        <v>629</v>
      </c>
      <c r="D98" s="11" t="s">
        <v>656</v>
      </c>
      <c r="E98" s="11" t="s">
        <v>637</v>
      </c>
      <c r="F98" s="91" t="s">
        <v>344</v>
      </c>
      <c r="G98" s="506">
        <v>0.5</v>
      </c>
      <c r="H98" s="11">
        <v>3.339</v>
      </c>
      <c r="I98" s="13">
        <v>977.84259999999995</v>
      </c>
      <c r="J98" s="11"/>
      <c r="K98" s="12">
        <f>SUMIFS(H:H,C:C,BalCom[[#This Row],[Name]],D:D,BalCom[[#This Row],[Master name]])</f>
        <v>1900.8926999999999</v>
      </c>
      <c r="L98" s="12">
        <f>IFERROR(BalCom[[#This Row],[Balance (Kg)]]*BalCom[[#This Row],[Dry Kg]]/BalCom[[#This Row],[Total Dry Kg]],0)</f>
        <v>1.7176226945371509</v>
      </c>
      <c r="M98" s="12">
        <f>IF(D98="","",BalCom[[#This Row],[Bal. Kg Dry]]/BalCom[[#This Row],[TSC]])</f>
        <v>3.4352453890743018</v>
      </c>
      <c r="N98" s="97" t="str">
        <f>IF(_xlfn.XLOOKUP(BalCom[[#This Row],[Code]],Info!B:B,Info!D:D,0)=0,BalCom[[#This Row],[Code]],(_xlfn.XLOOKUP(BalCom[[#This Row],[Code]],Info!B:B,Info!D:D,0)))</f>
        <v>CH91</v>
      </c>
      <c r="O98" s="12">
        <f>IF(BalCom[[#This Row],[New Code]]="SFG-Water",0,_xlfn.XLOOKUP(BalCom[[#This Row],[New Code]],Used_before_Trf!A:A,Used_before_Trf!U:U,""))</f>
        <v>50.317319152837626</v>
      </c>
      <c r="P98" s="12">
        <f>IF(D98="","",ROUND((BalCom[[#This Row],[Price]]*BalCom[[#This Row],[Bal. Kg Wet]]),2))</f>
        <v>172.85</v>
      </c>
      <c r="Q98" s="443" t="str">
        <f>IF(BalCom[[#This Row],[Master name]]="","",IF(N98="SFG-Water","",IF(AND(N98&lt;&gt;0,P98&lt;&gt;0),"Ok","Error")))</f>
        <v>Ok</v>
      </c>
    </row>
    <row r="99" spans="1:17">
      <c r="A99" s="98" t="str">
        <f>IF(LEFT(BalCom[[#This Row],[Code]],3)="NBR","NBR","CHE")</f>
        <v>CHE</v>
      </c>
      <c r="C99" s="11" t="s">
        <v>629</v>
      </c>
      <c r="D99" s="11" t="s">
        <v>656</v>
      </c>
      <c r="E99" s="11" t="s">
        <v>658</v>
      </c>
      <c r="F99" s="91" t="s">
        <v>350</v>
      </c>
      <c r="G99" s="506">
        <v>0.7</v>
      </c>
      <c r="H99" s="11">
        <v>33.39</v>
      </c>
      <c r="I99" s="13">
        <v>977.84259999999995</v>
      </c>
      <c r="J99" s="11"/>
      <c r="K99" s="12">
        <f>SUMIFS(H:H,C:C,BalCom[[#This Row],[Name]],D:D,BalCom[[#This Row],[Master name]])</f>
        <v>1900.8926999999999</v>
      </c>
      <c r="L99" s="12">
        <f>IFERROR(BalCom[[#This Row],[Balance (Kg)]]*BalCom[[#This Row],[Dry Kg]]/BalCom[[#This Row],[Total Dry Kg]],0)</f>
        <v>17.176226945371511</v>
      </c>
      <c r="M99" s="12">
        <f>IF(D99="","",BalCom[[#This Row],[Bal. Kg Dry]]/BalCom[[#This Row],[TSC]])</f>
        <v>24.537467064816447</v>
      </c>
      <c r="N99" s="97" t="str">
        <f>IF(_xlfn.XLOOKUP(BalCom[[#This Row],[Code]],Info!B:B,Info!D:D,0)=0,BalCom[[#This Row],[Code]],(_xlfn.XLOOKUP(BalCom[[#This Row],[Code]],Info!B:B,Info!D:D,0)))</f>
        <v>CH94</v>
      </c>
      <c r="O99" s="12">
        <f>IF(BalCom[[#This Row],[New Code]]="SFG-Water",0,_xlfn.XLOOKUP(BalCom[[#This Row],[New Code]],Used_before_Trf!A:A,Used_before_Trf!U:U,""))</f>
        <v>52.941651406692188</v>
      </c>
      <c r="P99" s="12">
        <f>IF(D99="","",ROUND((BalCom[[#This Row],[Price]]*BalCom[[#This Row],[Bal. Kg Wet]]),2))</f>
        <v>1299.05</v>
      </c>
      <c r="Q99" s="443" t="str">
        <f>IF(BalCom[[#This Row],[Master name]]="","",IF(N99="SFG-Water","",IF(AND(N99&lt;&gt;0,P99&lt;&gt;0),"Ok","Error")))</f>
        <v>Ok</v>
      </c>
    </row>
    <row r="100" spans="1:17">
      <c r="A100" s="98" t="str">
        <f>IF(LEFT(BalCom[[#This Row],[Code]],3)="NBR","NBR","CHE")</f>
        <v>CHE</v>
      </c>
      <c r="C100" s="11" t="s">
        <v>629</v>
      </c>
      <c r="D100" s="11" t="s">
        <v>656</v>
      </c>
      <c r="E100" s="11" t="s">
        <v>644</v>
      </c>
      <c r="F100" s="91" t="s">
        <v>279</v>
      </c>
      <c r="G100" s="506">
        <v>0.65</v>
      </c>
      <c r="H100" s="11">
        <v>83.474999999999994</v>
      </c>
      <c r="I100" s="13">
        <v>977.84259999999995</v>
      </c>
      <c r="J100" s="11"/>
      <c r="K100" s="12">
        <f>SUMIFS(H:H,C:C,BalCom[[#This Row],[Name]],D:D,BalCom[[#This Row],[Master name]])</f>
        <v>1900.8926999999999</v>
      </c>
      <c r="L100" s="12">
        <f>IFERROR(BalCom[[#This Row],[Balance (Kg)]]*BalCom[[#This Row],[Dry Kg]]/BalCom[[#This Row],[Total Dry Kg]],0)</f>
        <v>42.940567363428769</v>
      </c>
      <c r="M100" s="12">
        <f>IF(D100="","",BalCom[[#This Row],[Bal. Kg Dry]]/BalCom[[#This Row],[TSC]])</f>
        <v>66.062411328351956</v>
      </c>
      <c r="N100" s="97" t="str">
        <f>IF(_xlfn.XLOOKUP(BalCom[[#This Row],[Code]],Info!B:B,Info!D:D,0)=0,BalCom[[#This Row],[Code]],(_xlfn.XLOOKUP(BalCom[[#This Row],[Code]],Info!B:B,Info!D:D,0)))</f>
        <v>CH215</v>
      </c>
      <c r="O100" s="12">
        <f>IF(BalCom[[#This Row],[New Code]]="SFG-Water",0,_xlfn.XLOOKUP(BalCom[[#This Row],[New Code]],Used_before_Trf!A:A,Used_before_Trf!U:U,""))</f>
        <v>20.738312000000001</v>
      </c>
      <c r="P100" s="12">
        <f>IF(D100="","",ROUND((BalCom[[#This Row],[Price]]*BalCom[[#This Row],[Bal. Kg Wet]]),2))</f>
        <v>1370.02</v>
      </c>
      <c r="Q100" s="443" t="str">
        <f>IF(BalCom[[#This Row],[Master name]]="","",IF(N100="SFG-Water","",IF(AND(N100&lt;&gt;0,P100&lt;&gt;0),"Ok","Error")))</f>
        <v>Ok</v>
      </c>
    </row>
    <row r="101" spans="1:17">
      <c r="A101" s="98" t="str">
        <f>IF(LEFT(BalCom[[#This Row],[Code]],3)="NBR","NBR","CHE")</f>
        <v>CHE</v>
      </c>
      <c r="C101" s="11" t="s">
        <v>629</v>
      </c>
      <c r="D101" s="11" t="s">
        <v>656</v>
      </c>
      <c r="E101" s="11" t="s">
        <v>639</v>
      </c>
      <c r="F101" s="91" t="s">
        <v>295</v>
      </c>
      <c r="G101" s="506">
        <v>0.55000000000000004</v>
      </c>
      <c r="H101" s="11">
        <v>33.39</v>
      </c>
      <c r="I101" s="13">
        <v>977.84259999999995</v>
      </c>
      <c r="J101" s="11"/>
      <c r="K101" s="12">
        <f>SUMIFS(H:H,C:C,BalCom[[#This Row],[Name]],D:D,BalCom[[#This Row],[Master name]])</f>
        <v>1900.8926999999999</v>
      </c>
      <c r="L101" s="12">
        <f>IFERROR(BalCom[[#This Row],[Balance (Kg)]]*BalCom[[#This Row],[Dry Kg]]/BalCom[[#This Row],[Total Dry Kg]],0)</f>
        <v>17.176226945371511</v>
      </c>
      <c r="M101" s="12">
        <f>IF(D101="","",BalCom[[#This Row],[Bal. Kg Dry]]/BalCom[[#This Row],[TSC]])</f>
        <v>31.229503537039108</v>
      </c>
      <c r="N101" s="97" t="str">
        <f>IF(_xlfn.XLOOKUP(BalCom[[#This Row],[Code]],Info!B:B,Info!D:D,0)=0,BalCom[[#This Row],[Code]],(_xlfn.XLOOKUP(BalCom[[#This Row],[Code]],Info!B:B,Info!D:D,0)))</f>
        <v>CH222</v>
      </c>
      <c r="O101" s="12">
        <f>IF(BalCom[[#This Row],[New Code]]="SFG-Water",0,_xlfn.XLOOKUP(BalCom[[#This Row],[New Code]],Used_before_Trf!A:A,Used_before_Trf!U:U,""))</f>
        <v>42.341880945075175</v>
      </c>
      <c r="P101" s="12">
        <f>IF(D101="","",ROUND((BalCom[[#This Row],[Price]]*BalCom[[#This Row],[Bal. Kg Wet]]),2))</f>
        <v>1322.32</v>
      </c>
      <c r="Q101" s="443" t="str">
        <f>IF(BalCom[[#This Row],[Master name]]="","",IF(N101="SFG-Water","",IF(AND(N101&lt;&gt;0,P101&lt;&gt;0),"Ok","Error")))</f>
        <v>Ok</v>
      </c>
    </row>
    <row r="102" spans="1:17">
      <c r="A102" s="98" t="str">
        <f>IF(LEFT(BalCom[[#This Row],[Code]],3)="NBR","NBR","CHE")</f>
        <v>CHE</v>
      </c>
      <c r="C102" s="11" t="s">
        <v>629</v>
      </c>
      <c r="D102" s="11" t="s">
        <v>656</v>
      </c>
      <c r="E102" s="11" t="s">
        <v>659</v>
      </c>
      <c r="F102" s="91" t="s">
        <v>203</v>
      </c>
      <c r="G102" s="506">
        <v>0.55000000000000004</v>
      </c>
      <c r="H102" s="11">
        <v>2.6711999999999998</v>
      </c>
      <c r="I102" s="13">
        <v>977.84259999999995</v>
      </c>
      <c r="J102" s="11"/>
      <c r="K102" s="12">
        <f>SUMIFS(H:H,C:C,BalCom[[#This Row],[Name]],D:D,BalCom[[#This Row],[Master name]])</f>
        <v>1900.8926999999999</v>
      </c>
      <c r="L102" s="12">
        <f>IFERROR(BalCom[[#This Row],[Balance (Kg)]]*BalCom[[#This Row],[Dry Kg]]/BalCom[[#This Row],[Total Dry Kg]],0)</f>
        <v>1.3740981556297205</v>
      </c>
      <c r="M102" s="12">
        <f>IF(D102="","",BalCom[[#This Row],[Bal. Kg Dry]]/BalCom[[#This Row],[TSC]])</f>
        <v>2.498360282963128</v>
      </c>
      <c r="N102" s="97" t="str">
        <f>IF(_xlfn.XLOOKUP(BalCom[[#This Row],[Code]],Info!B:B,Info!D:D,0)=0,BalCom[[#This Row],[Code]],(_xlfn.XLOOKUP(BalCom[[#This Row],[Code]],Info!B:B,Info!D:D,0)))</f>
        <v>CH128</v>
      </c>
      <c r="O102" s="12">
        <f>IF(BalCom[[#This Row],[New Code]]="SFG-Water",0,_xlfn.XLOOKUP(BalCom[[#This Row],[New Code]],Used_before_Trf!A:A,Used_before_Trf!U:U,""))</f>
        <v>216.34126575765373</v>
      </c>
      <c r="P102" s="12">
        <f>IF(D102="","",ROUND((BalCom[[#This Row],[Price]]*BalCom[[#This Row],[Bal. Kg Wet]]),2))</f>
        <v>540.5</v>
      </c>
      <c r="Q102" s="443" t="str">
        <f>IF(BalCom[[#This Row],[Master name]]="","",IF(N102="SFG-Water","",IF(AND(N102&lt;&gt;0,P102&lt;&gt;0),"Ok","Error")))</f>
        <v>Ok</v>
      </c>
    </row>
    <row r="103" spans="1:17">
      <c r="A103" s="98" t="str">
        <f>IF(LEFT(BalCom[[#This Row],[Code]],3)="NBR","NBR","CHE")</f>
        <v>NBR</v>
      </c>
      <c r="C103" s="11" t="s">
        <v>629</v>
      </c>
      <c r="D103" s="11" t="s">
        <v>656</v>
      </c>
      <c r="E103" s="11" t="s">
        <v>631</v>
      </c>
      <c r="F103" s="91" t="s">
        <v>502</v>
      </c>
      <c r="G103" s="506">
        <v>0.4496</v>
      </c>
      <c r="H103" s="11">
        <v>1669.5</v>
      </c>
      <c r="I103" s="13">
        <v>977.84259999999995</v>
      </c>
      <c r="J103" s="11"/>
      <c r="K103" s="12">
        <f>SUMIFS(H:H,C:C,BalCom[[#This Row],[Name]],D:D,BalCom[[#This Row],[Master name]])</f>
        <v>1900.8926999999999</v>
      </c>
      <c r="L103" s="12">
        <f>IFERROR(BalCom[[#This Row],[Balance (Kg)]]*BalCom[[#This Row],[Dry Kg]]/BalCom[[#This Row],[Total Dry Kg]],0)</f>
        <v>858.81134726857545</v>
      </c>
      <c r="M103" s="12">
        <f>IF(D103="","",BalCom[[#This Row],[Bal. Kg Dry]]/BalCom[[#This Row],[TSC]])</f>
        <v>1910.1675873411375</v>
      </c>
      <c r="N103" s="97" t="str">
        <f>IF(_xlfn.XLOOKUP(BalCom[[#This Row],[Code]],Info!B:B,Info!D:D,0)=0,BalCom[[#This Row],[Code]],(_xlfn.XLOOKUP(BalCom[[#This Row],[Code]],Info!B:B,Info!D:D,0)))</f>
        <v>NBR01</v>
      </c>
      <c r="O103" s="12">
        <f>IF(BalCom[[#This Row],[New Code]]="SFG-Water",0,_xlfn.XLOOKUP(BalCom[[#This Row],[New Code]],Used_before_Trf!A:A,Used_before_Trf!U:U,""))</f>
        <v>50.516914477361652</v>
      </c>
      <c r="P103" s="12">
        <f>IF(D103="","",ROUND((BalCom[[#This Row],[Price]]*BalCom[[#This Row],[Bal. Kg Wet]]),2))</f>
        <v>96495.77</v>
      </c>
      <c r="Q103" s="443" t="str">
        <f>IF(BalCom[[#This Row],[Master name]]="","",IF(N103="SFG-Water","",IF(AND(N103&lt;&gt;0,P103&lt;&gt;0),"Ok","Error")))</f>
        <v>Ok</v>
      </c>
    </row>
    <row r="104" spans="1:17">
      <c r="A104" s="98" t="str">
        <f>IF(LEFT(BalCom[[#This Row],[Code]],3)="NBR","NBR","CHE")</f>
        <v>CHE</v>
      </c>
      <c r="C104" s="11" t="s">
        <v>629</v>
      </c>
      <c r="D104" s="11" t="s">
        <v>660</v>
      </c>
      <c r="E104" s="11" t="s">
        <v>632</v>
      </c>
      <c r="F104" s="546" t="s">
        <v>277</v>
      </c>
      <c r="G104" s="506">
        <v>0.03</v>
      </c>
      <c r="H104" s="11">
        <v>2.0245500000000001</v>
      </c>
      <c r="I104" s="13">
        <v>322.2</v>
      </c>
      <c r="J104" s="11"/>
      <c r="K104" s="12">
        <f>SUMIFS(H:H,C:C,BalCom[[#This Row],[Name]],D:D,BalCom[[#This Row],[Master name]])</f>
        <v>1999.8872999999999</v>
      </c>
      <c r="L104" s="12">
        <f>IFERROR(BalCom[[#This Row],[Balance (Kg)]]*BalCom[[#This Row],[Dry Kg]]/BalCom[[#This Row],[Total Dry Kg]],0)</f>
        <v>0.3261733848702375</v>
      </c>
      <c r="M104" s="12">
        <f>IF(D104="","",BalCom[[#This Row],[Bal. Kg Dry]]/BalCom[[#This Row],[TSC]])</f>
        <v>10.87244616234125</v>
      </c>
      <c r="N104" s="97" t="str">
        <f>IF(_xlfn.XLOOKUP(BalCom[[#This Row],[Code]],Info!B:B,Info!D:D,0)=0,BalCom[[#This Row],[Code]],(_xlfn.XLOOKUP(BalCom[[#This Row],[Code]],Info!B:B,Info!D:D,0)))</f>
        <v>CH212</v>
      </c>
      <c r="O104" s="12">
        <f>IF(BalCom[[#This Row],[New Code]]="SFG-Water",0,_xlfn.XLOOKUP(BalCom[[#This Row],[New Code]],Used_before_Trf!A:A,Used_before_Trf!U:U,""))</f>
        <v>32.035420833333333</v>
      </c>
      <c r="P104" s="12">
        <f>IF(D104="","",ROUND((BalCom[[#This Row],[Price]]*BalCom[[#This Row],[Bal. Kg Wet]]),2))</f>
        <v>348.3</v>
      </c>
      <c r="Q104" s="443" t="str">
        <f>IF(BalCom[[#This Row],[Master name]]="","",IF(N104="SFG-Water","",IF(AND(N104&lt;&gt;0,P104&lt;&gt;0),"Ok","Error")))</f>
        <v>Ok</v>
      </c>
    </row>
    <row r="105" spans="1:17">
      <c r="A105" s="98" t="str">
        <f>IF(LEFT(BalCom[[#This Row],[Code]],3)="NBR","NBR","CHE")</f>
        <v>CHE</v>
      </c>
      <c r="C105" s="11" t="s">
        <v>629</v>
      </c>
      <c r="D105" s="11" t="s">
        <v>660</v>
      </c>
      <c r="E105" s="11" t="s">
        <v>633</v>
      </c>
      <c r="F105" s="91" t="s">
        <v>497</v>
      </c>
      <c r="G105" s="506">
        <v>0.03</v>
      </c>
      <c r="H105" s="11">
        <v>27.423450000000003</v>
      </c>
      <c r="I105" s="13">
        <v>322.2</v>
      </c>
      <c r="J105" s="11"/>
      <c r="K105" s="12">
        <f>SUMIFS(H:H,C:C,BalCom[[#This Row],[Name]],D:D,BalCom[[#This Row],[Master name]])</f>
        <v>1999.8872999999999</v>
      </c>
      <c r="L105" s="12">
        <f>IFERROR(BalCom[[#This Row],[Balance (Kg)]]*BalCom[[#This Row],[Dry Kg]]/BalCom[[#This Row],[Total Dry Kg]],0)</f>
        <v>4.4181667586968532</v>
      </c>
      <c r="M105" s="12">
        <f>IF(D105="","",BalCom[[#This Row],[Bal. Kg Dry]]/BalCom[[#This Row],[TSC]])</f>
        <v>147.27222528989512</v>
      </c>
      <c r="N105" s="97" t="str">
        <f>IF(_xlfn.XLOOKUP(BalCom[[#This Row],[Code]],Info!B:B,Info!D:D,0)=0,BalCom[[#This Row],[Code]],(_xlfn.XLOOKUP(BalCom[[#This Row],[Code]],Info!B:B,Info!D:D,0)))</f>
        <v>SFG-Water</v>
      </c>
      <c r="O105" s="12">
        <f>IF(BalCom[[#This Row],[New Code]]="SFG-Water",0,_xlfn.XLOOKUP(BalCom[[#This Row],[New Code]],Used_before_Trf!A:A,Used_before_Trf!U:U,""))</f>
        <v>0</v>
      </c>
      <c r="P105" s="12">
        <f>IF(D105="","",ROUND((BalCom[[#This Row],[Price]]*BalCom[[#This Row],[Bal. Kg Wet]]),2))</f>
        <v>0</v>
      </c>
      <c r="Q105" s="443" t="str">
        <f>IF(BalCom[[#This Row],[Master name]]="","",IF(N105="SFG-Water","",IF(AND(N105&lt;&gt;0,P105&lt;&gt;0),"Ok","Error")))</f>
        <v/>
      </c>
    </row>
    <row r="106" spans="1:17">
      <c r="A106" s="98" t="str">
        <f>IF(LEFT(BalCom[[#This Row],[Code]],3)="NBR","NBR","CHE")</f>
        <v>CHE</v>
      </c>
      <c r="C106" s="11" t="s">
        <v>629</v>
      </c>
      <c r="D106" s="11" t="s">
        <v>660</v>
      </c>
      <c r="E106" s="11" t="s">
        <v>657</v>
      </c>
      <c r="F106" s="546" t="s">
        <v>181</v>
      </c>
      <c r="G106" s="506">
        <v>0.3</v>
      </c>
      <c r="H106" s="11">
        <v>5.5214999999999996</v>
      </c>
      <c r="I106" s="13">
        <v>322.2</v>
      </c>
      <c r="J106" s="11"/>
      <c r="K106" s="12">
        <f>SUMIFS(H:H,C:C,BalCom[[#This Row],[Name]],D:D,BalCom[[#This Row],[Master name]])</f>
        <v>1999.8872999999999</v>
      </c>
      <c r="L106" s="12">
        <f>IFERROR(BalCom[[#This Row],[Balance (Kg)]]*BalCom[[#This Row],[Dry Kg]]/BalCom[[#This Row],[Total Dry Kg]],0)</f>
        <v>0.88956377691882926</v>
      </c>
      <c r="M106" s="12">
        <f>IF(D106="","",BalCom[[#This Row],[Bal. Kg Dry]]/BalCom[[#This Row],[TSC]])</f>
        <v>2.9652125897294308</v>
      </c>
      <c r="N106" s="97" t="str">
        <f>IF(_xlfn.XLOOKUP(BalCom[[#This Row],[Code]],Info!B:B,Info!D:D,0)=0,BalCom[[#This Row],[Code]],(_xlfn.XLOOKUP(BalCom[[#This Row],[Code]],Info!B:B,Info!D:D,0)))</f>
        <v>CH106</v>
      </c>
      <c r="O106" s="12">
        <f>IF(BalCom[[#This Row],[New Code]]="SFG-Water",0,_xlfn.XLOOKUP(BalCom[[#This Row],[New Code]],Used_before_Trf!A:A,Used_before_Trf!U:U,""))</f>
        <v>32.57468982630273</v>
      </c>
      <c r="P106" s="12">
        <f>IF(D106="","",ROUND((BalCom[[#This Row],[Price]]*BalCom[[#This Row],[Bal. Kg Wet]]),2))</f>
        <v>96.59</v>
      </c>
      <c r="Q106" s="443" t="str">
        <f>IF(BalCom[[#This Row],[Master name]]="","",IF(N106="SFG-Water","",IF(AND(N106&lt;&gt;0,P106&lt;&gt;0),"Ok","Error")))</f>
        <v>Ok</v>
      </c>
    </row>
    <row r="107" spans="1:17">
      <c r="A107" s="98" t="str">
        <f>IF(LEFT(BalCom[[#This Row],[Code]],3)="NBR","NBR","CHE")</f>
        <v>CHE</v>
      </c>
      <c r="C107" s="11" t="s">
        <v>629</v>
      </c>
      <c r="D107" s="11" t="s">
        <v>660</v>
      </c>
      <c r="E107" s="11" t="s">
        <v>661</v>
      </c>
      <c r="F107" s="91" t="s">
        <v>321</v>
      </c>
      <c r="G107" s="506">
        <v>0.5</v>
      </c>
      <c r="H107" s="11">
        <v>14.724</v>
      </c>
      <c r="I107" s="13">
        <v>322.2</v>
      </c>
      <c r="J107" s="11"/>
      <c r="K107" s="12">
        <f>SUMIFS(H:H,C:C,BalCom[[#This Row],[Name]],D:D,BalCom[[#This Row],[Master name]])</f>
        <v>1999.8872999999999</v>
      </c>
      <c r="L107" s="12">
        <f>IFERROR(BalCom[[#This Row],[Balance (Kg)]]*BalCom[[#This Row],[Dry Kg]]/BalCom[[#This Row],[Total Dry Kg]],0)</f>
        <v>2.372170071783545</v>
      </c>
      <c r="M107" s="12">
        <f>IF(D107="","",BalCom[[#This Row],[Bal. Kg Dry]]/BalCom[[#This Row],[TSC]])</f>
        <v>4.74434014356709</v>
      </c>
      <c r="N107" s="97" t="str">
        <f>IF(_xlfn.XLOOKUP(BalCom[[#This Row],[Code]],Info!B:B,Info!D:D,0)=0,BalCom[[#This Row],[Code]],(_xlfn.XLOOKUP(BalCom[[#This Row],[Code]],Info!B:B,Info!D:D,0)))</f>
        <v>CH240</v>
      </c>
      <c r="O107" s="12">
        <f>IF(BalCom[[#This Row],[New Code]]="SFG-Water",0,_xlfn.XLOOKUP(BalCom[[#This Row],[New Code]],Used_before_Trf!A:A,Used_before_Trf!U:U,""))</f>
        <v>77.639858594785693</v>
      </c>
      <c r="P107" s="12">
        <f>IF(D107="","",ROUND((BalCom[[#This Row],[Price]]*BalCom[[#This Row],[Bal. Kg Wet]]),2))</f>
        <v>368.35</v>
      </c>
      <c r="Q107" s="443" t="str">
        <f>IF(BalCom[[#This Row],[Master name]]="","",IF(N107="SFG-Water","",IF(AND(N107&lt;&gt;0,P107&lt;&gt;0),"Ok","Error")))</f>
        <v>Ok</v>
      </c>
    </row>
    <row r="108" spans="1:17">
      <c r="A108" s="98" t="str">
        <f>IF(LEFT(BalCom[[#This Row],[Code]],3)="NBR","NBR","CHE")</f>
        <v>CHE</v>
      </c>
      <c r="C108" s="11" t="s">
        <v>629</v>
      </c>
      <c r="D108" s="11" t="s">
        <v>660</v>
      </c>
      <c r="E108" s="11" t="s">
        <v>635</v>
      </c>
      <c r="F108" s="91" t="s">
        <v>348</v>
      </c>
      <c r="G108" s="506">
        <v>0.6</v>
      </c>
      <c r="H108" s="11">
        <v>20.2455</v>
      </c>
      <c r="I108" s="13">
        <v>322.2</v>
      </c>
      <c r="J108" s="11"/>
      <c r="K108" s="12">
        <f>SUMIFS(H:H,C:C,BalCom[[#This Row],[Name]],D:D,BalCom[[#This Row],[Master name]])</f>
        <v>1999.8872999999999</v>
      </c>
      <c r="L108" s="12">
        <f>IFERROR(BalCom[[#This Row],[Balance (Kg)]]*BalCom[[#This Row],[Dry Kg]]/BalCom[[#This Row],[Total Dry Kg]],0)</f>
        <v>3.2617338487023746</v>
      </c>
      <c r="M108" s="12">
        <f>IF(D108="","",BalCom[[#This Row],[Bal. Kg Dry]]/BalCom[[#This Row],[TSC]])</f>
        <v>5.4362230811706249</v>
      </c>
      <c r="N108" s="97" t="str">
        <f>IF(_xlfn.XLOOKUP(BalCom[[#This Row],[Code]],Info!B:B,Info!D:D,0)=0,BalCom[[#This Row],[Code]],(_xlfn.XLOOKUP(BalCom[[#This Row],[Code]],Info!B:B,Info!D:D,0)))</f>
        <v>CH93</v>
      </c>
      <c r="O108" s="12">
        <f>IF(BalCom[[#This Row],[New Code]]="SFG-Water",0,_xlfn.XLOOKUP(BalCom[[#This Row],[New Code]],Used_before_Trf!A:A,Used_before_Trf!U:U,""))</f>
        <v>69.839849490925189</v>
      </c>
      <c r="P108" s="12">
        <f>IF(D108="","",ROUND((BalCom[[#This Row],[Price]]*BalCom[[#This Row],[Bal. Kg Wet]]),2))</f>
        <v>379.67</v>
      </c>
      <c r="Q108" s="443" t="str">
        <f>IF(BalCom[[#This Row],[Master name]]="","",IF(N108="SFG-Water","",IF(AND(N108&lt;&gt;0,P108&lt;&gt;0),"Ok","Error")))</f>
        <v>Ok</v>
      </c>
    </row>
    <row r="109" spans="1:17">
      <c r="A109" s="98" t="str">
        <f>IF(LEFT(BalCom[[#This Row],[Code]],3)="NBR","NBR","CHE")</f>
        <v>CHE</v>
      </c>
      <c r="C109" s="11" t="s">
        <v>629</v>
      </c>
      <c r="D109" s="11" t="s">
        <v>660</v>
      </c>
      <c r="E109" s="11" t="s">
        <v>636</v>
      </c>
      <c r="F109" s="91" t="s">
        <v>346</v>
      </c>
      <c r="G109" s="506">
        <v>0.6</v>
      </c>
      <c r="H109" s="11">
        <v>9.2025000000000006</v>
      </c>
      <c r="I109" s="13">
        <v>322.2</v>
      </c>
      <c r="J109" s="11"/>
      <c r="K109" s="12">
        <f>SUMIFS(H:H,C:C,BalCom[[#This Row],[Name]],D:D,BalCom[[#This Row],[Master name]])</f>
        <v>1999.8872999999999</v>
      </c>
      <c r="L109" s="12">
        <f>IFERROR(BalCom[[#This Row],[Balance (Kg)]]*BalCom[[#This Row],[Dry Kg]]/BalCom[[#This Row],[Total Dry Kg]],0)</f>
        <v>1.4826062948647158</v>
      </c>
      <c r="M109" s="12">
        <f>IF(D109="","",BalCom[[#This Row],[Bal. Kg Dry]]/BalCom[[#This Row],[TSC]])</f>
        <v>2.4710104914411932</v>
      </c>
      <c r="N109" s="97" t="str">
        <f>IF(_xlfn.XLOOKUP(BalCom[[#This Row],[Code]],Info!B:B,Info!D:D,0)=0,BalCom[[#This Row],[Code]],(_xlfn.XLOOKUP(BalCom[[#This Row],[Code]],Info!B:B,Info!D:D,0)))</f>
        <v>CH92</v>
      </c>
      <c r="O109" s="12">
        <f>IF(BalCom[[#This Row],[New Code]]="SFG-Water",0,_xlfn.XLOOKUP(BalCom[[#This Row],[New Code]],Used_before_Trf!A:A,Used_before_Trf!U:U,""))</f>
        <v>28.016027710254928</v>
      </c>
      <c r="P109" s="12">
        <f>IF(D109="","",ROUND((BalCom[[#This Row],[Price]]*BalCom[[#This Row],[Bal. Kg Wet]]),2))</f>
        <v>69.23</v>
      </c>
      <c r="Q109" s="443" t="str">
        <f>IF(BalCom[[#This Row],[Master name]]="","",IF(N109="SFG-Water","",IF(AND(N109&lt;&gt;0,P109&lt;&gt;0),"Ok","Error")))</f>
        <v>Ok</v>
      </c>
    </row>
    <row r="110" spans="1:17">
      <c r="A110" s="98" t="str">
        <f>IF(LEFT(BalCom[[#This Row],[Code]],3)="NBR","NBR","CHE")</f>
        <v>CHE</v>
      </c>
      <c r="C110" s="11" t="s">
        <v>629</v>
      </c>
      <c r="D110" s="11" t="s">
        <v>660</v>
      </c>
      <c r="E110" s="11" t="s">
        <v>637</v>
      </c>
      <c r="F110" s="91" t="s">
        <v>344</v>
      </c>
      <c r="G110" s="506">
        <v>0.5</v>
      </c>
      <c r="H110" s="11">
        <v>3.681</v>
      </c>
      <c r="I110" s="13">
        <v>322.2</v>
      </c>
      <c r="J110" s="11"/>
      <c r="K110" s="12">
        <f>SUMIFS(H:H,C:C,BalCom[[#This Row],[Name]],D:D,BalCom[[#This Row],[Master name]])</f>
        <v>1999.8872999999999</v>
      </c>
      <c r="L110" s="12">
        <f>IFERROR(BalCom[[#This Row],[Balance (Kg)]]*BalCom[[#This Row],[Dry Kg]]/BalCom[[#This Row],[Total Dry Kg]],0)</f>
        <v>0.59304251794588625</v>
      </c>
      <c r="M110" s="12">
        <f>IF(D110="","",BalCom[[#This Row],[Bal. Kg Dry]]/BalCom[[#This Row],[TSC]])</f>
        <v>1.1860850358917725</v>
      </c>
      <c r="N110" s="97" t="str">
        <f>IF(_xlfn.XLOOKUP(BalCom[[#This Row],[Code]],Info!B:B,Info!D:D,0)=0,BalCom[[#This Row],[Code]],(_xlfn.XLOOKUP(BalCom[[#This Row],[Code]],Info!B:B,Info!D:D,0)))</f>
        <v>CH91</v>
      </c>
      <c r="O110" s="12">
        <f>IF(BalCom[[#This Row],[New Code]]="SFG-Water",0,_xlfn.XLOOKUP(BalCom[[#This Row],[New Code]],Used_before_Trf!A:A,Used_before_Trf!U:U,""))</f>
        <v>50.317319152837626</v>
      </c>
      <c r="P110" s="12">
        <f>IF(D110="","",ROUND((BalCom[[#This Row],[Price]]*BalCom[[#This Row],[Bal. Kg Wet]]),2))</f>
        <v>59.68</v>
      </c>
      <c r="Q110" s="443" t="str">
        <f>IF(BalCom[[#This Row],[Master name]]="","",IF(N110="SFG-Water","",IF(AND(N110&lt;&gt;0,P110&lt;&gt;0),"Ok","Error")))</f>
        <v>Ok</v>
      </c>
    </row>
    <row r="111" spans="1:17">
      <c r="A111" s="98" t="str">
        <f>IF(LEFT(BalCom[[#This Row],[Code]],3)="NBR","NBR","CHE")</f>
        <v>CHE</v>
      </c>
      <c r="C111" s="11" t="s">
        <v>629</v>
      </c>
      <c r="D111" s="11" t="s">
        <v>660</v>
      </c>
      <c r="E111" s="11" t="s">
        <v>658</v>
      </c>
      <c r="F111" s="91" t="s">
        <v>350</v>
      </c>
      <c r="G111" s="506">
        <v>0.7</v>
      </c>
      <c r="H111" s="11">
        <v>36.81</v>
      </c>
      <c r="I111" s="13">
        <v>322.2</v>
      </c>
      <c r="J111" s="11"/>
      <c r="K111" s="12">
        <f>SUMIFS(H:H,C:C,BalCom[[#This Row],[Name]],D:D,BalCom[[#This Row],[Master name]])</f>
        <v>1999.8872999999999</v>
      </c>
      <c r="L111" s="12">
        <f>IFERROR(BalCom[[#This Row],[Balance (Kg)]]*BalCom[[#This Row],[Dry Kg]]/BalCom[[#This Row],[Total Dry Kg]],0)</f>
        <v>5.9304251794588634</v>
      </c>
      <c r="M111" s="12">
        <f>IF(D111="","",BalCom[[#This Row],[Bal. Kg Dry]]/BalCom[[#This Row],[TSC]])</f>
        <v>8.4720359706555204</v>
      </c>
      <c r="N111" s="97" t="str">
        <f>IF(_xlfn.XLOOKUP(BalCom[[#This Row],[Code]],Info!B:B,Info!D:D,0)=0,BalCom[[#This Row],[Code]],(_xlfn.XLOOKUP(BalCom[[#This Row],[Code]],Info!B:B,Info!D:D,0)))</f>
        <v>CH94</v>
      </c>
      <c r="O111" s="12">
        <f>IF(BalCom[[#This Row],[New Code]]="SFG-Water",0,_xlfn.XLOOKUP(BalCom[[#This Row],[New Code]],Used_before_Trf!A:A,Used_before_Trf!U:U,""))</f>
        <v>52.941651406692188</v>
      </c>
      <c r="P111" s="12">
        <f>IF(D111="","",ROUND((BalCom[[#This Row],[Price]]*BalCom[[#This Row],[Bal. Kg Wet]]),2))</f>
        <v>448.52</v>
      </c>
      <c r="Q111" s="443" t="str">
        <f>IF(BalCom[[#This Row],[Master name]]="","",IF(N111="SFG-Water","",IF(AND(N111&lt;&gt;0,P111&lt;&gt;0),"Ok","Error")))</f>
        <v>Ok</v>
      </c>
    </row>
    <row r="112" spans="1:17">
      <c r="A112" s="98" t="str">
        <f>IF(LEFT(BalCom[[#This Row],[Code]],3)="NBR","NBR","CHE")</f>
        <v>CHE</v>
      </c>
      <c r="C112" s="11" t="s">
        <v>629</v>
      </c>
      <c r="D112" s="11" t="s">
        <v>660</v>
      </c>
      <c r="E112" s="11" t="s">
        <v>639</v>
      </c>
      <c r="F112" s="91" t="s">
        <v>295</v>
      </c>
      <c r="G112" s="506">
        <v>0.55000000000000004</v>
      </c>
      <c r="H112" s="11">
        <v>36.81</v>
      </c>
      <c r="I112" s="13">
        <v>322.2</v>
      </c>
      <c r="J112" s="11"/>
      <c r="K112" s="12">
        <f>SUMIFS(H:H,C:C,BalCom[[#This Row],[Name]],D:D,BalCom[[#This Row],[Master name]])</f>
        <v>1999.8872999999999</v>
      </c>
      <c r="L112" s="12">
        <f>IFERROR(BalCom[[#This Row],[Balance (Kg)]]*BalCom[[#This Row],[Dry Kg]]/BalCom[[#This Row],[Total Dry Kg]],0)</f>
        <v>5.9304251794588634</v>
      </c>
      <c r="M112" s="12">
        <f>IF(D112="","",BalCom[[#This Row],[Bal. Kg Dry]]/BalCom[[#This Row],[TSC]])</f>
        <v>10.782591235379751</v>
      </c>
      <c r="N112" s="97" t="str">
        <f>IF(_xlfn.XLOOKUP(BalCom[[#This Row],[Code]],Info!B:B,Info!D:D,0)=0,BalCom[[#This Row],[Code]],(_xlfn.XLOOKUP(BalCom[[#This Row],[Code]],Info!B:B,Info!D:D,0)))</f>
        <v>CH222</v>
      </c>
      <c r="O112" s="12">
        <f>IF(BalCom[[#This Row],[New Code]]="SFG-Water",0,_xlfn.XLOOKUP(BalCom[[#This Row],[New Code]],Used_before_Trf!A:A,Used_before_Trf!U:U,""))</f>
        <v>42.341880945075175</v>
      </c>
      <c r="P112" s="12">
        <f>IF(D112="","",ROUND((BalCom[[#This Row],[Price]]*BalCom[[#This Row],[Bal. Kg Wet]]),2))</f>
        <v>456.56</v>
      </c>
      <c r="Q112" s="443" t="str">
        <f>IF(BalCom[[#This Row],[Master name]]="","",IF(N112="SFG-Water","",IF(AND(N112&lt;&gt;0,P112&lt;&gt;0),"Ok","Error")))</f>
        <v>Ok</v>
      </c>
    </row>
    <row r="113" spans="1:17">
      <c r="A113" s="98" t="str">
        <f>IF(LEFT(BalCom[[#This Row],[Code]],3)="NBR","NBR","CHE")</f>
        <v>CHE</v>
      </c>
      <c r="C113" s="11" t="s">
        <v>629</v>
      </c>
      <c r="D113" s="11" t="s">
        <v>660</v>
      </c>
      <c r="E113" s="11" t="s">
        <v>659</v>
      </c>
      <c r="F113" s="91" t="s">
        <v>203</v>
      </c>
      <c r="G113" s="506">
        <v>0.55000000000000004</v>
      </c>
      <c r="H113" s="11">
        <v>2.9447999999999999</v>
      </c>
      <c r="I113" s="13">
        <v>322.2</v>
      </c>
      <c r="J113" s="11"/>
      <c r="K113" s="12">
        <f>SUMIFS(H:H,C:C,BalCom[[#This Row],[Name]],D:D,BalCom[[#This Row],[Master name]])</f>
        <v>1999.8872999999999</v>
      </c>
      <c r="L113" s="12">
        <f>IFERROR(BalCom[[#This Row],[Balance (Kg)]]*BalCom[[#This Row],[Dry Kg]]/BalCom[[#This Row],[Total Dry Kg]],0)</f>
        <v>0.47443401435670901</v>
      </c>
      <c r="M113" s="12">
        <f>IF(D113="","",BalCom[[#This Row],[Bal. Kg Dry]]/BalCom[[#This Row],[TSC]])</f>
        <v>0.8626072988303799</v>
      </c>
      <c r="N113" s="97" t="str">
        <f>IF(_xlfn.XLOOKUP(BalCom[[#This Row],[Code]],Info!B:B,Info!D:D,0)=0,BalCom[[#This Row],[Code]],(_xlfn.XLOOKUP(BalCom[[#This Row],[Code]],Info!B:B,Info!D:D,0)))</f>
        <v>CH128</v>
      </c>
      <c r="O113" s="12">
        <f>IF(BalCom[[#This Row],[New Code]]="SFG-Water",0,_xlfn.XLOOKUP(BalCom[[#This Row],[New Code]],Used_before_Trf!A:A,Used_before_Trf!U:U,""))</f>
        <v>216.34126575765373</v>
      </c>
      <c r="P113" s="12">
        <f>IF(D113="","",ROUND((BalCom[[#This Row],[Price]]*BalCom[[#This Row],[Bal. Kg Wet]]),2))</f>
        <v>186.62</v>
      </c>
      <c r="Q113" s="443" t="str">
        <f>IF(BalCom[[#This Row],[Master name]]="","",IF(N113="SFG-Water","",IF(AND(N113&lt;&gt;0,P113&lt;&gt;0),"Ok","Error")))</f>
        <v>Ok</v>
      </c>
    </row>
    <row r="114" spans="1:17">
      <c r="A114" s="98" t="str">
        <f>IF(LEFT(BalCom[[#This Row],[Code]],3)="NBR","NBR","CHE")</f>
        <v>NBR</v>
      </c>
      <c r="C114" s="11" t="s">
        <v>629</v>
      </c>
      <c r="D114" s="11" t="s">
        <v>660</v>
      </c>
      <c r="E114" s="11" t="s">
        <v>631</v>
      </c>
      <c r="F114" s="91" t="s">
        <v>502</v>
      </c>
      <c r="G114" s="506">
        <v>0.4496</v>
      </c>
      <c r="H114" s="11">
        <v>1840.5</v>
      </c>
      <c r="I114" s="13">
        <v>322.2</v>
      </c>
      <c r="J114" s="11"/>
      <c r="K114" s="12">
        <f>SUMIFS(H:H,C:C,BalCom[[#This Row],[Name]],D:D,BalCom[[#This Row],[Master name]])</f>
        <v>1999.8872999999999</v>
      </c>
      <c r="L114" s="12">
        <f>IFERROR(BalCom[[#This Row],[Balance (Kg)]]*BalCom[[#This Row],[Dry Kg]]/BalCom[[#This Row],[Total Dry Kg]],0)</f>
        <v>296.52125897294314</v>
      </c>
      <c r="M114" s="12">
        <f>IF(D114="","",BalCom[[#This Row],[Bal. Kg Dry]]/BalCom[[#This Row],[TSC]])</f>
        <v>659.52237316046069</v>
      </c>
      <c r="N114" s="97" t="str">
        <f>IF(_xlfn.XLOOKUP(BalCom[[#This Row],[Code]],Info!B:B,Info!D:D,0)=0,BalCom[[#This Row],[Code]],(_xlfn.XLOOKUP(BalCom[[#This Row],[Code]],Info!B:B,Info!D:D,0)))</f>
        <v>NBR01</v>
      </c>
      <c r="O114" s="12">
        <f>IF(BalCom[[#This Row],[New Code]]="SFG-Water",0,_xlfn.XLOOKUP(BalCom[[#This Row],[New Code]],Used_before_Trf!A:A,Used_before_Trf!U:U,""))</f>
        <v>50.516914477361652</v>
      </c>
      <c r="P114" s="12">
        <f>IF(D114="","",ROUND((BalCom[[#This Row],[Price]]*BalCom[[#This Row],[Bal. Kg Wet]]),2))</f>
        <v>33317.040000000001</v>
      </c>
      <c r="Q114" s="443" t="str">
        <f>IF(BalCom[[#This Row],[Master name]]="","",IF(N114="SFG-Water","",IF(AND(N114&lt;&gt;0,P114&lt;&gt;0),"Ok","Error")))</f>
        <v>Ok</v>
      </c>
    </row>
    <row r="115" spans="1:17">
      <c r="A115" s="98" t="str">
        <f>IF(LEFT(BalCom[[#This Row],[Code]],3)="NBR","NBR","CHE")</f>
        <v>CHE</v>
      </c>
      <c r="C115" s="11" t="s">
        <v>629</v>
      </c>
      <c r="D115" s="11" t="s">
        <v>662</v>
      </c>
      <c r="E115" s="11" t="s">
        <v>632</v>
      </c>
      <c r="F115" s="546" t="s">
        <v>277</v>
      </c>
      <c r="G115" s="506">
        <v>0.03</v>
      </c>
      <c r="H115" s="11">
        <v>1.5048000000000001</v>
      </c>
      <c r="I115" s="13">
        <v>1575.3240000000001</v>
      </c>
      <c r="J115" s="11"/>
      <c r="K115" s="12">
        <f>SUMIFS(H:H,C:C,BalCom[[#This Row],[Name]],D:D,BalCom[[#This Row],[Master name]])</f>
        <v>1499.5332000000001</v>
      </c>
      <c r="L115" s="12">
        <f>IFERROR(BalCom[[#This Row],[Balance (Kg)]]*BalCom[[#This Row],[Dry Kg]]/BalCom[[#This Row],[Total Dry Kg]],0)</f>
        <v>1.580856999498244</v>
      </c>
      <c r="M115" s="12">
        <f>IF(D115="","",BalCom[[#This Row],[Bal. Kg Dry]]/BalCom[[#This Row],[TSC]])</f>
        <v>52.695233316608132</v>
      </c>
      <c r="N115" s="97" t="str">
        <f>IF(_xlfn.XLOOKUP(BalCom[[#This Row],[Code]],Info!B:B,Info!D:D,0)=0,BalCom[[#This Row],[Code]],(_xlfn.XLOOKUP(BalCom[[#This Row],[Code]],Info!B:B,Info!D:D,0)))</f>
        <v>CH212</v>
      </c>
      <c r="O115" s="12">
        <f>IF(BalCom[[#This Row],[New Code]]="SFG-Water",0,_xlfn.XLOOKUP(BalCom[[#This Row],[New Code]],Used_before_Trf!A:A,Used_before_Trf!U:U,""))</f>
        <v>32.035420833333333</v>
      </c>
      <c r="P115" s="12">
        <f>IF(D115="","",ROUND((BalCom[[#This Row],[Price]]*BalCom[[#This Row],[Bal. Kg Wet]]),2))</f>
        <v>1688.11</v>
      </c>
      <c r="Q115" s="443" t="str">
        <f>IF(BalCom[[#This Row],[Master name]]="","",IF(N115="SFG-Water","",IF(AND(N115&lt;&gt;0,P115&lt;&gt;0),"Ok","Error")))</f>
        <v>Ok</v>
      </c>
    </row>
    <row r="116" spans="1:17">
      <c r="A116" s="98" t="str">
        <f>IF(LEFT(BalCom[[#This Row],[Code]],3)="NBR","NBR","CHE")</f>
        <v>CHE</v>
      </c>
      <c r="C116" s="11" t="s">
        <v>629</v>
      </c>
      <c r="D116" s="11" t="s">
        <v>662</v>
      </c>
      <c r="E116" s="11" t="s">
        <v>633</v>
      </c>
      <c r="F116" s="91" t="s">
        <v>497</v>
      </c>
      <c r="G116" s="506">
        <v>0.03</v>
      </c>
      <c r="H116" s="11">
        <v>20.383200000000002</v>
      </c>
      <c r="I116" s="13">
        <v>1575.3240000000001</v>
      </c>
      <c r="J116" s="11"/>
      <c r="K116" s="12">
        <f>SUMIFS(H:H,C:C,BalCom[[#This Row],[Name]],D:D,BalCom[[#This Row],[Master name]])</f>
        <v>1499.5332000000001</v>
      </c>
      <c r="L116" s="12">
        <f>IFERROR(BalCom[[#This Row],[Balance (Kg)]]*BalCom[[#This Row],[Dry Kg]]/BalCom[[#This Row],[Total Dry Kg]],0)</f>
        <v>21.413426629567123</v>
      </c>
      <c r="M116" s="12">
        <f>IF(D116="","",BalCom[[#This Row],[Bal. Kg Dry]]/BalCom[[#This Row],[TSC]])</f>
        <v>713.78088765223742</v>
      </c>
      <c r="N116" s="97" t="str">
        <f>IF(_xlfn.XLOOKUP(BalCom[[#This Row],[Code]],Info!B:B,Info!D:D,0)=0,BalCom[[#This Row],[Code]],(_xlfn.XLOOKUP(BalCom[[#This Row],[Code]],Info!B:B,Info!D:D,0)))</f>
        <v>SFG-Water</v>
      </c>
      <c r="O116" s="12">
        <f>IF(BalCom[[#This Row],[New Code]]="SFG-Water",0,_xlfn.XLOOKUP(BalCom[[#This Row],[New Code]],Used_before_Trf!A:A,Used_before_Trf!U:U,""))</f>
        <v>0</v>
      </c>
      <c r="P116" s="12">
        <f>IF(D116="","",ROUND((BalCom[[#This Row],[Price]]*BalCom[[#This Row],[Bal. Kg Wet]]),2))</f>
        <v>0</v>
      </c>
      <c r="Q116" s="443" t="str">
        <f>IF(BalCom[[#This Row],[Master name]]="","",IF(N116="SFG-Water","",IF(AND(N116&lt;&gt;0,P116&lt;&gt;0),"Ok","Error")))</f>
        <v/>
      </c>
    </row>
    <row r="117" spans="1:17">
      <c r="A117" s="98" t="str">
        <f>IF(LEFT(BalCom[[#This Row],[Code]],3)="NBR","NBR","CHE")</f>
        <v>CHE</v>
      </c>
      <c r="C117" s="11" t="s">
        <v>629</v>
      </c>
      <c r="D117" s="11" t="s">
        <v>662</v>
      </c>
      <c r="E117" s="11" t="s">
        <v>657</v>
      </c>
      <c r="F117" s="91" t="s">
        <v>181</v>
      </c>
      <c r="G117" s="506">
        <v>0.3</v>
      </c>
      <c r="H117" s="11">
        <v>4.1040000000000001</v>
      </c>
      <c r="I117" s="13">
        <v>1575.3240000000001</v>
      </c>
      <c r="J117" s="11"/>
      <c r="K117" s="12">
        <f>SUMIFS(H:H,C:C,BalCom[[#This Row],[Name]],D:D,BalCom[[#This Row],[Master name]])</f>
        <v>1499.5332000000001</v>
      </c>
      <c r="L117" s="12">
        <f>IFERROR(BalCom[[#This Row],[Balance (Kg)]]*BalCom[[#This Row],[Dry Kg]]/BalCom[[#This Row],[Total Dry Kg]],0)</f>
        <v>4.3114281804497567</v>
      </c>
      <c r="M117" s="12">
        <f>IF(D117="","",BalCom[[#This Row],[Bal. Kg Dry]]/BalCom[[#This Row],[TSC]])</f>
        <v>14.371427268165856</v>
      </c>
      <c r="N117" s="97" t="str">
        <f>IF(_xlfn.XLOOKUP(BalCom[[#This Row],[Code]],Info!B:B,Info!D:D,0)=0,BalCom[[#This Row],[Code]],(_xlfn.XLOOKUP(BalCom[[#This Row],[Code]],Info!B:B,Info!D:D,0)))</f>
        <v>CH106</v>
      </c>
      <c r="O117" s="12">
        <f>IF(BalCom[[#This Row],[New Code]]="SFG-Water",0,_xlfn.XLOOKUP(BalCom[[#This Row],[New Code]],Used_before_Trf!A:A,Used_before_Trf!U:U,""))</f>
        <v>32.57468982630273</v>
      </c>
      <c r="P117" s="12">
        <f>IF(D117="","",ROUND((BalCom[[#This Row],[Price]]*BalCom[[#This Row],[Bal. Kg Wet]]),2))</f>
        <v>468.14</v>
      </c>
      <c r="Q117" s="443" t="str">
        <f>IF(BalCom[[#This Row],[Master name]]="","",IF(N117="SFG-Water","",IF(AND(N117&lt;&gt;0,P117&lt;&gt;0),"Ok","Error")))</f>
        <v>Ok</v>
      </c>
    </row>
    <row r="118" spans="1:17">
      <c r="A118" s="98" t="str">
        <f>IF(LEFT(BalCom[[#This Row],[Code]],3)="NBR","NBR","CHE")</f>
        <v>CHE</v>
      </c>
      <c r="C118" s="11" t="s">
        <v>629</v>
      </c>
      <c r="D118" s="11" t="s">
        <v>662</v>
      </c>
      <c r="E118" s="11" t="s">
        <v>661</v>
      </c>
      <c r="F118" s="546" t="s">
        <v>321</v>
      </c>
      <c r="G118" s="506">
        <v>0.5</v>
      </c>
      <c r="H118" s="11">
        <v>10.944000000000001</v>
      </c>
      <c r="I118" s="13">
        <v>1575.3240000000001</v>
      </c>
      <c r="J118" s="11"/>
      <c r="K118" s="12">
        <f>SUMIFS(H:H,C:C,BalCom[[#This Row],[Name]],D:D,BalCom[[#This Row],[Master name]])</f>
        <v>1499.5332000000001</v>
      </c>
      <c r="L118" s="12">
        <f>IFERROR(BalCom[[#This Row],[Balance (Kg)]]*BalCom[[#This Row],[Dry Kg]]/BalCom[[#This Row],[Total Dry Kg]],0)</f>
        <v>11.497141814532684</v>
      </c>
      <c r="M118" s="12">
        <f>IF(D118="","",BalCom[[#This Row],[Bal. Kg Dry]]/BalCom[[#This Row],[TSC]])</f>
        <v>22.994283629065368</v>
      </c>
      <c r="N118" s="97" t="str">
        <f>IF(_xlfn.XLOOKUP(BalCom[[#This Row],[Code]],Info!B:B,Info!D:D,0)=0,BalCom[[#This Row],[Code]],(_xlfn.XLOOKUP(BalCom[[#This Row],[Code]],Info!B:B,Info!D:D,0)))</f>
        <v>CH240</v>
      </c>
      <c r="O118" s="12">
        <f>IF(BalCom[[#This Row],[New Code]]="SFG-Water",0,_xlfn.XLOOKUP(BalCom[[#This Row],[New Code]],Used_before_Trf!A:A,Used_before_Trf!U:U,""))</f>
        <v>77.639858594785693</v>
      </c>
      <c r="P118" s="12">
        <f>IF(D118="","",ROUND((BalCom[[#This Row],[Price]]*BalCom[[#This Row],[Bal. Kg Wet]]),2))</f>
        <v>1785.27</v>
      </c>
      <c r="Q118" s="443" t="str">
        <f>IF(BalCom[[#This Row],[Master name]]="","",IF(N118="SFG-Water","",IF(AND(N118&lt;&gt;0,P118&lt;&gt;0),"Ok","Error")))</f>
        <v>Ok</v>
      </c>
    </row>
    <row r="119" spans="1:17">
      <c r="A119" s="98" t="str">
        <f>IF(LEFT(BalCom[[#This Row],[Code]],3)="NBR","NBR","CHE")</f>
        <v>CHE</v>
      </c>
      <c r="C119" s="11" t="s">
        <v>629</v>
      </c>
      <c r="D119" s="11" t="s">
        <v>662</v>
      </c>
      <c r="E119" s="11" t="s">
        <v>635</v>
      </c>
      <c r="F119" s="91" t="s">
        <v>348</v>
      </c>
      <c r="G119" s="506">
        <v>0.6</v>
      </c>
      <c r="H119" s="11">
        <v>15.048</v>
      </c>
      <c r="I119" s="13">
        <v>1575.3240000000001</v>
      </c>
      <c r="J119" s="11"/>
      <c r="K119" s="12">
        <f>SUMIFS(H:H,C:C,BalCom[[#This Row],[Name]],D:D,BalCom[[#This Row],[Master name]])</f>
        <v>1499.5332000000001</v>
      </c>
      <c r="L119" s="12">
        <f>IFERROR(BalCom[[#This Row],[Balance (Kg)]]*BalCom[[#This Row],[Dry Kg]]/BalCom[[#This Row],[Total Dry Kg]],0)</f>
        <v>15.808569994982438</v>
      </c>
      <c r="M119" s="12">
        <f>IF(D119="","",BalCom[[#This Row],[Bal. Kg Dry]]/BalCom[[#This Row],[TSC]])</f>
        <v>26.347616658304066</v>
      </c>
      <c r="N119" s="97" t="str">
        <f>IF(_xlfn.XLOOKUP(BalCom[[#This Row],[Code]],Info!B:B,Info!D:D,0)=0,BalCom[[#This Row],[Code]],(_xlfn.XLOOKUP(BalCom[[#This Row],[Code]],Info!B:B,Info!D:D,0)))</f>
        <v>CH93</v>
      </c>
      <c r="O119" s="12">
        <f>IF(BalCom[[#This Row],[New Code]]="SFG-Water",0,_xlfn.XLOOKUP(BalCom[[#This Row],[New Code]],Used_before_Trf!A:A,Used_before_Trf!U:U,""))</f>
        <v>69.839849490925189</v>
      </c>
      <c r="P119" s="12">
        <f>IF(D119="","",ROUND((BalCom[[#This Row],[Price]]*BalCom[[#This Row],[Bal. Kg Wet]]),2))</f>
        <v>1840.11</v>
      </c>
      <c r="Q119" s="443" t="str">
        <f>IF(BalCom[[#This Row],[Master name]]="","",IF(N119="SFG-Water","",IF(AND(N119&lt;&gt;0,P119&lt;&gt;0),"Ok","Error")))</f>
        <v>Ok</v>
      </c>
    </row>
    <row r="120" spans="1:17">
      <c r="A120" s="98" t="str">
        <f>IF(LEFT(BalCom[[#This Row],[Code]],3)="NBR","NBR","CHE")</f>
        <v>CHE</v>
      </c>
      <c r="C120" s="11" t="s">
        <v>629</v>
      </c>
      <c r="D120" s="11" t="s">
        <v>662</v>
      </c>
      <c r="E120" s="11" t="s">
        <v>636</v>
      </c>
      <c r="F120" s="91" t="s">
        <v>346</v>
      </c>
      <c r="G120" s="506">
        <v>0.6</v>
      </c>
      <c r="H120" s="11">
        <v>6.84</v>
      </c>
      <c r="I120" s="13">
        <v>1575.3240000000001</v>
      </c>
      <c r="J120" s="11"/>
      <c r="K120" s="12">
        <f>SUMIFS(H:H,C:C,BalCom[[#This Row],[Name]],D:D,BalCom[[#This Row],[Master name]])</f>
        <v>1499.5332000000001</v>
      </c>
      <c r="L120" s="12">
        <f>IFERROR(BalCom[[#This Row],[Balance (Kg)]]*BalCom[[#This Row],[Dry Kg]]/BalCom[[#This Row],[Total Dry Kg]],0)</f>
        <v>7.1857136340829264</v>
      </c>
      <c r="M120" s="12">
        <f>IF(D120="","",BalCom[[#This Row],[Bal. Kg Dry]]/BalCom[[#This Row],[TSC]])</f>
        <v>11.976189390138211</v>
      </c>
      <c r="N120" s="97" t="str">
        <f>IF(_xlfn.XLOOKUP(BalCom[[#This Row],[Code]],Info!B:B,Info!D:D,0)=0,BalCom[[#This Row],[Code]],(_xlfn.XLOOKUP(BalCom[[#This Row],[Code]],Info!B:B,Info!D:D,0)))</f>
        <v>CH92</v>
      </c>
      <c r="O120" s="12">
        <f>IF(BalCom[[#This Row],[New Code]]="SFG-Water",0,_xlfn.XLOOKUP(BalCom[[#This Row],[New Code]],Used_before_Trf!A:A,Used_before_Trf!U:U,""))</f>
        <v>28.016027710254928</v>
      </c>
      <c r="P120" s="12">
        <f>IF(D120="","",ROUND((BalCom[[#This Row],[Price]]*BalCom[[#This Row],[Bal. Kg Wet]]),2))</f>
        <v>335.53</v>
      </c>
      <c r="Q120" s="443" t="str">
        <f>IF(BalCom[[#This Row],[Master name]]="","",IF(N120="SFG-Water","",IF(AND(N120&lt;&gt;0,P120&lt;&gt;0),"Ok","Error")))</f>
        <v>Ok</v>
      </c>
    </row>
    <row r="121" spans="1:17">
      <c r="A121" s="98" t="str">
        <f>IF(LEFT(BalCom[[#This Row],[Code]],3)="NBR","NBR","CHE")</f>
        <v>CHE</v>
      </c>
      <c r="C121" s="11" t="s">
        <v>629</v>
      </c>
      <c r="D121" s="11" t="s">
        <v>662</v>
      </c>
      <c r="E121" s="11" t="s">
        <v>637</v>
      </c>
      <c r="F121" s="91" t="s">
        <v>344</v>
      </c>
      <c r="G121" s="506">
        <v>0.5</v>
      </c>
      <c r="H121" s="11">
        <v>2.7360000000000002</v>
      </c>
      <c r="I121" s="13">
        <v>1575.3240000000001</v>
      </c>
      <c r="J121" s="11"/>
      <c r="K121" s="12">
        <f>SUMIFS(H:H,C:C,BalCom[[#This Row],[Name]],D:D,BalCom[[#This Row],[Master name]])</f>
        <v>1499.5332000000001</v>
      </c>
      <c r="L121" s="12">
        <f>IFERROR(BalCom[[#This Row],[Balance (Kg)]]*BalCom[[#This Row],[Dry Kg]]/BalCom[[#This Row],[Total Dry Kg]],0)</f>
        <v>2.874285453633171</v>
      </c>
      <c r="M121" s="12">
        <f>IF(D121="","",BalCom[[#This Row],[Bal. Kg Dry]]/BalCom[[#This Row],[TSC]])</f>
        <v>5.748570907266342</v>
      </c>
      <c r="N121" s="97" t="str">
        <f>IF(_xlfn.XLOOKUP(BalCom[[#This Row],[Code]],Info!B:B,Info!D:D,0)=0,BalCom[[#This Row],[Code]],(_xlfn.XLOOKUP(BalCom[[#This Row],[Code]],Info!B:B,Info!D:D,0)))</f>
        <v>CH91</v>
      </c>
      <c r="O121" s="12">
        <f>IF(BalCom[[#This Row],[New Code]]="SFG-Water",0,_xlfn.XLOOKUP(BalCom[[#This Row],[New Code]],Used_before_Trf!A:A,Used_before_Trf!U:U,""))</f>
        <v>50.317319152837626</v>
      </c>
      <c r="P121" s="12">
        <f>IF(D121="","",ROUND((BalCom[[#This Row],[Price]]*BalCom[[#This Row],[Bal. Kg Wet]]),2))</f>
        <v>289.25</v>
      </c>
      <c r="Q121" s="443" t="str">
        <f>IF(BalCom[[#This Row],[Master name]]="","",IF(N121="SFG-Water","",IF(AND(N121&lt;&gt;0,P121&lt;&gt;0),"Ok","Error")))</f>
        <v>Ok</v>
      </c>
    </row>
    <row r="122" spans="1:17">
      <c r="A122" s="98" t="str">
        <f>IF(LEFT(BalCom[[#This Row],[Code]],3)="NBR","NBR","CHE")</f>
        <v>CHE</v>
      </c>
      <c r="C122" s="11" t="s">
        <v>629</v>
      </c>
      <c r="D122" s="11" t="s">
        <v>662</v>
      </c>
      <c r="E122" s="11" t="s">
        <v>658</v>
      </c>
      <c r="F122" s="91" t="s">
        <v>350</v>
      </c>
      <c r="G122" s="506">
        <v>0.7</v>
      </c>
      <c r="H122" s="11">
        <v>41.04</v>
      </c>
      <c r="I122" s="13">
        <v>1575.3240000000001</v>
      </c>
      <c r="J122" s="11"/>
      <c r="K122" s="12">
        <f>SUMIFS(H:H,C:C,BalCom[[#This Row],[Name]],D:D,BalCom[[#This Row],[Master name]])</f>
        <v>1499.5332000000001</v>
      </c>
      <c r="L122" s="12">
        <f>IFERROR(BalCom[[#This Row],[Balance (Kg)]]*BalCom[[#This Row],[Dry Kg]]/BalCom[[#This Row],[Total Dry Kg]],0)</f>
        <v>43.114281804497558</v>
      </c>
      <c r="M122" s="12">
        <f>IF(D122="","",BalCom[[#This Row],[Bal. Kg Dry]]/BalCom[[#This Row],[TSC]])</f>
        <v>61.591831149282228</v>
      </c>
      <c r="N122" s="97" t="str">
        <f>IF(_xlfn.XLOOKUP(BalCom[[#This Row],[Code]],Info!B:B,Info!D:D,0)=0,BalCom[[#This Row],[Code]],(_xlfn.XLOOKUP(BalCom[[#This Row],[Code]],Info!B:B,Info!D:D,0)))</f>
        <v>CH94</v>
      </c>
      <c r="O122" s="12">
        <f>IF(BalCom[[#This Row],[New Code]]="SFG-Water",0,_xlfn.XLOOKUP(BalCom[[#This Row],[New Code]],Used_before_Trf!A:A,Used_before_Trf!U:U,""))</f>
        <v>52.941651406692188</v>
      </c>
      <c r="P122" s="12">
        <f>IF(D122="","",ROUND((BalCom[[#This Row],[Price]]*BalCom[[#This Row],[Bal. Kg Wet]]),2))</f>
        <v>3260.77</v>
      </c>
      <c r="Q122" s="443" t="str">
        <f>IF(BalCom[[#This Row],[Master name]]="","",IF(N122="SFG-Water","",IF(AND(N122&lt;&gt;0,P122&lt;&gt;0),"Ok","Error")))</f>
        <v>Ok</v>
      </c>
    </row>
    <row r="123" spans="1:17">
      <c r="A123" s="98" t="str">
        <f>IF(LEFT(BalCom[[#This Row],[Code]],3)="NBR","NBR","CHE")</f>
        <v>CHE</v>
      </c>
      <c r="C123" s="11" t="s">
        <v>629</v>
      </c>
      <c r="D123" s="11" t="s">
        <v>662</v>
      </c>
      <c r="E123" s="11" t="s">
        <v>639</v>
      </c>
      <c r="F123" s="91" t="s">
        <v>295</v>
      </c>
      <c r="G123" s="506">
        <v>0.55000000000000004</v>
      </c>
      <c r="H123" s="11">
        <v>27.36</v>
      </c>
      <c r="I123" s="13">
        <v>1575.3240000000001</v>
      </c>
      <c r="J123" s="11"/>
      <c r="K123" s="12">
        <f>SUMIFS(H:H,C:C,BalCom[[#This Row],[Name]],D:D,BalCom[[#This Row],[Master name]])</f>
        <v>1499.5332000000001</v>
      </c>
      <c r="L123" s="12">
        <f>IFERROR(BalCom[[#This Row],[Balance (Kg)]]*BalCom[[#This Row],[Dry Kg]]/BalCom[[#This Row],[Total Dry Kg]],0)</f>
        <v>28.742854536331706</v>
      </c>
      <c r="M123" s="12">
        <f>IF(D123="","",BalCom[[#This Row],[Bal. Kg Dry]]/BalCom[[#This Row],[TSC]])</f>
        <v>52.259735520603094</v>
      </c>
      <c r="N123" s="97" t="str">
        <f>IF(_xlfn.XLOOKUP(BalCom[[#This Row],[Code]],Info!B:B,Info!D:D,0)=0,BalCom[[#This Row],[Code]],(_xlfn.XLOOKUP(BalCom[[#This Row],[Code]],Info!B:B,Info!D:D,0)))</f>
        <v>CH222</v>
      </c>
      <c r="O123" s="12">
        <f>IF(BalCom[[#This Row],[New Code]]="SFG-Water",0,_xlfn.XLOOKUP(BalCom[[#This Row],[New Code]],Used_before_Trf!A:A,Used_before_Trf!U:U,""))</f>
        <v>42.341880945075175</v>
      </c>
      <c r="P123" s="12">
        <f>IF(D123="","",ROUND((BalCom[[#This Row],[Price]]*BalCom[[#This Row],[Bal. Kg Wet]]),2))</f>
        <v>2212.7800000000002</v>
      </c>
      <c r="Q123" s="443" t="str">
        <f>IF(BalCom[[#This Row],[Master name]]="","",IF(N123="SFG-Water","",IF(AND(N123&lt;&gt;0,P123&lt;&gt;0),"Ok","Error")))</f>
        <v>Ok</v>
      </c>
    </row>
    <row r="124" spans="1:17">
      <c r="A124" s="98" t="str">
        <f>IF(LEFT(BalCom[[#This Row],[Code]],3)="NBR","NBR","CHE")</f>
        <v>NBR</v>
      </c>
      <c r="C124" s="11" t="s">
        <v>629</v>
      </c>
      <c r="D124" s="11" t="s">
        <v>662</v>
      </c>
      <c r="E124" s="11" t="s">
        <v>631</v>
      </c>
      <c r="F124" s="91" t="s">
        <v>502</v>
      </c>
      <c r="G124" s="506">
        <v>0.4496</v>
      </c>
      <c r="H124" s="11">
        <v>1368</v>
      </c>
      <c r="I124" s="13">
        <v>1575.3240000000001</v>
      </c>
      <c r="J124" s="11"/>
      <c r="K124" s="12">
        <f>SUMIFS(H:H,C:C,BalCom[[#This Row],[Name]],D:D,BalCom[[#This Row],[Master name]])</f>
        <v>1499.5332000000001</v>
      </c>
      <c r="L124" s="12">
        <f>IFERROR(BalCom[[#This Row],[Balance (Kg)]]*BalCom[[#This Row],[Dry Kg]]/BalCom[[#This Row],[Total Dry Kg]],0)</f>
        <v>1437.1427268165855</v>
      </c>
      <c r="M124" s="12">
        <f>IF(D124="","",BalCom[[#This Row],[Bal. Kg Dry]]/BalCom[[#This Row],[TSC]])</f>
        <v>3196.4918301080638</v>
      </c>
      <c r="N124" s="97" t="str">
        <f>IF(_xlfn.XLOOKUP(BalCom[[#This Row],[Code]],Info!B:B,Info!D:D,0)=0,BalCom[[#This Row],[Code]],(_xlfn.XLOOKUP(BalCom[[#This Row],[Code]],Info!B:B,Info!D:D,0)))</f>
        <v>NBR01</v>
      </c>
      <c r="O124" s="12">
        <f>IF(BalCom[[#This Row],[New Code]]="SFG-Water",0,_xlfn.XLOOKUP(BalCom[[#This Row],[New Code]],Used_before_Trf!A:A,Used_before_Trf!U:U,""))</f>
        <v>50.516914477361652</v>
      </c>
      <c r="P124" s="12">
        <f>IF(D124="","",ROUND((BalCom[[#This Row],[Price]]*BalCom[[#This Row],[Bal. Kg Wet]]),2))</f>
        <v>161476.9</v>
      </c>
      <c r="Q124" s="443" t="str">
        <f>IF(BalCom[[#This Row],[Master name]]="","",IF(N124="SFG-Water","",IF(AND(N124&lt;&gt;0,P124&lt;&gt;0),"Ok","Error")))</f>
        <v>Ok</v>
      </c>
    </row>
    <row r="125" spans="1:17">
      <c r="A125" s="98" t="str">
        <f>IF(LEFT(BalCom[[#This Row],[Code]],3)="NBR","NBR","CHE")</f>
        <v>CHE</v>
      </c>
      <c r="C125" s="11" t="s">
        <v>629</v>
      </c>
      <c r="D125" s="11" t="s">
        <v>662</v>
      </c>
      <c r="E125" s="11" t="s">
        <v>663</v>
      </c>
      <c r="F125" s="91" t="s">
        <v>354</v>
      </c>
      <c r="G125" s="506">
        <v>0.47</v>
      </c>
      <c r="H125" s="11">
        <v>0.64300000000000002</v>
      </c>
      <c r="I125" s="13">
        <v>1575.3240000000001</v>
      </c>
      <c r="J125" s="11"/>
      <c r="K125" s="12">
        <f>SUMIFS(H:H,C:C,BalCom[[#This Row],[Name]],D:D,BalCom[[#This Row],[Master name]])</f>
        <v>1499.5332000000001</v>
      </c>
      <c r="L125" s="12">
        <f>IFERROR(BalCom[[#This Row],[Balance (Kg)]]*BalCom[[#This Row],[Dry Kg]]/BalCom[[#This Row],[Total Dry Kg]],0)</f>
        <v>0.67549910332095353</v>
      </c>
      <c r="M125" s="12">
        <f>IF(D125="","",BalCom[[#This Row],[Bal. Kg Dry]]/BalCom[[#This Row],[TSC]])</f>
        <v>1.4372321347254331</v>
      </c>
      <c r="N125" s="97" t="str">
        <f>IF(_xlfn.XLOOKUP(BalCom[[#This Row],[Code]],Info!B:B,Info!D:D,0)=0,BalCom[[#This Row],[Code]],(_xlfn.XLOOKUP(BalCom[[#This Row],[Code]],Info!B:B,Info!D:D,0)))</f>
        <v>CH96</v>
      </c>
      <c r="O125" s="12">
        <f>IF(BalCom[[#This Row],[New Code]]="SFG-Water",0,_xlfn.XLOOKUP(BalCom[[#This Row],[New Code]],Used_before_Trf!A:A,Used_before_Trf!U:U,""))</f>
        <v>871.79</v>
      </c>
      <c r="P125" s="12">
        <f>IF(D125="","",ROUND((BalCom[[#This Row],[Price]]*BalCom[[#This Row],[Bal. Kg Wet]]),2))</f>
        <v>1252.96</v>
      </c>
      <c r="Q125" s="443" t="str">
        <f>IF(BalCom[[#This Row],[Master name]]="","",IF(N125="SFG-Water","",IF(AND(N125&lt;&gt;0,P125&lt;&gt;0),"Ok","Error")))</f>
        <v>Ok</v>
      </c>
    </row>
    <row r="126" spans="1:17">
      <c r="A126" s="98" t="str">
        <f>IF(LEFT(BalCom[[#This Row],[Code]],3)="NBR","NBR","CHE")</f>
        <v>CHE</v>
      </c>
      <c r="C126" s="11" t="s">
        <v>629</v>
      </c>
      <c r="D126" s="11" t="s">
        <v>662</v>
      </c>
      <c r="E126" s="11" t="s">
        <v>659</v>
      </c>
      <c r="F126" s="91" t="s">
        <v>203</v>
      </c>
      <c r="G126" s="506">
        <v>0.55000000000000004</v>
      </c>
      <c r="H126" s="11">
        <v>0.93020000000000003</v>
      </c>
      <c r="I126" s="13">
        <v>1575.3240000000001</v>
      </c>
      <c r="J126" s="11"/>
      <c r="K126" s="12">
        <f>SUMIFS(H:H,C:C,BalCom[[#This Row],[Name]],D:D,BalCom[[#This Row],[Master name]])</f>
        <v>1499.5332000000001</v>
      </c>
      <c r="L126" s="12">
        <f>IFERROR(BalCom[[#This Row],[Balance (Kg)]]*BalCom[[#This Row],[Dry Kg]]/BalCom[[#This Row],[Total Dry Kg]],0)</f>
        <v>0.9772150325181197</v>
      </c>
      <c r="M126" s="12">
        <f>IF(D126="","",BalCom[[#This Row],[Bal. Kg Dry]]/BalCom[[#This Row],[TSC]])</f>
        <v>1.7767546045783993</v>
      </c>
      <c r="N126" s="97" t="str">
        <f>IF(_xlfn.XLOOKUP(BalCom[[#This Row],[Code]],Info!B:B,Info!D:D,0)=0,BalCom[[#This Row],[Code]],(_xlfn.XLOOKUP(BalCom[[#This Row],[Code]],Info!B:B,Info!D:D,0)))</f>
        <v>CH128</v>
      </c>
      <c r="O126" s="12">
        <f>IF(BalCom[[#This Row],[New Code]]="SFG-Water",0,_xlfn.XLOOKUP(BalCom[[#This Row],[New Code]],Used_before_Trf!A:A,Used_before_Trf!U:U,""))</f>
        <v>216.34126575765373</v>
      </c>
      <c r="P126" s="12">
        <f>IF(D126="","",ROUND((BalCom[[#This Row],[Price]]*BalCom[[#This Row],[Bal. Kg Wet]]),2))</f>
        <v>384.39</v>
      </c>
      <c r="Q126" s="443" t="str">
        <f>IF(BalCom[[#This Row],[Master name]]="","",IF(N126="SFG-Water","",IF(AND(N126&lt;&gt;0,P126&lt;&gt;0),"Ok","Error")))</f>
        <v>Ok</v>
      </c>
    </row>
    <row r="127" spans="1:17">
      <c r="A127" s="98" t="str">
        <f>IF(LEFT(BalCom[[#This Row],[Code]],3)="NBR","NBR","CHE")</f>
        <v>CHE</v>
      </c>
      <c r="C127" s="11" t="s">
        <v>629</v>
      </c>
      <c r="D127" s="11" t="s">
        <v>664</v>
      </c>
      <c r="E127" s="11" t="s">
        <v>632</v>
      </c>
      <c r="F127" s="546" t="s">
        <v>277</v>
      </c>
      <c r="G127" s="506">
        <v>0.03</v>
      </c>
      <c r="H127" s="11">
        <v>1.5147000000000002</v>
      </c>
      <c r="I127" s="13">
        <v>595.73900000000003</v>
      </c>
      <c r="J127" s="11"/>
      <c r="K127" s="12">
        <f>SUMIFS(H:H,C:C,BalCom[[#This Row],[Name]],D:D,BalCom[[#This Row],[Master name]])</f>
        <v>1502.5549000000001</v>
      </c>
      <c r="L127" s="12">
        <f>IFERROR(BalCom[[#This Row],[Balance (Kg)]]*BalCom[[#This Row],[Dry Kg]]/BalCom[[#This Row],[Total Dry Kg]],0)</f>
        <v>0.60055433801453784</v>
      </c>
      <c r="M127" s="12">
        <f>IF(D127="","",BalCom[[#This Row],[Bal. Kg Dry]]/BalCom[[#This Row],[TSC]])</f>
        <v>20.018477933817927</v>
      </c>
      <c r="N127" s="97" t="str">
        <f>IF(_xlfn.XLOOKUP(BalCom[[#This Row],[Code]],Info!B:B,Info!D:D,0)=0,BalCom[[#This Row],[Code]],(_xlfn.XLOOKUP(BalCom[[#This Row],[Code]],Info!B:B,Info!D:D,0)))</f>
        <v>CH212</v>
      </c>
      <c r="O127" s="12">
        <f>IF(BalCom[[#This Row],[New Code]]="SFG-Water",0,_xlfn.XLOOKUP(BalCom[[#This Row],[New Code]],Used_before_Trf!A:A,Used_before_Trf!U:U,""))</f>
        <v>32.035420833333333</v>
      </c>
      <c r="P127" s="12">
        <f>IF(D127="","",ROUND((BalCom[[#This Row],[Price]]*BalCom[[#This Row],[Bal. Kg Wet]]),2))</f>
        <v>641.29999999999995</v>
      </c>
      <c r="Q127" s="443" t="str">
        <f>IF(BalCom[[#This Row],[Master name]]="","",IF(N127="SFG-Water","",IF(AND(N127&lt;&gt;0,P127&lt;&gt;0),"Ok","Error")))</f>
        <v>Ok</v>
      </c>
    </row>
    <row r="128" spans="1:17">
      <c r="A128" s="98" t="str">
        <f>IF(LEFT(BalCom[[#This Row],[Code]],3)="NBR","NBR","CHE")</f>
        <v>CHE</v>
      </c>
      <c r="C128" s="11" t="s">
        <v>629</v>
      </c>
      <c r="D128" s="11" t="s">
        <v>664</v>
      </c>
      <c r="E128" s="11" t="s">
        <v>633</v>
      </c>
      <c r="F128" s="91" t="s">
        <v>497</v>
      </c>
      <c r="G128" s="506">
        <v>0.03</v>
      </c>
      <c r="H128" s="11">
        <v>20.517299999999999</v>
      </c>
      <c r="I128" s="13">
        <v>595.73900000000003</v>
      </c>
      <c r="J128" s="11"/>
      <c r="K128" s="12">
        <f>SUMIFS(H:H,C:C,BalCom[[#This Row],[Name]],D:D,BalCom[[#This Row],[Master name]])</f>
        <v>1502.5549000000001</v>
      </c>
      <c r="L128" s="12">
        <f>IFERROR(BalCom[[#This Row],[Balance (Kg)]]*BalCom[[#This Row],[Dry Kg]]/BalCom[[#This Row],[Total Dry Kg]],0)</f>
        <v>8.1347814876514661</v>
      </c>
      <c r="M128" s="12">
        <f>IF(D128="","",BalCom[[#This Row],[Bal. Kg Dry]]/BalCom[[#This Row],[TSC]])</f>
        <v>271.15938292171558</v>
      </c>
      <c r="N128" s="97" t="str">
        <f>IF(_xlfn.XLOOKUP(BalCom[[#This Row],[Code]],Info!B:B,Info!D:D,0)=0,BalCom[[#This Row],[Code]],(_xlfn.XLOOKUP(BalCom[[#This Row],[Code]],Info!B:B,Info!D:D,0)))</f>
        <v>SFG-Water</v>
      </c>
      <c r="O128" s="12">
        <f>IF(BalCom[[#This Row],[New Code]]="SFG-Water",0,_xlfn.XLOOKUP(BalCom[[#This Row],[New Code]],Used_before_Trf!A:A,Used_before_Trf!U:U,""))</f>
        <v>0</v>
      </c>
      <c r="P128" s="12">
        <f>IF(D128="","",ROUND((BalCom[[#This Row],[Price]]*BalCom[[#This Row],[Bal. Kg Wet]]),2))</f>
        <v>0</v>
      </c>
      <c r="Q128" s="443" t="str">
        <f>IF(BalCom[[#This Row],[Master name]]="","",IF(N128="SFG-Water","",IF(AND(N128&lt;&gt;0,P128&lt;&gt;0),"Ok","Error")))</f>
        <v/>
      </c>
    </row>
    <row r="129" spans="1:17">
      <c r="A129" s="98" t="str">
        <f>IF(LEFT(BalCom[[#This Row],[Code]],3)="NBR","NBR","CHE")</f>
        <v>CHE</v>
      </c>
      <c r="C129" s="11" t="s">
        <v>629</v>
      </c>
      <c r="D129" s="11" t="s">
        <v>664</v>
      </c>
      <c r="E129" s="11" t="s">
        <v>657</v>
      </c>
      <c r="F129" s="91" t="s">
        <v>181</v>
      </c>
      <c r="G129" s="506">
        <v>0.3</v>
      </c>
      <c r="H129" s="11">
        <v>4.1310000000000002</v>
      </c>
      <c r="I129" s="13">
        <v>595.73900000000003</v>
      </c>
      <c r="J129" s="11"/>
      <c r="K129" s="12">
        <f>SUMIFS(H:H,C:C,BalCom[[#This Row],[Name]],D:D,BalCom[[#This Row],[Master name]])</f>
        <v>1502.5549000000001</v>
      </c>
      <c r="L129" s="12">
        <f>IFERROR(BalCom[[#This Row],[Balance (Kg)]]*BalCom[[#This Row],[Dry Kg]]/BalCom[[#This Row],[Total Dry Kg]],0)</f>
        <v>1.6378754673123759</v>
      </c>
      <c r="M129" s="12">
        <f>IF(D129="","",BalCom[[#This Row],[Bal. Kg Dry]]/BalCom[[#This Row],[TSC]])</f>
        <v>5.4595848910412528</v>
      </c>
      <c r="N129" s="97" t="str">
        <f>IF(_xlfn.XLOOKUP(BalCom[[#This Row],[Code]],Info!B:B,Info!D:D,0)=0,BalCom[[#This Row],[Code]],(_xlfn.XLOOKUP(BalCom[[#This Row],[Code]],Info!B:B,Info!D:D,0)))</f>
        <v>CH106</v>
      </c>
      <c r="O129" s="12">
        <f>IF(BalCom[[#This Row],[New Code]]="SFG-Water",0,_xlfn.XLOOKUP(BalCom[[#This Row],[New Code]],Used_before_Trf!A:A,Used_before_Trf!U:U,""))</f>
        <v>32.57468982630273</v>
      </c>
      <c r="P129" s="12">
        <f>IF(D129="","",ROUND((BalCom[[#This Row],[Price]]*BalCom[[#This Row],[Bal. Kg Wet]]),2))</f>
        <v>177.84</v>
      </c>
      <c r="Q129" s="443" t="str">
        <f>IF(BalCom[[#This Row],[Master name]]="","",IF(N129="SFG-Water","",IF(AND(N129&lt;&gt;0,P129&lt;&gt;0),"Ok","Error")))</f>
        <v>Ok</v>
      </c>
    </row>
    <row r="130" spans="1:17">
      <c r="A130" s="98" t="str">
        <f>IF(LEFT(BalCom[[#This Row],[Code]],3)="NBR","NBR","CHE")</f>
        <v>CHE</v>
      </c>
      <c r="C130" s="11" t="s">
        <v>629</v>
      </c>
      <c r="D130" s="11" t="s">
        <v>664</v>
      </c>
      <c r="E130" s="11" t="s">
        <v>661</v>
      </c>
      <c r="F130" s="546" t="s">
        <v>321</v>
      </c>
      <c r="G130" s="506">
        <v>0.5</v>
      </c>
      <c r="H130" s="11">
        <v>11.016</v>
      </c>
      <c r="I130" s="13">
        <v>595.73900000000003</v>
      </c>
      <c r="J130" s="11"/>
      <c r="K130" s="12">
        <f>SUMIFS(H:H,C:C,BalCom[[#This Row],[Name]],D:D,BalCom[[#This Row],[Master name]])</f>
        <v>1502.5549000000001</v>
      </c>
      <c r="L130" s="12">
        <f>IFERROR(BalCom[[#This Row],[Balance (Kg)]]*BalCom[[#This Row],[Dry Kg]]/BalCom[[#This Row],[Total Dry Kg]],0)</f>
        <v>4.367667912833002</v>
      </c>
      <c r="M130" s="12">
        <f>IF(D130="","",BalCom[[#This Row],[Bal. Kg Dry]]/BalCom[[#This Row],[TSC]])</f>
        <v>8.7353358256660041</v>
      </c>
      <c r="N130" s="97" t="str">
        <f>IF(_xlfn.XLOOKUP(BalCom[[#This Row],[Code]],Info!B:B,Info!D:D,0)=0,BalCom[[#This Row],[Code]],(_xlfn.XLOOKUP(BalCom[[#This Row],[Code]],Info!B:B,Info!D:D,0)))</f>
        <v>CH240</v>
      </c>
      <c r="O130" s="12">
        <f>IF(BalCom[[#This Row],[New Code]]="SFG-Water",0,_xlfn.XLOOKUP(BalCom[[#This Row],[New Code]],Used_before_Trf!A:A,Used_before_Trf!U:U,""))</f>
        <v>77.639858594785693</v>
      </c>
      <c r="P130" s="12">
        <f>IF(D130="","",ROUND((BalCom[[#This Row],[Price]]*BalCom[[#This Row],[Bal. Kg Wet]]),2))</f>
        <v>678.21</v>
      </c>
      <c r="Q130" s="443" t="str">
        <f>IF(BalCom[[#This Row],[Master name]]="","",IF(N130="SFG-Water","",IF(AND(N130&lt;&gt;0,P130&lt;&gt;0),"Ok","Error")))</f>
        <v>Ok</v>
      </c>
    </row>
    <row r="131" spans="1:17">
      <c r="A131" s="98" t="str">
        <f>IF(LEFT(BalCom[[#This Row],[Code]],3)="NBR","NBR","CHE")</f>
        <v>CHE</v>
      </c>
      <c r="C131" s="11" t="s">
        <v>629</v>
      </c>
      <c r="D131" s="11" t="s">
        <v>664</v>
      </c>
      <c r="E131" s="11" t="s">
        <v>635</v>
      </c>
      <c r="F131" s="91" t="s">
        <v>348</v>
      </c>
      <c r="G131" s="506">
        <v>0.6</v>
      </c>
      <c r="H131" s="11">
        <v>15.147</v>
      </c>
      <c r="I131" s="13">
        <v>595.73900000000003</v>
      </c>
      <c r="J131" s="11"/>
      <c r="K131" s="12">
        <f>SUMIFS(H:H,C:C,BalCom[[#This Row],[Name]],D:D,BalCom[[#This Row],[Master name]])</f>
        <v>1502.5549000000001</v>
      </c>
      <c r="L131" s="12">
        <f>IFERROR(BalCom[[#This Row],[Balance (Kg)]]*BalCom[[#This Row],[Dry Kg]]/BalCom[[#This Row],[Total Dry Kg]],0)</f>
        <v>6.0055433801453777</v>
      </c>
      <c r="M131" s="12">
        <f>IF(D131="","",BalCom[[#This Row],[Bal. Kg Dry]]/BalCom[[#This Row],[TSC]])</f>
        <v>10.009238966908963</v>
      </c>
      <c r="N131" s="97" t="str">
        <f>IF(_xlfn.XLOOKUP(BalCom[[#This Row],[Code]],Info!B:B,Info!D:D,0)=0,BalCom[[#This Row],[Code]],(_xlfn.XLOOKUP(BalCom[[#This Row],[Code]],Info!B:B,Info!D:D,0)))</f>
        <v>CH93</v>
      </c>
      <c r="O131" s="12">
        <f>IF(BalCom[[#This Row],[New Code]]="SFG-Water",0,_xlfn.XLOOKUP(BalCom[[#This Row],[New Code]],Used_before_Trf!A:A,Used_before_Trf!U:U,""))</f>
        <v>69.839849490925189</v>
      </c>
      <c r="P131" s="12">
        <f>IF(D131="","",ROUND((BalCom[[#This Row],[Price]]*BalCom[[#This Row],[Bal. Kg Wet]]),2))</f>
        <v>699.04</v>
      </c>
      <c r="Q131" s="443" t="str">
        <f>IF(BalCom[[#This Row],[Master name]]="","",IF(N131="SFG-Water","",IF(AND(N131&lt;&gt;0,P131&lt;&gt;0),"Ok","Error")))</f>
        <v>Ok</v>
      </c>
    </row>
    <row r="132" spans="1:17">
      <c r="A132" s="98" t="str">
        <f>IF(LEFT(BalCom[[#This Row],[Code]],3)="NBR","NBR","CHE")</f>
        <v>CHE</v>
      </c>
      <c r="C132" s="11" t="s">
        <v>629</v>
      </c>
      <c r="D132" s="11" t="s">
        <v>664</v>
      </c>
      <c r="E132" s="11" t="s">
        <v>636</v>
      </c>
      <c r="F132" s="91" t="s">
        <v>346</v>
      </c>
      <c r="G132" s="506">
        <v>0.6</v>
      </c>
      <c r="H132" s="11">
        <v>6.8849999999999998</v>
      </c>
      <c r="I132" s="13">
        <v>595.73900000000003</v>
      </c>
      <c r="J132" s="11"/>
      <c r="K132" s="12">
        <f>SUMIFS(H:H,C:C,BalCom[[#This Row],[Name]],D:D,BalCom[[#This Row],[Master name]])</f>
        <v>1502.5549000000001</v>
      </c>
      <c r="L132" s="12">
        <f>IFERROR(BalCom[[#This Row],[Balance (Kg)]]*BalCom[[#This Row],[Dry Kg]]/BalCom[[#This Row],[Total Dry Kg]],0)</f>
        <v>2.7297924455206259</v>
      </c>
      <c r="M132" s="12">
        <f>IF(D132="","",BalCom[[#This Row],[Bal. Kg Dry]]/BalCom[[#This Row],[TSC]])</f>
        <v>4.5496540758677098</v>
      </c>
      <c r="N132" s="97" t="str">
        <f>IF(_xlfn.XLOOKUP(BalCom[[#This Row],[Code]],Info!B:B,Info!D:D,0)=0,BalCom[[#This Row],[Code]],(_xlfn.XLOOKUP(BalCom[[#This Row],[Code]],Info!B:B,Info!D:D,0)))</f>
        <v>CH92</v>
      </c>
      <c r="O132" s="12">
        <f>IF(BalCom[[#This Row],[New Code]]="SFG-Water",0,_xlfn.XLOOKUP(BalCom[[#This Row],[New Code]],Used_before_Trf!A:A,Used_before_Trf!U:U,""))</f>
        <v>28.016027710254928</v>
      </c>
      <c r="P132" s="12">
        <f>IF(D132="","",ROUND((BalCom[[#This Row],[Price]]*BalCom[[#This Row],[Bal. Kg Wet]]),2))</f>
        <v>127.46</v>
      </c>
      <c r="Q132" s="443" t="str">
        <f>IF(BalCom[[#This Row],[Master name]]="","",IF(N132="SFG-Water","",IF(AND(N132&lt;&gt;0,P132&lt;&gt;0),"Ok","Error")))</f>
        <v>Ok</v>
      </c>
    </row>
    <row r="133" spans="1:17">
      <c r="A133" s="98" t="str">
        <f>IF(LEFT(BalCom[[#This Row],[Code]],3)="NBR","NBR","CHE")</f>
        <v>CHE</v>
      </c>
      <c r="C133" s="11" t="s">
        <v>629</v>
      </c>
      <c r="D133" s="11" t="s">
        <v>664</v>
      </c>
      <c r="E133" s="11" t="s">
        <v>637</v>
      </c>
      <c r="F133" s="91" t="s">
        <v>344</v>
      </c>
      <c r="G133" s="506">
        <v>0.5</v>
      </c>
      <c r="H133" s="11">
        <v>2.754</v>
      </c>
      <c r="I133" s="13">
        <v>595.73900000000003</v>
      </c>
      <c r="J133" s="11"/>
      <c r="K133" s="12">
        <f>SUMIFS(H:H,C:C,BalCom[[#This Row],[Name]],D:D,BalCom[[#This Row],[Master name]])</f>
        <v>1502.5549000000001</v>
      </c>
      <c r="L133" s="12">
        <f>IFERROR(BalCom[[#This Row],[Balance (Kg)]]*BalCom[[#This Row],[Dry Kg]]/BalCom[[#This Row],[Total Dry Kg]],0)</f>
        <v>1.0919169782082505</v>
      </c>
      <c r="M133" s="12">
        <f>IF(D133="","",BalCom[[#This Row],[Bal. Kg Dry]]/BalCom[[#This Row],[TSC]])</f>
        <v>2.183833956416501</v>
      </c>
      <c r="N133" s="97" t="str">
        <f>IF(_xlfn.XLOOKUP(BalCom[[#This Row],[Code]],Info!B:B,Info!D:D,0)=0,BalCom[[#This Row],[Code]],(_xlfn.XLOOKUP(BalCom[[#This Row],[Code]],Info!B:B,Info!D:D,0)))</f>
        <v>CH91</v>
      </c>
      <c r="O133" s="12">
        <f>IF(BalCom[[#This Row],[New Code]]="SFG-Water",0,_xlfn.XLOOKUP(BalCom[[#This Row],[New Code]],Used_before_Trf!A:A,Used_before_Trf!U:U,""))</f>
        <v>50.317319152837626</v>
      </c>
      <c r="P133" s="12">
        <f>IF(D133="","",ROUND((BalCom[[#This Row],[Price]]*BalCom[[#This Row],[Bal. Kg Wet]]),2))</f>
        <v>109.88</v>
      </c>
      <c r="Q133" s="443" t="str">
        <f>IF(BalCom[[#This Row],[Master name]]="","",IF(N133="SFG-Water","",IF(AND(N133&lt;&gt;0,P133&lt;&gt;0),"Ok","Error")))</f>
        <v>Ok</v>
      </c>
    </row>
    <row r="134" spans="1:17">
      <c r="A134" s="98" t="str">
        <f>IF(LEFT(BalCom[[#This Row],[Code]],3)="NBR","NBR","CHE")</f>
        <v>CHE</v>
      </c>
      <c r="C134" s="11" t="s">
        <v>629</v>
      </c>
      <c r="D134" s="11" t="s">
        <v>664</v>
      </c>
      <c r="E134" s="11" t="s">
        <v>658</v>
      </c>
      <c r="F134" s="91" t="s">
        <v>350</v>
      </c>
      <c r="G134" s="506">
        <v>0.7</v>
      </c>
      <c r="H134" s="11">
        <v>34.424999999999997</v>
      </c>
      <c r="I134" s="13">
        <v>595.73900000000003</v>
      </c>
      <c r="J134" s="11"/>
      <c r="K134" s="12">
        <f>SUMIFS(H:H,C:C,BalCom[[#This Row],[Name]],D:D,BalCom[[#This Row],[Master name]])</f>
        <v>1502.5549000000001</v>
      </c>
      <c r="L134" s="12">
        <f>IFERROR(BalCom[[#This Row],[Balance (Kg)]]*BalCom[[#This Row],[Dry Kg]]/BalCom[[#This Row],[Total Dry Kg]],0)</f>
        <v>13.64896222760313</v>
      </c>
      <c r="M134" s="12">
        <f>IF(D134="","",BalCom[[#This Row],[Bal. Kg Dry]]/BalCom[[#This Row],[TSC]])</f>
        <v>19.498517468004472</v>
      </c>
      <c r="N134" s="97" t="str">
        <f>IF(_xlfn.XLOOKUP(BalCom[[#This Row],[Code]],Info!B:B,Info!D:D,0)=0,BalCom[[#This Row],[Code]],(_xlfn.XLOOKUP(BalCom[[#This Row],[Code]],Info!B:B,Info!D:D,0)))</f>
        <v>CH94</v>
      </c>
      <c r="O134" s="12">
        <f>IF(BalCom[[#This Row],[New Code]]="SFG-Water",0,_xlfn.XLOOKUP(BalCom[[#This Row],[New Code]],Used_before_Trf!A:A,Used_before_Trf!U:U,""))</f>
        <v>52.941651406692188</v>
      </c>
      <c r="P134" s="12">
        <f>IF(D134="","",ROUND((BalCom[[#This Row],[Price]]*BalCom[[#This Row],[Bal. Kg Wet]]),2))</f>
        <v>1032.28</v>
      </c>
      <c r="Q134" s="443" t="str">
        <f>IF(BalCom[[#This Row],[Master name]]="","",IF(N134="SFG-Water","",IF(AND(N134&lt;&gt;0,P134&lt;&gt;0),"Ok","Error")))</f>
        <v>Ok</v>
      </c>
    </row>
    <row r="135" spans="1:17">
      <c r="A135" s="98" t="str">
        <f>IF(LEFT(BalCom[[#This Row],[Code]],3)="NBR","NBR","CHE")</f>
        <v>CHE</v>
      </c>
      <c r="C135" s="11" t="s">
        <v>629</v>
      </c>
      <c r="D135" s="11" t="s">
        <v>664</v>
      </c>
      <c r="E135" s="11" t="s">
        <v>639</v>
      </c>
      <c r="F135" s="91" t="s">
        <v>295</v>
      </c>
      <c r="G135" s="506">
        <v>0.55000000000000004</v>
      </c>
      <c r="H135" s="11">
        <v>27.54</v>
      </c>
      <c r="I135" s="13">
        <v>595.73900000000003</v>
      </c>
      <c r="J135" s="11"/>
      <c r="K135" s="12">
        <f>SUMIFS(H:H,C:C,BalCom[[#This Row],[Name]],D:D,BalCom[[#This Row],[Master name]])</f>
        <v>1502.5549000000001</v>
      </c>
      <c r="L135" s="12">
        <f>IFERROR(BalCom[[#This Row],[Balance (Kg)]]*BalCom[[#This Row],[Dry Kg]]/BalCom[[#This Row],[Total Dry Kg]],0)</f>
        <v>10.919169782082504</v>
      </c>
      <c r="M135" s="12">
        <f>IF(D135="","",BalCom[[#This Row],[Bal. Kg Dry]]/BalCom[[#This Row],[TSC]])</f>
        <v>19.853035967422734</v>
      </c>
      <c r="N135" s="97" t="str">
        <f>IF(_xlfn.XLOOKUP(BalCom[[#This Row],[Code]],Info!B:B,Info!D:D,0)=0,BalCom[[#This Row],[Code]],(_xlfn.XLOOKUP(BalCom[[#This Row],[Code]],Info!B:B,Info!D:D,0)))</f>
        <v>CH222</v>
      </c>
      <c r="O135" s="12">
        <f>IF(BalCom[[#This Row],[New Code]]="SFG-Water",0,_xlfn.XLOOKUP(BalCom[[#This Row],[New Code]],Used_before_Trf!A:A,Used_before_Trf!U:U,""))</f>
        <v>42.341880945075175</v>
      </c>
      <c r="P135" s="12">
        <f>IF(D135="","",ROUND((BalCom[[#This Row],[Price]]*BalCom[[#This Row],[Bal. Kg Wet]]),2))</f>
        <v>840.61</v>
      </c>
      <c r="Q135" s="443" t="str">
        <f>IF(BalCom[[#This Row],[Master name]]="","",IF(N135="SFG-Water","",IF(AND(N135&lt;&gt;0,P135&lt;&gt;0),"Ok","Error")))</f>
        <v>Ok</v>
      </c>
    </row>
    <row r="136" spans="1:17">
      <c r="A136" s="98" t="str">
        <f>IF(LEFT(BalCom[[#This Row],[Code]],3)="NBR","NBR","CHE")</f>
        <v>NBR</v>
      </c>
      <c r="C136" s="11" t="s">
        <v>629</v>
      </c>
      <c r="D136" s="11" t="s">
        <v>664</v>
      </c>
      <c r="E136" s="11" t="s">
        <v>631</v>
      </c>
      <c r="F136" s="91" t="s">
        <v>502</v>
      </c>
      <c r="G136" s="506">
        <v>0.4496</v>
      </c>
      <c r="H136" s="11">
        <v>1377</v>
      </c>
      <c r="I136" s="13">
        <v>595.73900000000003</v>
      </c>
      <c r="J136" s="11"/>
      <c r="K136" s="12">
        <f>SUMIFS(H:H,C:C,BalCom[[#This Row],[Name]],D:D,BalCom[[#This Row],[Master name]])</f>
        <v>1502.5549000000001</v>
      </c>
      <c r="L136" s="12">
        <f>IFERROR(BalCom[[#This Row],[Balance (Kg)]]*BalCom[[#This Row],[Dry Kg]]/BalCom[[#This Row],[Total Dry Kg]],0)</f>
        <v>545.95848910412519</v>
      </c>
      <c r="M136" s="12">
        <f>IF(D136="","",BalCom[[#This Row],[Bal. Kg Dry]]/BalCom[[#This Row],[TSC]])</f>
        <v>1214.3204828828407</v>
      </c>
      <c r="N136" s="97" t="str">
        <f>IF(_xlfn.XLOOKUP(BalCom[[#This Row],[Code]],Info!B:B,Info!D:D,0)=0,BalCom[[#This Row],[Code]],(_xlfn.XLOOKUP(BalCom[[#This Row],[Code]],Info!B:B,Info!D:D,0)))</f>
        <v>NBR01</v>
      </c>
      <c r="O136" s="12">
        <f>IF(BalCom[[#This Row],[New Code]]="SFG-Water",0,_xlfn.XLOOKUP(BalCom[[#This Row],[New Code]],Used_before_Trf!A:A,Used_before_Trf!U:U,""))</f>
        <v>50.516914477361652</v>
      </c>
      <c r="P136" s="12">
        <f>IF(D136="","",ROUND((BalCom[[#This Row],[Price]]*BalCom[[#This Row],[Bal. Kg Wet]]),2))</f>
        <v>61343.72</v>
      </c>
      <c r="Q136" s="443" t="str">
        <f>IF(BalCom[[#This Row],[Master name]]="","",IF(N136="SFG-Water","",IF(AND(N136&lt;&gt;0,P136&lt;&gt;0),"Ok","Error")))</f>
        <v>Ok</v>
      </c>
    </row>
    <row r="137" spans="1:17">
      <c r="A137" s="98" t="str">
        <f>IF(LEFT(BalCom[[#This Row],[Code]],3)="NBR","NBR","CHE")</f>
        <v>CHE</v>
      </c>
      <c r="C137" s="11" t="s">
        <v>629</v>
      </c>
      <c r="D137" s="11" t="s">
        <v>664</v>
      </c>
      <c r="E137" s="11" t="s">
        <v>659</v>
      </c>
      <c r="F137" s="91" t="s">
        <v>203</v>
      </c>
      <c r="G137" s="506">
        <v>0.55000000000000004</v>
      </c>
      <c r="H137" s="11">
        <v>0.97770000000000001</v>
      </c>
      <c r="I137" s="13">
        <v>595.73900000000003</v>
      </c>
      <c r="J137" s="11"/>
      <c r="K137" s="12">
        <f>SUMIFS(H:H,C:C,BalCom[[#This Row],[Name]],D:D,BalCom[[#This Row],[Master name]])</f>
        <v>1502.5549000000001</v>
      </c>
      <c r="L137" s="12">
        <f>IFERROR(BalCom[[#This Row],[Balance (Kg)]]*BalCom[[#This Row],[Dry Kg]]/BalCom[[#This Row],[Total Dry Kg]],0)</f>
        <v>0.38764242178438868</v>
      </c>
      <c r="M137" s="12">
        <f>IF(D137="","",BalCom[[#This Row],[Bal. Kg Dry]]/BalCom[[#This Row],[TSC]])</f>
        <v>0.70480440324434301</v>
      </c>
      <c r="N137" s="97" t="str">
        <f>IF(_xlfn.XLOOKUP(BalCom[[#This Row],[Code]],Info!B:B,Info!D:D,0)=0,BalCom[[#This Row],[Code]],(_xlfn.XLOOKUP(BalCom[[#This Row],[Code]],Info!B:B,Info!D:D,0)))</f>
        <v>CH128</v>
      </c>
      <c r="O137" s="12">
        <f>IF(BalCom[[#This Row],[New Code]]="SFG-Water",0,_xlfn.XLOOKUP(BalCom[[#This Row],[New Code]],Used_before_Trf!A:A,Used_before_Trf!U:U,""))</f>
        <v>216.34126575765373</v>
      </c>
      <c r="P137" s="12">
        <f>IF(D137="","",ROUND((BalCom[[#This Row],[Price]]*BalCom[[#This Row],[Bal. Kg Wet]]),2))</f>
        <v>152.47999999999999</v>
      </c>
      <c r="Q137" s="443" t="str">
        <f>IF(BalCom[[#This Row],[Master name]]="","",IF(N137="SFG-Water","",IF(AND(N137&lt;&gt;0,P137&lt;&gt;0),"Ok","Error")))</f>
        <v>Ok</v>
      </c>
    </row>
    <row r="138" spans="1:17">
      <c r="A138" s="98" t="str">
        <f>IF(LEFT(BalCom[[#This Row],[Code]],3)="NBR","NBR","CHE")</f>
        <v>CHE</v>
      </c>
      <c r="C138" s="11" t="s">
        <v>629</v>
      </c>
      <c r="D138" s="11" t="s">
        <v>664</v>
      </c>
      <c r="E138" s="11" t="s">
        <v>663</v>
      </c>
      <c r="F138" s="91" t="s">
        <v>354</v>
      </c>
      <c r="G138" s="506">
        <v>0.47</v>
      </c>
      <c r="H138" s="11">
        <v>0.6472</v>
      </c>
      <c r="I138" s="13">
        <v>595.73900000000003</v>
      </c>
      <c r="J138" s="11"/>
      <c r="K138" s="12">
        <f>SUMIFS(H:H,C:C,BalCom[[#This Row],[Name]],D:D,BalCom[[#This Row],[Master name]])</f>
        <v>1502.5549000000001</v>
      </c>
      <c r="L138" s="12">
        <f>IFERROR(BalCom[[#This Row],[Balance (Kg)]]*BalCom[[#This Row],[Dry Kg]]/BalCom[[#This Row],[Total Dry Kg]],0)</f>
        <v>0.2566044547190921</v>
      </c>
      <c r="M138" s="12">
        <f>IF(D138="","",BalCom[[#This Row],[Bal. Kg Dry]]/BalCom[[#This Row],[TSC]])</f>
        <v>0.5459669249342386</v>
      </c>
      <c r="N138" s="97" t="str">
        <f>IF(_xlfn.XLOOKUP(BalCom[[#This Row],[Code]],Info!B:B,Info!D:D,0)=0,BalCom[[#This Row],[Code]],(_xlfn.XLOOKUP(BalCom[[#This Row],[Code]],Info!B:B,Info!D:D,0)))</f>
        <v>CH96</v>
      </c>
      <c r="O138" s="12">
        <f>IF(BalCom[[#This Row],[New Code]]="SFG-Water",0,_xlfn.XLOOKUP(BalCom[[#This Row],[New Code]],Used_before_Trf!A:A,Used_before_Trf!U:U,""))</f>
        <v>871.79</v>
      </c>
      <c r="P138" s="12">
        <f>IF(D138="","",ROUND((BalCom[[#This Row],[Price]]*BalCom[[#This Row],[Bal. Kg Wet]]),2))</f>
        <v>475.97</v>
      </c>
      <c r="Q138" s="443" t="str">
        <f>IF(BalCom[[#This Row],[Master name]]="","",IF(N138="SFG-Water","",IF(AND(N138&lt;&gt;0,P138&lt;&gt;0),"Ok","Error")))</f>
        <v>Ok</v>
      </c>
    </row>
    <row r="139" spans="1:17">
      <c r="A139" s="98" t="str">
        <f>IF(LEFT(BalCom[[#This Row],[Code]],3)="NBR","NBR","CHE")</f>
        <v>CHE</v>
      </c>
      <c r="C139" s="11" t="s">
        <v>629</v>
      </c>
      <c r="D139" s="11" t="s">
        <v>665</v>
      </c>
      <c r="E139" s="11" t="s">
        <v>632</v>
      </c>
      <c r="F139" s="546" t="s">
        <v>277</v>
      </c>
      <c r="G139" s="506">
        <v>0.03</v>
      </c>
      <c r="H139" s="11">
        <v>1.29380625</v>
      </c>
      <c r="I139" s="13">
        <v>575.6268</v>
      </c>
      <c r="J139" s="11"/>
      <c r="K139" s="12">
        <f>SUMIFS(H:H,C:C,BalCom[[#This Row],[Name]],D:D,BalCom[[#This Row],[Master name]])</f>
        <v>1195.7260999999999</v>
      </c>
      <c r="L139" s="12">
        <f>IFERROR(BalCom[[#This Row],[Balance (Kg)]]*BalCom[[#This Row],[Dry Kg]]/BalCom[[#This Row],[Total Dry Kg]],0)</f>
        <v>0.62284293326665707</v>
      </c>
      <c r="M139" s="12">
        <f>IF(D139="","",BalCom[[#This Row],[Bal. Kg Dry]]/BalCom[[#This Row],[TSC]])</f>
        <v>20.761431108888569</v>
      </c>
      <c r="N139" s="97" t="str">
        <f>IF(_xlfn.XLOOKUP(BalCom[[#This Row],[Code]],Info!B:B,Info!D:D,0)=0,BalCom[[#This Row],[Code]],(_xlfn.XLOOKUP(BalCom[[#This Row],[Code]],Info!B:B,Info!D:D,0)))</f>
        <v>CH212</v>
      </c>
      <c r="O139" s="12">
        <f>IF(BalCom[[#This Row],[New Code]]="SFG-Water",0,_xlfn.XLOOKUP(BalCom[[#This Row],[New Code]],Used_before_Trf!A:A,Used_before_Trf!U:U,""))</f>
        <v>32.035420833333333</v>
      </c>
      <c r="P139" s="12">
        <f>IF(D139="","",ROUND((BalCom[[#This Row],[Price]]*BalCom[[#This Row],[Bal. Kg Wet]]),2))</f>
        <v>665.1</v>
      </c>
      <c r="Q139" s="443" t="str">
        <f>IF(BalCom[[#This Row],[Master name]]="","",IF(N139="SFG-Water","",IF(AND(N139&lt;&gt;0,P139&lt;&gt;0),"Ok","Error")))</f>
        <v>Ok</v>
      </c>
    </row>
    <row r="140" spans="1:17">
      <c r="A140" s="98" t="str">
        <f>IF(LEFT(BalCom[[#This Row],[Code]],3)="NBR","NBR","CHE")</f>
        <v>CHE</v>
      </c>
      <c r="C140" s="11" t="s">
        <v>629</v>
      </c>
      <c r="D140" s="11" t="s">
        <v>665</v>
      </c>
      <c r="E140" s="11" t="s">
        <v>633</v>
      </c>
      <c r="F140" s="91" t="s">
        <v>497</v>
      </c>
      <c r="G140" s="506">
        <v>0.03</v>
      </c>
      <c r="H140" s="11">
        <v>17.52519375</v>
      </c>
      <c r="I140" s="13">
        <v>575.6268</v>
      </c>
      <c r="J140" s="11"/>
      <c r="K140" s="12">
        <f>SUMIFS(H:H,C:C,BalCom[[#This Row],[Name]],D:D,BalCom[[#This Row],[Master name]])</f>
        <v>1195.7260999999999</v>
      </c>
      <c r="L140" s="12">
        <f>IFERROR(BalCom[[#This Row],[Balance (Kg)]]*BalCom[[#This Row],[Dry Kg]]/BalCom[[#This Row],[Total Dry Kg]],0)</f>
        <v>8.4366906415210803</v>
      </c>
      <c r="M140" s="12">
        <f>IF(D140="","",BalCom[[#This Row],[Bal. Kg Dry]]/BalCom[[#This Row],[TSC]])</f>
        <v>281.22302138403603</v>
      </c>
      <c r="N140" s="97" t="str">
        <f>IF(_xlfn.XLOOKUP(BalCom[[#This Row],[Code]],Info!B:B,Info!D:D,0)=0,BalCom[[#This Row],[Code]],(_xlfn.XLOOKUP(BalCom[[#This Row],[Code]],Info!B:B,Info!D:D,0)))</f>
        <v>SFG-Water</v>
      </c>
      <c r="O140" s="12">
        <f>IF(BalCom[[#This Row],[New Code]]="SFG-Water",0,_xlfn.XLOOKUP(BalCom[[#This Row],[New Code]],Used_before_Trf!A:A,Used_before_Trf!U:U,""))</f>
        <v>0</v>
      </c>
      <c r="P140" s="12">
        <f>IF(D140="","",ROUND((BalCom[[#This Row],[Price]]*BalCom[[#This Row],[Bal. Kg Wet]]),2))</f>
        <v>0</v>
      </c>
      <c r="Q140" s="443" t="str">
        <f>IF(BalCom[[#This Row],[Master name]]="","",IF(N140="SFG-Water","",IF(AND(N140&lt;&gt;0,P140&lt;&gt;0),"Ok","Error")))</f>
        <v/>
      </c>
    </row>
    <row r="141" spans="1:17">
      <c r="A141" s="98" t="str">
        <f>IF(LEFT(BalCom[[#This Row],[Code]],3)="NBR","NBR","CHE")</f>
        <v>CHE</v>
      </c>
      <c r="C141" s="11" t="s">
        <v>629</v>
      </c>
      <c r="D141" s="11" t="s">
        <v>665</v>
      </c>
      <c r="E141" s="11" t="s">
        <v>657</v>
      </c>
      <c r="F141" s="91" t="s">
        <v>181</v>
      </c>
      <c r="G141" s="99">
        <v>0.3</v>
      </c>
      <c r="H141" s="12">
        <v>4.4279999999999999</v>
      </c>
      <c r="I141" s="12">
        <v>575.6268</v>
      </c>
      <c r="K141" s="12">
        <f>SUMIFS(H:H,C:C,BalCom[[#This Row],[Name]],D:D,BalCom[[#This Row],[Master name]])</f>
        <v>1195.7260999999999</v>
      </c>
      <c r="L141" s="12">
        <f>IFERROR(BalCom[[#This Row],[Balance (Kg)]]*BalCom[[#This Row],[Dry Kg]]/BalCom[[#This Row],[Total Dry Kg]],0)</f>
        <v>2.1316549587735856</v>
      </c>
      <c r="M141" s="12">
        <f>IF(D141="","",BalCom[[#This Row],[Bal. Kg Dry]]/BalCom[[#This Row],[TSC]])</f>
        <v>7.1055165292452855</v>
      </c>
      <c r="N141" s="97" t="str">
        <f>IF(_xlfn.XLOOKUP(BalCom[[#This Row],[Code]],Info!B:B,Info!D:D,0)=0,BalCom[[#This Row],[Code]],(_xlfn.XLOOKUP(BalCom[[#This Row],[Code]],Info!B:B,Info!D:D,0)))</f>
        <v>CH106</v>
      </c>
      <c r="O141" s="12">
        <f>IF(BalCom[[#This Row],[New Code]]="SFG-Water",0,_xlfn.XLOOKUP(BalCom[[#This Row],[New Code]],Used_before_Trf!A:A,Used_before_Trf!U:U,""))</f>
        <v>32.57468982630273</v>
      </c>
      <c r="P141" s="12">
        <f>IF(D141="","",ROUND((BalCom[[#This Row],[Price]]*BalCom[[#This Row],[Bal. Kg Wet]]),2))</f>
        <v>231.46</v>
      </c>
      <c r="Q141" s="443" t="str">
        <f>IF(BalCom[[#This Row],[Master name]]="","",IF(N141="SFG-Water","",IF(AND(N141&lt;&gt;0,P141&lt;&gt;0),"Ok","Error")))</f>
        <v>Ok</v>
      </c>
    </row>
    <row r="142" spans="1:17">
      <c r="A142" s="98" t="str">
        <f>IF(LEFT(BalCom[[#This Row],[Code]],3)="NBR","NBR","CHE")</f>
        <v>CHE</v>
      </c>
      <c r="C142" s="11" t="s">
        <v>629</v>
      </c>
      <c r="D142" s="11" t="s">
        <v>665</v>
      </c>
      <c r="E142" s="11" t="s">
        <v>650</v>
      </c>
      <c r="F142" s="91" t="s">
        <v>239</v>
      </c>
      <c r="G142" s="506">
        <v>0.3</v>
      </c>
      <c r="H142" s="11">
        <v>13.284000000000001</v>
      </c>
      <c r="I142" s="13">
        <v>575.6268</v>
      </c>
      <c r="J142" s="11"/>
      <c r="K142" s="12">
        <f>SUMIFS(H:H,C:C,BalCom[[#This Row],[Name]],D:D,BalCom[[#This Row],[Master name]])</f>
        <v>1195.7260999999999</v>
      </c>
      <c r="L142" s="12">
        <f>IFERROR(BalCom[[#This Row],[Balance (Kg)]]*BalCom[[#This Row],[Dry Kg]]/BalCom[[#This Row],[Total Dry Kg]],0)</f>
        <v>6.3949648763207572</v>
      </c>
      <c r="M142" s="12">
        <f>IF(D142="","",BalCom[[#This Row],[Bal. Kg Dry]]/BalCom[[#This Row],[TSC]])</f>
        <v>21.316549587735857</v>
      </c>
      <c r="N142" s="97" t="str">
        <f>IF(_xlfn.XLOOKUP(BalCom[[#This Row],[Code]],Info!B:B,Info!D:D,0)=0,BalCom[[#This Row],[Code]],(_xlfn.XLOOKUP(BalCom[[#This Row],[Code]],Info!B:B,Info!D:D,0)))</f>
        <v>CH168</v>
      </c>
      <c r="O142" s="12">
        <f>IF(BalCom[[#This Row],[New Code]]="SFG-Water",0,_xlfn.XLOOKUP(BalCom[[#This Row],[New Code]],Used_before_Trf!A:A,Used_before_Trf!U:U,""))</f>
        <v>58.404505704720911</v>
      </c>
      <c r="P142" s="12">
        <f>IF(D142="","",ROUND((BalCom[[#This Row],[Price]]*BalCom[[#This Row],[Bal. Kg Wet]]),2))</f>
        <v>1244.98</v>
      </c>
      <c r="Q142" s="443" t="str">
        <f>IF(BalCom[[#This Row],[Master name]]="","",IF(N142="SFG-Water","",IF(AND(N142&lt;&gt;0,P142&lt;&gt;0),"Ok","Error")))</f>
        <v>Ok</v>
      </c>
    </row>
    <row r="143" spans="1:17">
      <c r="A143" s="98" t="str">
        <f>IF(LEFT(BalCom[[#This Row],[Code]],3)="NBR","NBR","CHE")</f>
        <v>CHE</v>
      </c>
      <c r="C143" s="11" t="s">
        <v>629</v>
      </c>
      <c r="D143" s="11" t="s">
        <v>665</v>
      </c>
      <c r="E143" s="11" t="s">
        <v>635</v>
      </c>
      <c r="F143" s="91" t="s">
        <v>348</v>
      </c>
      <c r="G143" s="506">
        <v>0.6</v>
      </c>
      <c r="H143" s="11">
        <v>11.07</v>
      </c>
      <c r="I143" s="13">
        <v>575.6268</v>
      </c>
      <c r="J143" s="11"/>
      <c r="K143" s="12">
        <f>SUMIFS(H:H,C:C,BalCom[[#This Row],[Name]],D:D,BalCom[[#This Row],[Master name]])</f>
        <v>1195.7260999999999</v>
      </c>
      <c r="L143" s="12">
        <f>IFERROR(BalCom[[#This Row],[Balance (Kg)]]*BalCom[[#This Row],[Dry Kg]]/BalCom[[#This Row],[Total Dry Kg]],0)</f>
        <v>5.3291373969339642</v>
      </c>
      <c r="M143" s="12">
        <f>IF(D143="","",BalCom[[#This Row],[Bal. Kg Dry]]/BalCom[[#This Row],[TSC]])</f>
        <v>8.8818956615566069</v>
      </c>
      <c r="N143" s="97" t="str">
        <f>IF(_xlfn.XLOOKUP(BalCom[[#This Row],[Code]],Info!B:B,Info!D:D,0)=0,BalCom[[#This Row],[Code]],(_xlfn.XLOOKUP(BalCom[[#This Row],[Code]],Info!B:B,Info!D:D,0)))</f>
        <v>CH93</v>
      </c>
      <c r="O143" s="12">
        <f>IF(BalCom[[#This Row],[New Code]]="SFG-Water",0,_xlfn.XLOOKUP(BalCom[[#This Row],[New Code]],Used_before_Trf!A:A,Used_before_Trf!U:U,""))</f>
        <v>69.839849490925189</v>
      </c>
      <c r="P143" s="12">
        <f>IF(D143="","",ROUND((BalCom[[#This Row],[Price]]*BalCom[[#This Row],[Bal. Kg Wet]]),2))</f>
        <v>620.30999999999995</v>
      </c>
      <c r="Q143" s="443" t="str">
        <f>IF(BalCom[[#This Row],[Master name]]="","",IF(N143="SFG-Water","",IF(AND(N143&lt;&gt;0,P143&lt;&gt;0),"Ok","Error")))</f>
        <v>Ok</v>
      </c>
    </row>
    <row r="144" spans="1:17">
      <c r="A144" s="98" t="str">
        <f>IF(LEFT(BalCom[[#This Row],[Code]],3)="NBR","NBR","CHE")</f>
        <v>CHE</v>
      </c>
      <c r="C144" s="11" t="s">
        <v>629</v>
      </c>
      <c r="D144" s="11" t="s">
        <v>665</v>
      </c>
      <c r="E144" s="11" t="s">
        <v>636</v>
      </c>
      <c r="F144" s="91" t="s">
        <v>346</v>
      </c>
      <c r="G144" s="506">
        <v>0.6</v>
      </c>
      <c r="H144" s="11">
        <v>4.4279999999999999</v>
      </c>
      <c r="I144" s="13">
        <v>575.6268</v>
      </c>
      <c r="J144" s="11"/>
      <c r="K144" s="12">
        <f>SUMIFS(H:H,C:C,BalCom[[#This Row],[Name]],D:D,BalCom[[#This Row],[Master name]])</f>
        <v>1195.7260999999999</v>
      </c>
      <c r="L144" s="12">
        <f>IFERROR(BalCom[[#This Row],[Balance (Kg)]]*BalCom[[#This Row],[Dry Kg]]/BalCom[[#This Row],[Total Dry Kg]],0)</f>
        <v>2.1316549587735856</v>
      </c>
      <c r="M144" s="12">
        <f>IF(D144="","",BalCom[[#This Row],[Bal. Kg Dry]]/BalCom[[#This Row],[TSC]])</f>
        <v>3.5527582646226428</v>
      </c>
      <c r="N144" s="97" t="str">
        <f>IF(_xlfn.XLOOKUP(BalCom[[#This Row],[Code]],Info!B:B,Info!D:D,0)=0,BalCom[[#This Row],[Code]],(_xlfn.XLOOKUP(BalCom[[#This Row],[Code]],Info!B:B,Info!D:D,0)))</f>
        <v>CH92</v>
      </c>
      <c r="O144" s="12">
        <f>IF(BalCom[[#This Row],[New Code]]="SFG-Water",0,_xlfn.XLOOKUP(BalCom[[#This Row],[New Code]],Used_before_Trf!A:A,Used_before_Trf!U:U,""))</f>
        <v>28.016027710254928</v>
      </c>
      <c r="P144" s="12">
        <f>IF(D144="","",ROUND((BalCom[[#This Row],[Price]]*BalCom[[#This Row],[Bal. Kg Wet]]),2))</f>
        <v>99.53</v>
      </c>
      <c r="Q144" s="443" t="str">
        <f>IF(BalCom[[#This Row],[Master name]]="","",IF(N144="SFG-Water","",IF(AND(N144&lt;&gt;0,P144&lt;&gt;0),"Ok","Error")))</f>
        <v>Ok</v>
      </c>
    </row>
    <row r="145" spans="1:17">
      <c r="A145" s="98" t="str">
        <f>IF(LEFT(BalCom[[#This Row],[Code]],3)="NBR","NBR","CHE")</f>
        <v>CHE</v>
      </c>
      <c r="C145" s="11" t="s">
        <v>629</v>
      </c>
      <c r="D145" s="11" t="s">
        <v>665</v>
      </c>
      <c r="E145" s="11" t="s">
        <v>637</v>
      </c>
      <c r="F145" s="91" t="s">
        <v>344</v>
      </c>
      <c r="G145" s="506">
        <v>0.5</v>
      </c>
      <c r="H145" s="11">
        <v>2.214</v>
      </c>
      <c r="I145" s="13">
        <v>575.6268</v>
      </c>
      <c r="J145" s="11"/>
      <c r="K145" s="12">
        <f>SUMIFS(H:H,C:C,BalCom[[#This Row],[Name]],D:D,BalCom[[#This Row],[Master name]])</f>
        <v>1195.7260999999999</v>
      </c>
      <c r="L145" s="12">
        <f>IFERROR(BalCom[[#This Row],[Balance (Kg)]]*BalCom[[#This Row],[Dry Kg]]/BalCom[[#This Row],[Total Dry Kg]],0)</f>
        <v>1.0658274793867928</v>
      </c>
      <c r="M145" s="12">
        <f>IF(D145="","",BalCom[[#This Row],[Bal. Kg Dry]]/BalCom[[#This Row],[TSC]])</f>
        <v>2.1316549587735856</v>
      </c>
      <c r="N145" s="97" t="str">
        <f>IF(_xlfn.XLOOKUP(BalCom[[#This Row],[Code]],Info!B:B,Info!D:D,0)=0,BalCom[[#This Row],[Code]],(_xlfn.XLOOKUP(BalCom[[#This Row],[Code]],Info!B:B,Info!D:D,0)))</f>
        <v>CH91</v>
      </c>
      <c r="O145" s="12">
        <f>IF(BalCom[[#This Row],[New Code]]="SFG-Water",0,_xlfn.XLOOKUP(BalCom[[#This Row],[New Code]],Used_before_Trf!A:A,Used_before_Trf!U:U,""))</f>
        <v>50.317319152837626</v>
      </c>
      <c r="P145" s="12">
        <f>IF(D145="","",ROUND((BalCom[[#This Row],[Price]]*BalCom[[#This Row],[Bal. Kg Wet]]),2))</f>
        <v>107.26</v>
      </c>
      <c r="Q145" s="443" t="str">
        <f>IF(BalCom[[#This Row],[Master name]]="","",IF(N145="SFG-Water","",IF(AND(N145&lt;&gt;0,P145&lt;&gt;0),"Ok","Error")))</f>
        <v>Ok</v>
      </c>
    </row>
    <row r="146" spans="1:17">
      <c r="A146" s="98" t="str">
        <f>IF(LEFT(BalCom[[#This Row],[Code]],3)="NBR","NBR","CHE")</f>
        <v>CHE</v>
      </c>
      <c r="C146" s="11" t="s">
        <v>629</v>
      </c>
      <c r="D146" s="11" t="s">
        <v>665</v>
      </c>
      <c r="E146" s="11" t="s">
        <v>658</v>
      </c>
      <c r="F146" s="91" t="s">
        <v>350</v>
      </c>
      <c r="G146" s="506">
        <v>0.7</v>
      </c>
      <c r="H146" s="11">
        <v>33.21</v>
      </c>
      <c r="I146" s="13">
        <v>575.6268</v>
      </c>
      <c r="J146" s="11"/>
      <c r="K146" s="12">
        <f>SUMIFS(H:H,C:C,BalCom[[#This Row],[Name]],D:D,BalCom[[#This Row],[Master name]])</f>
        <v>1195.7260999999999</v>
      </c>
      <c r="L146" s="12">
        <f>IFERROR(BalCom[[#This Row],[Balance (Kg)]]*BalCom[[#This Row],[Dry Kg]]/BalCom[[#This Row],[Total Dry Kg]],0)</f>
        <v>15.987412190801892</v>
      </c>
      <c r="M146" s="12">
        <f>IF(D146="","",BalCom[[#This Row],[Bal. Kg Dry]]/BalCom[[#This Row],[TSC]])</f>
        <v>22.839160272574134</v>
      </c>
      <c r="N146" s="97" t="str">
        <f>IF(_xlfn.XLOOKUP(BalCom[[#This Row],[Code]],Info!B:B,Info!D:D,0)=0,BalCom[[#This Row],[Code]],(_xlfn.XLOOKUP(BalCom[[#This Row],[Code]],Info!B:B,Info!D:D,0)))</f>
        <v>CH94</v>
      </c>
      <c r="O146" s="12">
        <f>IF(BalCom[[#This Row],[New Code]]="SFG-Water",0,_xlfn.XLOOKUP(BalCom[[#This Row],[New Code]],Used_before_Trf!A:A,Used_before_Trf!U:U,""))</f>
        <v>52.941651406692188</v>
      </c>
      <c r="P146" s="12">
        <f>IF(D146="","",ROUND((BalCom[[#This Row],[Price]]*BalCom[[#This Row],[Bal. Kg Wet]]),2))</f>
        <v>1209.1400000000001</v>
      </c>
      <c r="Q146" s="443" t="str">
        <f>IF(BalCom[[#This Row],[Master name]]="","",IF(N146="SFG-Water","",IF(AND(N146&lt;&gt;0,P146&lt;&gt;0),"Ok","Error")))</f>
        <v>Ok</v>
      </c>
    </row>
    <row r="147" spans="1:17">
      <c r="A147" s="98" t="str">
        <f>IF(LEFT(BalCom[[#This Row],[Code]],3)="NBR","NBR","CHE")</f>
        <v>NBR</v>
      </c>
      <c r="C147" s="11" t="s">
        <v>629</v>
      </c>
      <c r="D147" s="11" t="s">
        <v>665</v>
      </c>
      <c r="E147" s="11" t="s">
        <v>631</v>
      </c>
      <c r="F147" s="91" t="s">
        <v>502</v>
      </c>
      <c r="G147" s="506">
        <v>0.4496</v>
      </c>
      <c r="H147" s="11">
        <v>1107</v>
      </c>
      <c r="I147" s="13">
        <v>575.6268</v>
      </c>
      <c r="J147" s="11"/>
      <c r="K147" s="12">
        <f>SUMIFS(H:H,C:C,BalCom[[#This Row],[Name]],D:D,BalCom[[#This Row],[Master name]])</f>
        <v>1195.7260999999999</v>
      </c>
      <c r="L147" s="12">
        <f>IFERROR(BalCom[[#This Row],[Balance (Kg)]]*BalCom[[#This Row],[Dry Kg]]/BalCom[[#This Row],[Total Dry Kg]],0)</f>
        <v>532.91373969339645</v>
      </c>
      <c r="M147" s="12">
        <f>IF(D147="","",BalCom[[#This Row],[Bal. Kg Dry]]/BalCom[[#This Row],[TSC]])</f>
        <v>1185.306360528017</v>
      </c>
      <c r="N147" s="97" t="str">
        <f>IF(_xlfn.XLOOKUP(BalCom[[#This Row],[Code]],Info!B:B,Info!D:D,0)=0,BalCom[[#This Row],[Code]],(_xlfn.XLOOKUP(BalCom[[#This Row],[Code]],Info!B:B,Info!D:D,0)))</f>
        <v>NBR01</v>
      </c>
      <c r="O147" s="12">
        <f>IF(BalCom[[#This Row],[New Code]]="SFG-Water",0,_xlfn.XLOOKUP(BalCom[[#This Row],[New Code]],Used_before_Trf!A:A,Used_before_Trf!U:U,""))</f>
        <v>50.516914477361652</v>
      </c>
      <c r="P147" s="12">
        <f>IF(D147="","",ROUND((BalCom[[#This Row],[Price]]*BalCom[[#This Row],[Bal. Kg Wet]]),2))</f>
        <v>59878.02</v>
      </c>
      <c r="Q147" s="443" t="str">
        <f>IF(BalCom[[#This Row],[Master name]]="","",IF(N147="SFG-Water","",IF(AND(N147&lt;&gt;0,P147&lt;&gt;0),"Ok","Error")))</f>
        <v>Ok</v>
      </c>
    </row>
    <row r="148" spans="1:17">
      <c r="A148" s="98" t="str">
        <f>IF(LEFT(BalCom[[#This Row],[Code]],3)="NBR","NBR","CHE")</f>
        <v>CHE</v>
      </c>
      <c r="C148" s="11" t="s">
        <v>629</v>
      </c>
      <c r="D148" s="11" t="s">
        <v>665</v>
      </c>
      <c r="E148" s="11" t="s">
        <v>659</v>
      </c>
      <c r="F148" s="91" t="s">
        <v>203</v>
      </c>
      <c r="G148" s="506">
        <v>0.55000000000000004</v>
      </c>
      <c r="H148" s="11">
        <v>0.75280000000000002</v>
      </c>
      <c r="I148" s="13">
        <v>575.6268</v>
      </c>
      <c r="J148" s="11"/>
      <c r="K148" s="12">
        <f>SUMIFS(H:H,C:C,BalCom[[#This Row],[Name]],D:D,BalCom[[#This Row],[Master name]])</f>
        <v>1195.7260999999999</v>
      </c>
      <c r="L148" s="12">
        <f>IFERROR(BalCom[[#This Row],[Balance (Kg)]]*BalCom[[#This Row],[Dry Kg]]/BalCom[[#This Row],[Total Dry Kg]],0)</f>
        <v>0.36240059913386524</v>
      </c>
      <c r="M148" s="12">
        <f>IF(D148="","",BalCom[[#This Row],[Bal. Kg Dry]]/BalCom[[#This Row],[TSC]])</f>
        <v>0.65891018024339132</v>
      </c>
      <c r="N148" s="97" t="str">
        <f>IF(_xlfn.XLOOKUP(BalCom[[#This Row],[Code]],Info!B:B,Info!D:D,0)=0,BalCom[[#This Row],[Code]],(_xlfn.XLOOKUP(BalCom[[#This Row],[Code]],Info!B:B,Info!D:D,0)))</f>
        <v>CH128</v>
      </c>
      <c r="O148" s="12">
        <f>IF(BalCom[[#This Row],[New Code]]="SFG-Water",0,_xlfn.XLOOKUP(BalCom[[#This Row],[New Code]],Used_before_Trf!A:A,Used_before_Trf!U:U,""))</f>
        <v>216.34126575765373</v>
      </c>
      <c r="P148" s="12">
        <f>IF(D148="","",ROUND((BalCom[[#This Row],[Price]]*BalCom[[#This Row],[Bal. Kg Wet]]),2))</f>
        <v>142.55000000000001</v>
      </c>
      <c r="Q148" s="443" t="str">
        <f>IF(BalCom[[#This Row],[Master name]]="","",IF(N148="SFG-Water","",IF(AND(N148&lt;&gt;0,P148&lt;&gt;0),"Ok","Error")))</f>
        <v>Ok</v>
      </c>
    </row>
    <row r="149" spans="1:17">
      <c r="A149" s="98" t="str">
        <f>IF(LEFT(BalCom[[#This Row],[Code]],3)="NBR","NBR","CHE")</f>
        <v>CHE</v>
      </c>
      <c r="C149" s="11" t="s">
        <v>629</v>
      </c>
      <c r="D149" s="11" t="s">
        <v>665</v>
      </c>
      <c r="E149" s="11" t="s">
        <v>663</v>
      </c>
      <c r="F149" s="91" t="s">
        <v>354</v>
      </c>
      <c r="G149" s="506">
        <v>0.47</v>
      </c>
      <c r="H149" s="11">
        <v>0.52029999999999998</v>
      </c>
      <c r="I149" s="13">
        <v>575.6268</v>
      </c>
      <c r="J149" s="11"/>
      <c r="K149" s="12">
        <f>SUMIFS(H:H,C:C,BalCom[[#This Row],[Name]],D:D,BalCom[[#This Row],[Master name]])</f>
        <v>1195.7260999999999</v>
      </c>
      <c r="L149" s="12">
        <f>IFERROR(BalCom[[#This Row],[Balance (Kg)]]*BalCom[[#This Row],[Dry Kg]]/BalCom[[#This Row],[Total Dry Kg]],0)</f>
        <v>0.25047427169148523</v>
      </c>
      <c r="M149" s="12">
        <f>IF(D149="","",BalCom[[#This Row],[Bal. Kg Dry]]/BalCom[[#This Row],[TSC]])</f>
        <v>0.53292398232230898</v>
      </c>
      <c r="N149" s="97" t="str">
        <f>IF(_xlfn.XLOOKUP(BalCom[[#This Row],[Code]],Info!B:B,Info!D:D,0)=0,BalCom[[#This Row],[Code]],(_xlfn.XLOOKUP(BalCom[[#This Row],[Code]],Info!B:B,Info!D:D,0)))</f>
        <v>CH96</v>
      </c>
      <c r="O149" s="12">
        <f>IF(BalCom[[#This Row],[New Code]]="SFG-Water",0,_xlfn.XLOOKUP(BalCom[[#This Row],[New Code]],Used_before_Trf!A:A,Used_before_Trf!U:U,""))</f>
        <v>871.79</v>
      </c>
      <c r="P149" s="12">
        <f>IF(D149="","",ROUND((BalCom[[#This Row],[Price]]*BalCom[[#This Row],[Bal. Kg Wet]]),2))</f>
        <v>464.6</v>
      </c>
      <c r="Q149" s="443" t="str">
        <f>IF(BalCom[[#This Row],[Master name]]="","",IF(N149="SFG-Water","",IF(AND(N149&lt;&gt;0,P149&lt;&gt;0),"Ok","Error")))</f>
        <v>Ok</v>
      </c>
    </row>
    <row r="150" spans="1:17">
      <c r="C150" s="11" t="s">
        <v>36</v>
      </c>
      <c r="G150" s="11"/>
      <c r="H150" s="11"/>
      <c r="I150" s="13"/>
      <c r="J150" s="11"/>
      <c r="K150" s="13">
        <f>SUBTOTAL(109,BalCom[Total Dry Kg])</f>
        <v>273132.9079999997</v>
      </c>
      <c r="L150" s="13"/>
      <c r="M150" s="13">
        <f>SUBTOTAL(109,BalCom[Bal. Kg Wet])</f>
        <v>57950.383860028553</v>
      </c>
      <c r="N150" s="91"/>
      <c r="P150" s="13">
        <f>SUBTOTAL(109,BalCom[Cost (Baht)])</f>
        <v>2100027.3400000012</v>
      </c>
    </row>
  </sheetData>
  <conditionalFormatting sqref="O4:O149">
    <cfRule type="cellIs" dxfId="112" priority="4" operator="equal">
      <formula>""</formula>
    </cfRule>
  </conditionalFormatting>
  <conditionalFormatting sqref="P4:P149">
    <cfRule type="cellIs" dxfId="111" priority="3" operator="equal">
      <formula>0</formula>
    </cfRule>
  </conditionalFormatting>
  <conditionalFormatting sqref="Q1:Q1048576">
    <cfRule type="containsText" dxfId="110" priority="1" operator="containsText" text="error">
      <formula>NOT(ISERROR(SEARCH("error",Q1)))</formula>
    </cfRule>
  </conditionalFormatting>
  <conditionalFormatting sqref="Q4:Q149">
    <cfRule type="containsText" dxfId="109" priority="2" operator="containsText" text="Error">
      <formula>NOT(ISERROR(SEARCH("Error",Q4)))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M30"/>
  <sheetViews>
    <sheetView workbookViewId="0">
      <pane ySplit="3" topLeftCell="A4" activePane="bottomLeft" state="frozen"/>
      <selection pane="bottomLeft" activeCell="F4" sqref="F4:F17"/>
    </sheetView>
  </sheetViews>
  <sheetFormatPr defaultColWidth="9" defaultRowHeight="12"/>
  <cols>
    <col min="1" max="1" width="9" style="11"/>
    <col min="2" max="2" width="44.875" style="11" customWidth="1"/>
    <col min="3" max="3" width="38.25" style="11" customWidth="1"/>
    <col min="4" max="4" width="9.625" style="91" customWidth="1"/>
    <col min="5" max="5" width="9" style="12"/>
    <col min="6" max="6" width="10.625" style="12" customWidth="1"/>
    <col min="7" max="7" width="1.75" style="12" customWidth="1"/>
    <col min="8" max="8" width="9.125" style="12" customWidth="1"/>
    <col min="9" max="9" width="9" style="11"/>
    <col min="10" max="10" width="10.875" style="91" customWidth="1"/>
    <col min="11" max="11" width="9" style="11"/>
    <col min="12" max="12" width="11.375" style="11" customWidth="1"/>
    <col min="13" max="13" width="9" style="91"/>
    <col min="14" max="16384" width="9" style="11"/>
  </cols>
  <sheetData>
    <row r="1" spans="1:13" s="22" customFormat="1" ht="15">
      <c r="A1" s="92" t="s">
        <v>666</v>
      </c>
      <c r="D1" s="24"/>
      <c r="E1" s="45"/>
      <c r="F1" s="45"/>
      <c r="G1" s="45"/>
      <c r="H1" s="45"/>
      <c r="J1" s="24"/>
      <c r="M1" s="24"/>
    </row>
    <row r="2" spans="1:13" s="22" customFormat="1">
      <c r="D2" s="24"/>
      <c r="E2" s="45"/>
      <c r="F2" s="45"/>
      <c r="G2" s="45"/>
      <c r="H2" s="45"/>
      <c r="J2" s="24"/>
      <c r="M2" s="24"/>
    </row>
    <row r="3" spans="1:13" s="90" customFormat="1" ht="29.25" customHeight="1">
      <c r="A3" s="90" t="s">
        <v>615</v>
      </c>
      <c r="B3" s="90" t="s">
        <v>667</v>
      </c>
      <c r="C3" s="90" t="s">
        <v>617</v>
      </c>
      <c r="D3" s="93" t="s">
        <v>169</v>
      </c>
      <c r="E3" s="94" t="s">
        <v>573</v>
      </c>
      <c r="F3" s="94" t="s">
        <v>620</v>
      </c>
      <c r="G3" s="94" t="s">
        <v>621</v>
      </c>
      <c r="H3" s="95" t="s">
        <v>668</v>
      </c>
      <c r="I3" s="96" t="s">
        <v>669</v>
      </c>
      <c r="J3" s="96" t="s">
        <v>625</v>
      </c>
      <c r="K3" s="96" t="s">
        <v>626</v>
      </c>
      <c r="L3" s="96" t="s">
        <v>627</v>
      </c>
      <c r="M3" s="93" t="s">
        <v>670</v>
      </c>
    </row>
    <row r="4" spans="1:13">
      <c r="A4" s="11" t="s">
        <v>671</v>
      </c>
      <c r="B4" s="11" t="s">
        <v>672</v>
      </c>
      <c r="C4" s="11" t="s">
        <v>633</v>
      </c>
      <c r="D4" s="91" t="s">
        <v>497</v>
      </c>
      <c r="E4" s="12">
        <v>1254</v>
      </c>
      <c r="F4" s="12">
        <v>1820</v>
      </c>
      <c r="H4" s="12">
        <f t="shared" ref="H4" si="0">SUMIFS(E:E,A:A,A4,B:B,B4)</f>
        <v>1500</v>
      </c>
      <c r="I4" s="12">
        <f>IFERROR(BalDis[[#This Row],[Balance (Kg)]]*BalDis[[#This Row],[Kg]]/BalDis[[#This Row],[Total Kg Dry]],0)</f>
        <v>1521.52</v>
      </c>
      <c r="J4" s="97" t="str">
        <f>IF(_xlfn.XLOOKUP(D4,Info!B:B,Info!D:D,0)=0,BalDis[[#This Row],[Code]],_xlfn.XLOOKUP(D4,Info!B:B,Info!D:D,0))</f>
        <v>SFG-Water</v>
      </c>
      <c r="K4" s="12">
        <f>_xlfn.XLOOKUP(BalDis[[#This Row],[New Code]],Used_before_Trf!A:A,Used_before_Trf!U:U,0)</f>
        <v>0</v>
      </c>
      <c r="L4" s="12">
        <f>ROUND(BalDis[[#This Row],[Price]]*BalDis[[#This Row],[Bal. Kg]],2)</f>
        <v>0</v>
      </c>
      <c r="M4" s="443" t="str">
        <f t="shared" ref="M4" si="1">IF(B4="","",IF(J4="SFG-Water","",IF(AND(J4&lt;&gt;0,L4&lt;&gt;0),"Ok","Error")))</f>
        <v/>
      </c>
    </row>
    <row r="5" spans="1:13">
      <c r="A5" s="11" t="s">
        <v>671</v>
      </c>
      <c r="B5" s="11" t="s">
        <v>672</v>
      </c>
      <c r="C5" s="11" t="s">
        <v>673</v>
      </c>
      <c r="D5" s="91" t="s">
        <v>275</v>
      </c>
      <c r="E5" s="12">
        <v>225</v>
      </c>
      <c r="F5" s="12">
        <v>1820</v>
      </c>
      <c r="H5" s="12">
        <f t="shared" ref="H5:H17" si="2">SUMIFS(E:E,A:A,A5,B:B,B5)</f>
        <v>1500</v>
      </c>
      <c r="I5" s="12">
        <f>IFERROR(BalDis[[#This Row],[Balance (Kg)]]*BalDis[[#This Row],[Kg]]/BalDis[[#This Row],[Total Kg Dry]],0)</f>
        <v>273</v>
      </c>
      <c r="J5" s="97" t="str">
        <f>IF(_xlfn.XLOOKUP(D5,Info!B:B,Info!D:D,0)=0,BalDis[[#This Row],[Code]],_xlfn.XLOOKUP(D5,Info!B:B,Info!D:D,0))</f>
        <v>CH211</v>
      </c>
      <c r="K5" s="12">
        <f>_xlfn.XLOOKUP(BalDis[[#This Row],[New Code]],Used_before_Trf!A:A,Used_before_Trf!U:U,0)</f>
        <v>8.4181774408530483</v>
      </c>
      <c r="L5" s="12">
        <f>ROUND(BalDis[[#This Row],[Price]]*BalDis[[#This Row],[Bal. Kg]],2)</f>
        <v>2298.16</v>
      </c>
      <c r="M5" s="443" t="str">
        <f t="shared" ref="M5:M17" si="3">IF(B5="","",IF(J5="SFG-Water","",IF(AND(J5&lt;&gt;0,L5&lt;&gt;0),"Ok","Error")))</f>
        <v>Ok</v>
      </c>
    </row>
    <row r="6" spans="1:13">
      <c r="A6" s="11" t="s">
        <v>671</v>
      </c>
      <c r="B6" s="11" t="s">
        <v>672</v>
      </c>
      <c r="C6" s="11" t="s">
        <v>674</v>
      </c>
      <c r="D6" s="91" t="s">
        <v>317</v>
      </c>
      <c r="E6" s="12">
        <v>21</v>
      </c>
      <c r="F6" s="12">
        <v>1820</v>
      </c>
      <c r="H6" s="12">
        <f t="shared" si="2"/>
        <v>1500</v>
      </c>
      <c r="I6" s="12">
        <f>IFERROR(BalDis[[#This Row],[Balance (Kg)]]*BalDis[[#This Row],[Kg]]/BalDis[[#This Row],[Total Kg Dry]],0)</f>
        <v>25.48</v>
      </c>
      <c r="J6" s="97" t="str">
        <f>IF(_xlfn.XLOOKUP(D6,Info!B:B,Info!D:D,0)=0,BalDis[[#This Row],[Code]],_xlfn.XLOOKUP(D6,Info!B:B,Info!D:D,0))</f>
        <v>CH235</v>
      </c>
      <c r="K6" s="12">
        <f>_xlfn.XLOOKUP(BalDis[[#This Row],[New Code]],Used_before_Trf!A:A,Used_before_Trf!U:U,0)</f>
        <v>51.835463258785943</v>
      </c>
      <c r="L6" s="12">
        <f>ROUND(BalDis[[#This Row],[Price]]*BalDis[[#This Row],[Bal. Kg]],2)</f>
        <v>1320.77</v>
      </c>
      <c r="M6" s="443" t="str">
        <f t="shared" si="3"/>
        <v>Ok</v>
      </c>
    </row>
    <row r="7" spans="1:13">
      <c r="A7" s="11" t="s">
        <v>671</v>
      </c>
      <c r="B7" s="11" t="s">
        <v>675</v>
      </c>
      <c r="C7" s="11" t="s">
        <v>633</v>
      </c>
      <c r="D7" s="91" t="s">
        <v>497</v>
      </c>
      <c r="E7" s="12">
        <v>3735</v>
      </c>
      <c r="F7" s="12">
        <v>2296</v>
      </c>
      <c r="H7" s="12">
        <f t="shared" si="2"/>
        <v>5000</v>
      </c>
      <c r="I7" s="12">
        <f>IFERROR(BalDis[[#This Row],[Balance (Kg)]]*BalDis[[#This Row],[Kg]]/BalDis[[#This Row],[Total Kg Dry]],0)</f>
        <v>1715.1120000000001</v>
      </c>
      <c r="J7" s="97" t="str">
        <f>IF(_xlfn.XLOOKUP(D7,Info!B:B,Info!D:D,0)=0,BalDis[[#This Row],[Code]],_xlfn.XLOOKUP(D7,Info!B:B,Info!D:D,0))</f>
        <v>SFG-Water</v>
      </c>
      <c r="K7" s="12">
        <f>_xlfn.XLOOKUP(BalDis[[#This Row],[New Code]],Used_before_Trf!A:A,Used_before_Trf!U:U,0)</f>
        <v>0</v>
      </c>
      <c r="L7" s="12">
        <f>ROUND(BalDis[[#This Row],[Price]]*BalDis[[#This Row],[Bal. Kg]],2)</f>
        <v>0</v>
      </c>
      <c r="M7" s="443" t="str">
        <f t="shared" si="3"/>
        <v/>
      </c>
    </row>
    <row r="8" spans="1:13">
      <c r="A8" s="11" t="s">
        <v>671</v>
      </c>
      <c r="B8" s="11" t="s">
        <v>675</v>
      </c>
      <c r="C8" s="11" t="s">
        <v>673</v>
      </c>
      <c r="D8" s="91" t="s">
        <v>275</v>
      </c>
      <c r="E8" s="12">
        <v>1159</v>
      </c>
      <c r="F8" s="12">
        <v>2296</v>
      </c>
      <c r="H8" s="12">
        <f t="shared" si="2"/>
        <v>5000</v>
      </c>
      <c r="I8" s="12">
        <f>IFERROR(BalDis[[#This Row],[Balance (Kg)]]*BalDis[[#This Row],[Kg]]/BalDis[[#This Row],[Total Kg Dry]],0)</f>
        <v>532.21280000000002</v>
      </c>
      <c r="J8" s="97" t="str">
        <f>IF(_xlfn.XLOOKUP(D8,Info!B:B,Info!D:D,0)=0,BalDis[[#This Row],[Code]],_xlfn.XLOOKUP(D8,Info!B:B,Info!D:D,0))</f>
        <v>CH211</v>
      </c>
      <c r="K8" s="12">
        <f>_xlfn.XLOOKUP(BalDis[[#This Row],[New Code]],Used_before_Trf!A:A,Used_before_Trf!U:U,0)</f>
        <v>8.4181774408530483</v>
      </c>
      <c r="L8" s="12">
        <f>ROUND(BalDis[[#This Row],[Price]]*BalDis[[#This Row],[Bal. Kg]],2)</f>
        <v>4480.26</v>
      </c>
      <c r="M8" s="443" t="str">
        <f t="shared" si="3"/>
        <v>Ok</v>
      </c>
    </row>
    <row r="9" spans="1:13">
      <c r="A9" s="11" t="s">
        <v>671</v>
      </c>
      <c r="B9" s="11" t="s">
        <v>675</v>
      </c>
      <c r="C9" s="11" t="s">
        <v>674</v>
      </c>
      <c r="D9" s="91" t="s">
        <v>317</v>
      </c>
      <c r="E9" s="12">
        <v>106</v>
      </c>
      <c r="F9" s="12">
        <v>2296</v>
      </c>
      <c r="H9" s="12">
        <f t="shared" si="2"/>
        <v>5000</v>
      </c>
      <c r="I9" s="12">
        <f>IFERROR(BalDis[[#This Row],[Balance (Kg)]]*BalDis[[#This Row],[Kg]]/BalDis[[#This Row],[Total Kg Dry]],0)</f>
        <v>48.675199999999997</v>
      </c>
      <c r="J9" s="97" t="str">
        <f>IF(_xlfn.XLOOKUP(D9,Info!B:B,Info!D:D,0)=0,BalDis[[#This Row],[Code]],_xlfn.XLOOKUP(D9,Info!B:B,Info!D:D,0))</f>
        <v>CH235</v>
      </c>
      <c r="K9" s="12">
        <f>_xlfn.XLOOKUP(BalDis[[#This Row],[New Code]],Used_before_Trf!A:A,Used_before_Trf!U:U,0)</f>
        <v>51.835463258785943</v>
      </c>
      <c r="L9" s="12">
        <f>ROUND(BalDis[[#This Row],[Price]]*BalDis[[#This Row],[Bal. Kg]],2)</f>
        <v>2523.1</v>
      </c>
      <c r="M9" s="443" t="str">
        <f t="shared" si="3"/>
        <v>Ok</v>
      </c>
    </row>
    <row r="10" spans="1:13">
      <c r="A10" s="11" t="s">
        <v>671</v>
      </c>
      <c r="B10" s="11" t="s">
        <v>676</v>
      </c>
      <c r="C10" s="11" t="s">
        <v>633</v>
      </c>
      <c r="D10" s="91" t="s">
        <v>497</v>
      </c>
      <c r="E10" s="12">
        <v>5800</v>
      </c>
      <c r="F10" s="12">
        <v>7873</v>
      </c>
      <c r="H10" s="12">
        <f t="shared" si="2"/>
        <v>6000</v>
      </c>
      <c r="I10" s="12">
        <f>IFERROR(BalDis[[#This Row],[Balance (Kg)]]*BalDis[[#This Row],[Kg]]/BalDis[[#This Row],[Total Kg Dry]],0)</f>
        <v>7610.5666666666666</v>
      </c>
      <c r="J10" s="97" t="str">
        <f>IF(_xlfn.XLOOKUP(D10,Info!B:B,Info!D:D,0)=0,BalDis[[#This Row],[Code]],_xlfn.XLOOKUP(D10,Info!B:B,Info!D:D,0))</f>
        <v>SFG-Water</v>
      </c>
      <c r="K10" s="12">
        <f>_xlfn.XLOOKUP(BalDis[[#This Row],[New Code]],Used_before_Trf!A:A,Used_before_Trf!U:U,0)</f>
        <v>0</v>
      </c>
      <c r="L10" s="12">
        <f>ROUND(BalDis[[#This Row],[Price]]*BalDis[[#This Row],[Bal. Kg]],2)</f>
        <v>0</v>
      </c>
      <c r="M10" s="443" t="str">
        <f t="shared" si="3"/>
        <v/>
      </c>
    </row>
    <row r="11" spans="1:13">
      <c r="A11" s="11" t="s">
        <v>671</v>
      </c>
      <c r="B11" s="11" t="s">
        <v>676</v>
      </c>
      <c r="C11" s="11" t="s">
        <v>649</v>
      </c>
      <c r="D11" s="91" t="s">
        <v>277</v>
      </c>
      <c r="E11" s="12">
        <v>200</v>
      </c>
      <c r="F11" s="12">
        <v>7873</v>
      </c>
      <c r="H11" s="12">
        <f t="shared" si="2"/>
        <v>6000</v>
      </c>
      <c r="I11" s="12">
        <f>IFERROR(BalDis[[#This Row],[Balance (Kg)]]*BalDis[[#This Row],[Kg]]/BalDis[[#This Row],[Total Kg Dry]],0)</f>
        <v>262.43333333333334</v>
      </c>
      <c r="J11" s="97" t="str">
        <f>IF(_xlfn.XLOOKUP(D11,Info!B:B,Info!D:D,0)=0,BalDis[[#This Row],[Code]],_xlfn.XLOOKUP(D11,Info!B:B,Info!D:D,0))</f>
        <v>CH212</v>
      </c>
      <c r="K11" s="12">
        <f>_xlfn.XLOOKUP(BalDis[[#This Row],[New Code]],Used_before_Trf!A:A,Used_before_Trf!U:U,0)</f>
        <v>32.035420833333333</v>
      </c>
      <c r="L11" s="12">
        <f>ROUND(BalDis[[#This Row],[Price]]*BalDis[[#This Row],[Bal. Kg]],2)</f>
        <v>8407.16</v>
      </c>
      <c r="M11" s="443" t="str">
        <f t="shared" si="3"/>
        <v>Ok</v>
      </c>
    </row>
    <row r="12" spans="1:13">
      <c r="A12" s="11" t="s">
        <v>671</v>
      </c>
      <c r="B12" s="11" t="s">
        <v>677</v>
      </c>
      <c r="C12" s="11" t="s">
        <v>678</v>
      </c>
      <c r="D12" s="91" t="s">
        <v>275</v>
      </c>
      <c r="E12" s="12">
        <v>4000</v>
      </c>
      <c r="F12" s="12">
        <v>42190</v>
      </c>
      <c r="H12" s="12">
        <f t="shared" si="2"/>
        <v>5091</v>
      </c>
      <c r="I12" s="12">
        <f>IFERROR(BalDis[[#This Row],[Balance (Kg)]]*BalDis[[#This Row],[Kg]]/BalDis[[#This Row],[Total Kg Dry]],0)</f>
        <v>33148.693773325474</v>
      </c>
      <c r="J12" s="97" t="str">
        <f>IF(_xlfn.XLOOKUP(D12,Info!B:B,Info!D:D,0)=0,BalDis[[#This Row],[Code]],_xlfn.XLOOKUP(D12,Info!B:B,Info!D:D,0))</f>
        <v>CH211</v>
      </c>
      <c r="K12" s="12">
        <f>_xlfn.XLOOKUP(BalDis[[#This Row],[New Code]],Used_before_Trf!A:A,Used_before_Trf!U:U,0)</f>
        <v>8.4181774408530483</v>
      </c>
      <c r="L12" s="12">
        <f>ROUND(BalDis[[#This Row],[Price]]*BalDis[[#This Row],[Bal. Kg]],2)</f>
        <v>279051.59000000003</v>
      </c>
      <c r="M12" s="443" t="str">
        <f t="shared" si="3"/>
        <v>Ok</v>
      </c>
    </row>
    <row r="13" spans="1:13">
      <c r="A13" s="11" t="s">
        <v>671</v>
      </c>
      <c r="B13" s="11" t="s">
        <v>677</v>
      </c>
      <c r="C13" s="11" t="s">
        <v>633</v>
      </c>
      <c r="D13" s="91" t="s">
        <v>497</v>
      </c>
      <c r="E13" s="12">
        <v>1091</v>
      </c>
      <c r="F13" s="12">
        <v>42190</v>
      </c>
      <c r="H13" s="12">
        <f t="shared" si="2"/>
        <v>5091</v>
      </c>
      <c r="I13" s="12">
        <f>IFERROR(BalDis[[#This Row],[Balance (Kg)]]*BalDis[[#This Row],[Kg]]/BalDis[[#This Row],[Total Kg Dry]],0)</f>
        <v>9041.3062266745237</v>
      </c>
      <c r="J13" s="97" t="str">
        <f>IF(_xlfn.XLOOKUP(D13,Info!B:B,Info!D:D,0)=0,BalDis[[#This Row],[Code]],_xlfn.XLOOKUP(D13,Info!B:B,Info!D:D,0))</f>
        <v>SFG-Water</v>
      </c>
      <c r="K13" s="12">
        <f>_xlfn.XLOOKUP(BalDis[[#This Row],[New Code]],Used_before_Trf!A:A,Used_before_Trf!U:U,0)</f>
        <v>0</v>
      </c>
      <c r="L13" s="12">
        <f>ROUND(BalDis[[#This Row],[Price]]*BalDis[[#This Row],[Bal. Kg]],2)</f>
        <v>0</v>
      </c>
      <c r="M13" s="443" t="str">
        <f t="shared" si="3"/>
        <v/>
      </c>
    </row>
    <row r="14" spans="1:13">
      <c r="A14" s="11" t="s">
        <v>671</v>
      </c>
      <c r="B14" s="11" t="s">
        <v>679</v>
      </c>
      <c r="C14" s="11" t="s">
        <v>633</v>
      </c>
      <c r="D14" s="91" t="s">
        <v>497</v>
      </c>
      <c r="E14" s="12">
        <v>4495.04</v>
      </c>
      <c r="F14" s="12">
        <v>5992</v>
      </c>
      <c r="H14" s="12">
        <f t="shared" si="2"/>
        <v>5000</v>
      </c>
      <c r="I14" s="12">
        <f>IFERROR(BalDis[[#This Row],[Balance (Kg)]]*BalDis[[#This Row],[Kg]]/BalDis[[#This Row],[Total Kg Dry]],0)</f>
        <v>5386.8559359999999</v>
      </c>
      <c r="J14" s="97" t="str">
        <f>IF(_xlfn.XLOOKUP(D14,Info!B:B,Info!D:D,0)=0,BalDis[[#This Row],[Code]],_xlfn.XLOOKUP(D14,Info!B:B,Info!D:D,0))</f>
        <v>SFG-Water</v>
      </c>
      <c r="K14" s="12">
        <f>_xlfn.XLOOKUP(BalDis[[#This Row],[New Code]],Used_before_Trf!A:A,Used_before_Trf!U:U,0)</f>
        <v>0</v>
      </c>
      <c r="L14" s="12">
        <f>ROUND(BalDis[[#This Row],[Price]]*BalDis[[#This Row],[Bal. Kg]],2)</f>
        <v>0</v>
      </c>
      <c r="M14" s="443" t="str">
        <f t="shared" si="3"/>
        <v/>
      </c>
    </row>
    <row r="15" spans="1:13">
      <c r="A15" s="11" t="s">
        <v>671</v>
      </c>
      <c r="B15" s="11" t="s">
        <v>679</v>
      </c>
      <c r="C15" s="11" t="s">
        <v>680</v>
      </c>
      <c r="D15" s="91" t="s">
        <v>313</v>
      </c>
      <c r="E15" s="12">
        <v>487.5</v>
      </c>
      <c r="F15" s="12">
        <v>5992</v>
      </c>
      <c r="H15" s="12">
        <f t="shared" si="2"/>
        <v>5000</v>
      </c>
      <c r="I15" s="12">
        <f>IFERROR(BalDis[[#This Row],[Balance (Kg)]]*BalDis[[#This Row],[Kg]]/BalDis[[#This Row],[Total Kg Dry]],0)</f>
        <v>584.22</v>
      </c>
      <c r="J15" s="97" t="str">
        <f>IF(_xlfn.XLOOKUP(D15,Info!B:B,Info!D:D,0)=0,BalDis[[#This Row],[Code]],_xlfn.XLOOKUP(D15,Info!B:B,Info!D:D,0))</f>
        <v>CH233</v>
      </c>
      <c r="K15" s="12">
        <f>_xlfn.XLOOKUP(BalDis[[#This Row],[New Code]],Used_before_Trf!A:A,Used_before_Trf!U:U,0)</f>
        <v>62.807467966417754</v>
      </c>
      <c r="L15" s="12">
        <f>ROUND(BalDis[[#This Row],[Price]]*BalDis[[#This Row],[Bal. Kg]],2)</f>
        <v>36693.379999999997</v>
      </c>
      <c r="M15" s="443" t="str">
        <f t="shared" si="3"/>
        <v>Ok</v>
      </c>
    </row>
    <row r="16" spans="1:13">
      <c r="A16" s="11" t="s">
        <v>671</v>
      </c>
      <c r="B16" s="11" t="s">
        <v>679</v>
      </c>
      <c r="C16" s="11" t="s">
        <v>681</v>
      </c>
      <c r="D16" s="91" t="s">
        <v>213</v>
      </c>
      <c r="E16" s="12">
        <v>4</v>
      </c>
      <c r="F16" s="12">
        <v>5992</v>
      </c>
      <c r="H16" s="12">
        <f t="shared" si="2"/>
        <v>5000</v>
      </c>
      <c r="I16" s="12">
        <f>IFERROR(BalDis[[#This Row],[Balance (Kg)]]*BalDis[[#This Row],[Kg]]/BalDis[[#This Row],[Total Kg Dry]],0)</f>
        <v>4.7935999999999996</v>
      </c>
      <c r="J16" s="97" t="str">
        <f>IF(_xlfn.XLOOKUP(D16,Info!B:B,Info!D:D,0)=0,BalDis[[#This Row],[Code]],_xlfn.XLOOKUP(D16,Info!B:B,Info!D:D,0))</f>
        <v>CH145</v>
      </c>
      <c r="K16" s="12">
        <f>_xlfn.XLOOKUP(BalDis[[#This Row],[New Code]],Used_before_Trf!A:A,Used_before_Trf!U:U,0)</f>
        <v>134.83631067961164</v>
      </c>
      <c r="L16" s="12">
        <f>ROUND(BalDis[[#This Row],[Price]]*BalDis[[#This Row],[Bal. Kg]],2)</f>
        <v>646.35</v>
      </c>
      <c r="M16" s="443" t="str">
        <f t="shared" si="3"/>
        <v>Ok</v>
      </c>
    </row>
    <row r="17" spans="1:13">
      <c r="A17" s="11" t="s">
        <v>671</v>
      </c>
      <c r="B17" s="11" t="s">
        <v>679</v>
      </c>
      <c r="C17" s="11" t="s">
        <v>682</v>
      </c>
      <c r="D17" s="91" t="s">
        <v>309</v>
      </c>
      <c r="E17" s="12">
        <v>13.46</v>
      </c>
      <c r="F17" s="12">
        <v>5992</v>
      </c>
      <c r="H17" s="12">
        <f t="shared" si="2"/>
        <v>5000</v>
      </c>
      <c r="I17" s="12">
        <f>IFERROR(BalDis[[#This Row],[Balance (Kg)]]*BalDis[[#This Row],[Kg]]/BalDis[[#This Row],[Total Kg Dry]],0)</f>
        <v>16.130464</v>
      </c>
      <c r="J17" s="97" t="str">
        <f>IF(_xlfn.XLOOKUP(D17,Info!B:B,Info!D:D,0)=0,BalDis[[#This Row],[Code]],_xlfn.XLOOKUP(D17,Info!B:B,Info!D:D,0))</f>
        <v>CH23</v>
      </c>
      <c r="K17" s="12">
        <f>_xlfn.XLOOKUP(BalDis[[#This Row],[New Code]],Used_before_Trf!A:A,Used_before_Trf!U:U,0)</f>
        <v>15.839082792207794</v>
      </c>
      <c r="L17" s="12">
        <f>ROUND(BalDis[[#This Row],[Price]]*BalDis[[#This Row],[Bal. Kg]],2)</f>
        <v>255.49</v>
      </c>
      <c r="M17" s="443" t="str">
        <f t="shared" si="3"/>
        <v>Ok</v>
      </c>
    </row>
    <row r="18" spans="1:13">
      <c r="I18" s="12"/>
      <c r="J18" s="97"/>
      <c r="K18" s="12"/>
      <c r="L18" s="12"/>
      <c r="M18" s="443"/>
    </row>
    <row r="19" spans="1:13">
      <c r="I19" s="12"/>
      <c r="J19" s="97"/>
      <c r="K19" s="12"/>
      <c r="L19" s="12"/>
      <c r="M19" s="443"/>
    </row>
    <row r="20" spans="1:13">
      <c r="I20" s="12"/>
      <c r="J20" s="97"/>
      <c r="K20" s="12"/>
      <c r="L20" s="12"/>
      <c r="M20" s="443"/>
    </row>
    <row r="21" spans="1:13">
      <c r="I21" s="12"/>
      <c r="J21" s="97"/>
      <c r="K21" s="12"/>
      <c r="L21" s="12"/>
      <c r="M21" s="443"/>
    </row>
    <row r="22" spans="1:13">
      <c r="I22" s="12"/>
      <c r="J22" s="97"/>
      <c r="K22" s="12"/>
      <c r="L22" s="12"/>
    </row>
    <row r="23" spans="1:13">
      <c r="I23" s="12"/>
      <c r="J23" s="97"/>
      <c r="K23" s="12"/>
      <c r="L23" s="12"/>
    </row>
    <row r="24" spans="1:13">
      <c r="I24" s="12"/>
      <c r="J24" s="97"/>
      <c r="K24" s="12"/>
      <c r="L24" s="12"/>
    </row>
    <row r="25" spans="1:13">
      <c r="I25" s="12"/>
      <c r="J25" s="97"/>
      <c r="K25" s="12"/>
      <c r="L25" s="12"/>
    </row>
    <row r="26" spans="1:13">
      <c r="I26" s="12"/>
      <c r="J26" s="97"/>
      <c r="K26" s="12"/>
      <c r="L26" s="12"/>
    </row>
    <row r="27" spans="1:13">
      <c r="I27" s="12"/>
      <c r="J27" s="97"/>
      <c r="K27" s="12"/>
      <c r="L27" s="12"/>
    </row>
    <row r="28" spans="1:13">
      <c r="I28" s="12"/>
      <c r="J28" s="97"/>
      <c r="K28" s="12"/>
      <c r="L28" s="12"/>
    </row>
    <row r="29" spans="1:13">
      <c r="I29" s="12"/>
      <c r="J29" s="97"/>
      <c r="K29" s="12"/>
      <c r="L29" s="12"/>
    </row>
    <row r="30" spans="1:13" ht="14.25">
      <c r="A30" s="11" t="s">
        <v>36</v>
      </c>
      <c r="E30" s="11"/>
      <c r="F30" s="11"/>
      <c r="G30" s="11"/>
      <c r="H30" s="11"/>
      <c r="I30" s="13">
        <f>SUBTOTAL(109,BalDis[Bal. Kg])</f>
        <v>60171</v>
      </c>
      <c r="L30" s="13">
        <f>SUBTOTAL(109,BalDis[Cost (Baht)])</f>
        <v>335676.26</v>
      </c>
      <c r="M30" s="444"/>
    </row>
  </sheetData>
  <conditionalFormatting sqref="J1:J29 J31:J1048576">
    <cfRule type="containsText" dxfId="78" priority="3" operator="containsText" text="water">
      <formula>NOT(ISERROR(SEARCH("water",J1)))</formula>
    </cfRule>
  </conditionalFormatting>
  <conditionalFormatting sqref="M1:M1048576">
    <cfRule type="containsText" dxfId="77" priority="1" operator="containsText" text="error">
      <formula>NOT(ISERROR(SEARCH("error",M1)))</formula>
    </cfRule>
  </conditionalFormatting>
  <conditionalFormatting sqref="M4:M21">
    <cfRule type="containsText" dxfId="76" priority="2" operator="containsText" text="Error">
      <formula>NOT(ISERROR(SEARCH("Error",M4)))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O184"/>
  <sheetViews>
    <sheetView zoomScaleNormal="100" workbookViewId="0">
      <pane xSplit="5" ySplit="10" topLeftCell="F113" activePane="bottomRight" state="frozen"/>
      <selection pane="topRight"/>
      <selection pane="bottomLeft"/>
      <selection pane="bottomRight" activeCell="C90" sqref="C90"/>
    </sheetView>
  </sheetViews>
  <sheetFormatPr defaultColWidth="9" defaultRowHeight="12"/>
  <cols>
    <col min="1" max="1" width="7" style="479" customWidth="1"/>
    <col min="2" max="2" width="7" style="468" customWidth="1"/>
    <col min="3" max="3" width="7.25" style="11" customWidth="1"/>
    <col min="4" max="4" width="8.625" style="11" customWidth="1"/>
    <col min="5" max="5" width="29.625" style="25" customWidth="1"/>
    <col min="6" max="6" width="16" style="12" customWidth="1"/>
    <col min="7" max="7" width="16" style="26" customWidth="1"/>
    <col min="8" max="8" width="21.75" style="26" customWidth="1"/>
    <col min="9" max="9" width="22.25" style="26" customWidth="1"/>
    <col min="10" max="13" width="16" style="12" hidden="1" customWidth="1"/>
    <col min="14" max="14" width="16" style="12" customWidth="1"/>
    <col min="15" max="16384" width="9" style="11"/>
  </cols>
  <sheetData>
    <row r="1" spans="1:14" ht="20.25" customHeight="1">
      <c r="C1" s="27" t="s">
        <v>683</v>
      </c>
    </row>
    <row r="2" spans="1:14" ht="6" customHeight="1">
      <c r="E2" s="28"/>
    </row>
    <row r="3" spans="1:14" ht="15.75" customHeight="1">
      <c r="E3" s="29" t="s">
        <v>684</v>
      </c>
      <c r="F3" s="30" t="s">
        <v>685</v>
      </c>
      <c r="G3" s="31" t="s">
        <v>686</v>
      </c>
      <c r="H3" s="31" t="s">
        <v>687</v>
      </c>
      <c r="I3" s="31" t="s">
        <v>688</v>
      </c>
      <c r="J3" s="30"/>
      <c r="K3" s="30"/>
      <c r="L3" s="30"/>
      <c r="M3" s="30"/>
      <c r="N3" s="56" t="s">
        <v>689</v>
      </c>
    </row>
    <row r="4" spans="1:14" s="1" customFormat="1" ht="18" customHeight="1">
      <c r="A4" s="479"/>
      <c r="B4" s="468"/>
      <c r="E4" s="32" t="s">
        <v>690</v>
      </c>
      <c r="F4" s="33"/>
      <c r="G4" s="33"/>
      <c r="H4" s="33" t="s">
        <v>691</v>
      </c>
      <c r="I4" s="33" t="s">
        <v>692</v>
      </c>
      <c r="J4" s="33"/>
      <c r="K4" s="384"/>
      <c r="L4" s="33"/>
      <c r="M4" s="384"/>
      <c r="N4" s="57"/>
    </row>
    <row r="5" spans="1:14" ht="27" customHeight="1">
      <c r="E5" s="34" t="s">
        <v>693</v>
      </c>
      <c r="F5" s="35" t="s">
        <v>694</v>
      </c>
      <c r="G5" s="35" t="s">
        <v>694</v>
      </c>
      <c r="H5" s="540" t="s">
        <v>695</v>
      </c>
      <c r="I5" s="540" t="s">
        <v>696</v>
      </c>
      <c r="J5" s="35"/>
      <c r="K5" s="35"/>
      <c r="L5" s="35"/>
      <c r="M5" s="35"/>
      <c r="N5" s="58"/>
    </row>
    <row r="6" spans="1:14" s="22" customFormat="1" ht="15" customHeight="1">
      <c r="A6" s="480"/>
      <c r="B6" s="469"/>
      <c r="E6" s="36" t="s">
        <v>697</v>
      </c>
      <c r="F6" s="37"/>
      <c r="G6" s="38"/>
      <c r="H6" s="39">
        <v>8800</v>
      </c>
      <c r="I6" s="39">
        <v>8800</v>
      </c>
      <c r="J6" s="40"/>
      <c r="K6" s="40"/>
      <c r="L6" s="40"/>
      <c r="M6" s="37"/>
      <c r="N6" s="59">
        <f>SUM(F6:M6)</f>
        <v>17600</v>
      </c>
    </row>
    <row r="7" spans="1:14" s="22" customFormat="1">
      <c r="A7" s="480"/>
      <c r="B7" s="469"/>
      <c r="E7" s="36" t="s">
        <v>698</v>
      </c>
      <c r="F7" s="40"/>
      <c r="G7" s="38"/>
      <c r="H7" s="39">
        <v>0</v>
      </c>
      <c r="I7" s="39">
        <v>0</v>
      </c>
      <c r="J7" s="40"/>
      <c r="K7" s="40"/>
      <c r="L7" s="40"/>
      <c r="M7" s="40"/>
      <c r="N7" s="61">
        <f>SUM(F7:M7)</f>
        <v>0</v>
      </c>
    </row>
    <row r="8" spans="1:14" s="22" customFormat="1" ht="12.75">
      <c r="A8" s="480"/>
      <c r="B8" s="469"/>
      <c r="E8" s="41" t="s">
        <v>699</v>
      </c>
      <c r="F8" s="42"/>
      <c r="G8" s="42"/>
      <c r="H8" s="42">
        <f>H9/(H6+H7)</f>
        <v>0.21945000000000001</v>
      </c>
      <c r="I8" s="42">
        <f t="shared" ref="I8:N8" si="0">I9/(I6+I7)</f>
        <v>0.23499999999999999</v>
      </c>
      <c r="J8" s="42"/>
      <c r="K8" s="42"/>
      <c r="L8" s="42"/>
      <c r="M8" s="42"/>
      <c r="N8" s="60">
        <f t="shared" si="0"/>
        <v>0.22722499999999998</v>
      </c>
    </row>
    <row r="9" spans="1:14" s="22" customFormat="1">
      <c r="A9" s="480"/>
      <c r="B9" s="469"/>
      <c r="E9" s="36" t="s">
        <v>700</v>
      </c>
      <c r="F9" s="39"/>
      <c r="G9" s="39"/>
      <c r="H9" s="40">
        <v>1931.16</v>
      </c>
      <c r="I9" s="40">
        <v>2068</v>
      </c>
      <c r="J9" s="40"/>
      <c r="K9" s="40"/>
      <c r="L9" s="40"/>
      <c r="M9" s="40"/>
      <c r="N9" s="61">
        <f>H9+I9</f>
        <v>3999.16</v>
      </c>
    </row>
    <row r="10" spans="1:14" s="23" customFormat="1" ht="74.45" customHeight="1">
      <c r="A10" s="481"/>
      <c r="B10" s="452"/>
      <c r="E10" s="43" t="s">
        <v>701</v>
      </c>
      <c r="F10" s="44" t="s">
        <v>616</v>
      </c>
      <c r="G10" s="44" t="s">
        <v>616</v>
      </c>
      <c r="H10" s="44" t="s">
        <v>652</v>
      </c>
      <c r="I10" s="44" t="s">
        <v>642</v>
      </c>
      <c r="J10" s="44"/>
      <c r="K10" s="44"/>
      <c r="L10" s="44"/>
      <c r="M10" s="44"/>
      <c r="N10" s="62"/>
    </row>
    <row r="11" spans="1:14" ht="21" customHeight="1"/>
    <row r="12" spans="1:14" ht="14.25" customHeight="1">
      <c r="E12" s="11"/>
    </row>
    <row r="14" spans="1:14">
      <c r="C14" s="11" cm="1">
        <f t="array" ref="C14:C34">_xlfn.UNIQUE(BalCom!N:N)</f>
        <v>0</v>
      </c>
      <c r="E14" s="25" t="s">
        <v>629</v>
      </c>
      <c r="F14" s="45" t="s">
        <v>702</v>
      </c>
    </row>
    <row r="15" spans="1:14" s="24" customFormat="1">
      <c r="A15" s="480"/>
      <c r="B15" s="470"/>
      <c r="C15" s="46" t="str">
        <v>New Code</v>
      </c>
      <c r="D15" s="46" t="s">
        <v>703</v>
      </c>
      <c r="E15" s="47" t="s">
        <v>3</v>
      </c>
      <c r="F15" s="48" t="s">
        <v>619</v>
      </c>
      <c r="G15" s="48" t="s">
        <v>619</v>
      </c>
      <c r="H15" s="48" t="s">
        <v>619</v>
      </c>
      <c r="I15" s="48" t="s">
        <v>619</v>
      </c>
      <c r="J15" s="48"/>
      <c r="K15" s="48"/>
      <c r="L15" s="48"/>
      <c r="M15" s="48"/>
      <c r="N15" s="63"/>
    </row>
    <row r="16" spans="1:14">
      <c r="C16" s="49" t="str">
        <v>NBR01</v>
      </c>
      <c r="D16" s="50">
        <f>IF(C16="","",_xlfn.XLOOKUP(C16,BalCom!N:N,BalCom!G:G,0))</f>
        <v>0.4496</v>
      </c>
      <c r="E16" s="49" t="str">
        <f>IF(C16="","",_xlfn.XLOOKUP(C16,Used_before_Trf!A:A,Used_before_Trf!B:B,0))</f>
        <v xml:space="preserve">  SYNTHETIC LATEX BST NBL 8503S</v>
      </c>
      <c r="F16" s="12">
        <f>SUMIFS(BalCom!$H:$H,BalCom!$D:$D,BalDip!F$10,BalCom!$N:$N,BalDip!$C16,BalCom!$C:$C,BalDip!$E$14)</f>
        <v>0</v>
      </c>
      <c r="G16" s="26">
        <f>SUMIFS(BalCom!$H:$H,BalCom!$D:$D,BalDip!G$10,BalCom!$N:$N,BalDip!$C16,BalCom!$C:$C,BalDip!$E$14)</f>
        <v>0</v>
      </c>
      <c r="H16" s="26">
        <f>SUMIFS(BalCom!$H:$H,BalCom!$D:$D,BalDip!H$10,BalCom!$N:$N,BalDip!$C16,BalCom!$C:$C,BalDip!$E$14)</f>
        <v>0</v>
      </c>
      <c r="I16" s="26">
        <f>SUMIFS(BalCom!$H:$H,BalCom!$D:$D,BalDip!I$10,BalCom!$N:$N,BalDip!$C16,BalCom!$C:$C,BalDip!$E$14)</f>
        <v>0</v>
      </c>
    </row>
    <row r="17" spans="3:9">
      <c r="C17" s="49" t="str">
        <v>CH212</v>
      </c>
      <c r="D17" s="50">
        <f>IF(C17="","",_xlfn.XLOOKUP(C17,BalCom!N:N,BalCom!G:G,0))</f>
        <v>0.03</v>
      </c>
      <c r="E17" s="49" t="str">
        <f>IF(C17="","",_xlfn.XLOOKUP(C17,Used_before_Trf!A:A,Used_before_Trf!B:B,0))</f>
        <v xml:space="preserve">  (TEST) POTASSIUM HYDROXIDE FLAKE 90% ( KOH ) ( 25 KGS / BAG )</v>
      </c>
      <c r="F17" s="12">
        <f>SUMIFS(BalCom!$H:$H,BalCom!$D:$D,BalDip!F$10,BalCom!$N:$N,BalDip!$C17,BalCom!$C:$C,BalDip!$E$14)</f>
        <v>0</v>
      </c>
      <c r="G17" s="26">
        <f>SUMIFS(BalCom!$H:$H,BalCom!$D:$D,BalDip!G$10,BalCom!$N:$N,BalDip!$C17,BalCom!$C:$C,BalDip!$E$14)</f>
        <v>0</v>
      </c>
      <c r="H17" s="26">
        <f>SUMIFS(BalCom!$H:$H,BalCom!$D:$D,BalDip!H$10,BalCom!$N:$N,BalDip!$C17,BalCom!$C:$C,BalDip!$E$14)</f>
        <v>2.1131936495999999</v>
      </c>
      <c r="I17" s="26">
        <f>SUMIFS(BalCom!$H:$H,BalCom!$D:$D,BalDip!I$10,BalCom!$N:$N,BalDip!$C17,BalCom!$C:$C,BalDip!$E$14)</f>
        <v>1.8699311699999999</v>
      </c>
    </row>
    <row r="18" spans="3:9">
      <c r="C18" s="49" t="str">
        <v>SFG-Water</v>
      </c>
      <c r="D18" s="50">
        <f>IF(C18="","",_xlfn.XLOOKUP(C18,BalCom!N:N,BalCom!G:G,0))</f>
        <v>0.03</v>
      </c>
      <c r="E18" s="49" t="str">
        <f>IF(C18="","",_xlfn.XLOOKUP(C18,Used_before_Trf!A:A,Used_before_Trf!B:B,0))</f>
        <v>Water</v>
      </c>
      <c r="F18" s="12">
        <f>SUMIFS(BalCom!$H:$H,BalCom!$D:$D,BalDip!F$10,BalCom!$N:$N,BalDip!$C18,BalCom!$C:$C,BalDip!$E$14)</f>
        <v>0</v>
      </c>
      <c r="G18" s="26">
        <f>SUMIFS(BalCom!$H:$H,BalCom!$D:$D,BalDip!G$10,BalCom!$N:$N,BalDip!$C18,BalCom!$C:$C,BalDip!$E$14)</f>
        <v>0</v>
      </c>
      <c r="H18" s="26">
        <f>SUMIFS(BalCom!$H:$H,BalCom!$D:$D,BalDip!H$10,BalCom!$N:$N,BalDip!$C18,BalCom!$C:$C,BalDip!$E$14)</f>
        <v>28.704406350399996</v>
      </c>
      <c r="I18" s="26">
        <f>SUMIFS(BalCom!$H:$H,BalCom!$D:$D,BalDip!I$10,BalCom!$N:$N,BalDip!$C18,BalCom!$C:$C,BalDip!$E$14)</f>
        <v>25.400068829999999</v>
      </c>
    </row>
    <row r="19" spans="3:9">
      <c r="C19" s="49" t="str">
        <v>CH227</v>
      </c>
      <c r="D19" s="50">
        <f>IF(C19="","",_xlfn.XLOOKUP(C19,BalCom!N:N,BalCom!G:G,0))</f>
        <v>0.15</v>
      </c>
      <c r="E19" s="49" t="str">
        <f>IF(C19="","",_xlfn.XLOOKUP(C19,Used_before_Trf!A:A,Used_before_Trf!B:B,0))</f>
        <v xml:space="preserve">  (TEST) NEOPELEX G-15P (1000KG/IBC) (SDBS)</v>
      </c>
      <c r="F19" s="12">
        <f>SUMIFS(BalCom!$H:$H,BalCom!$D:$D,BalDip!F$10,BalCom!$N:$N,BalDip!$C19,BalCom!$C:$C,BalDip!$E$14)</f>
        <v>0</v>
      </c>
      <c r="G19" s="26">
        <f>SUMIFS(BalCom!$H:$H,BalCom!$D:$D,BalDip!G$10,BalCom!$N:$N,BalDip!$C19,BalCom!$C:$C,BalDip!$E$14)</f>
        <v>0</v>
      </c>
      <c r="H19" s="26">
        <f>SUMIFS(BalCom!$H:$H,BalCom!$D:$D,BalDip!H$10,BalCom!$N:$N,BalDip!$C19,BalCom!$C:$C,BalDip!$E$14)</f>
        <v>3.6255999999999999</v>
      </c>
      <c r="I19" s="26">
        <f>SUMIFS(BalCom!$H:$H,BalCom!$D:$D,BalDip!I$10,BalCom!$N:$N,BalDip!$C19,BalCom!$C:$C,BalDip!$E$14)</f>
        <v>3.6360000000000001</v>
      </c>
    </row>
    <row r="20" spans="3:9">
      <c r="C20" s="49" t="str">
        <v>CH93</v>
      </c>
      <c r="D20" s="50">
        <f>IF(C20="","",_xlfn.XLOOKUP(C20,BalCom!N:N,BalCom!G:G,0))</f>
        <v>0.6</v>
      </c>
      <c r="E20" s="49" t="str">
        <f>IF(C20="","",_xlfn.XLOOKUP(C20,Used_before_Trf!A:A,Used_before_Trf!B:B,0))</f>
        <v>ZINC OXIDE 60% (ZNO) 250 KGS/DRUM</v>
      </c>
      <c r="F20" s="12">
        <f>SUMIFS(BalCom!$H:$H,BalCom!$D:$D,BalDip!F$10,BalCom!$N:$N,BalDip!$C20,BalCom!$C:$C,BalDip!$E$14)</f>
        <v>0</v>
      </c>
      <c r="G20" s="26">
        <f>SUMIFS(BalCom!$H:$H,BalCom!$D:$D,BalDip!G$10,BalCom!$N:$N,BalDip!$C20,BalCom!$C:$C,BalDip!$E$14)</f>
        <v>0</v>
      </c>
      <c r="H20" s="26">
        <f>SUMIFS(BalCom!$H:$H,BalCom!$D:$D,BalDip!H$10,BalCom!$N:$N,BalDip!$C20,BalCom!$C:$C,BalDip!$E$14)</f>
        <v>14.5024</v>
      </c>
      <c r="I20" s="26">
        <f>SUMIFS(BalCom!$H:$H,BalCom!$D:$D,BalDip!I$10,BalCom!$N:$N,BalDip!$C20,BalCom!$C:$C,BalDip!$E$14)</f>
        <v>10.907999999999999</v>
      </c>
    </row>
    <row r="21" spans="3:9">
      <c r="C21" s="49" t="str">
        <v>CH92</v>
      </c>
      <c r="D21" s="50">
        <f>IF(C21="","",_xlfn.XLOOKUP(C21,BalCom!N:N,BalCom!G:G,0))</f>
        <v>0.6</v>
      </c>
      <c r="E21" s="49" t="str">
        <f>IF(C21="","",_xlfn.XLOOKUP(C21,Used_before_Trf!A:A,Used_before_Trf!B:B,0))</f>
        <v>SULPHUR 60% 250 KGS/DRUM</v>
      </c>
      <c r="F21" s="12">
        <f>SUMIFS(BalCom!$H:$H,BalCom!$D:$D,BalDip!F$10,BalCom!$N:$N,BalDip!$C21,BalCom!$C:$C,BalDip!$E$14)</f>
        <v>0</v>
      </c>
      <c r="G21" s="26">
        <f>SUMIFS(BalCom!$H:$H,BalCom!$D:$D,BalDip!G$10,BalCom!$N:$N,BalDip!$C21,BalCom!$C:$C,BalDip!$E$14)</f>
        <v>0</v>
      </c>
      <c r="H21" s="26">
        <f>SUMIFS(BalCom!$H:$H,BalCom!$D:$D,BalDip!H$10,BalCom!$N:$N,BalDip!$C21,BalCom!$C:$C,BalDip!$E$14)</f>
        <v>18.128</v>
      </c>
      <c r="I21" s="26">
        <f>SUMIFS(BalCom!$H:$H,BalCom!$D:$D,BalDip!I$10,BalCom!$N:$N,BalDip!$C21,BalCom!$C:$C,BalDip!$E$14)</f>
        <v>18.18</v>
      </c>
    </row>
    <row r="22" spans="3:9">
      <c r="C22" s="49" t="str">
        <v>CH91</v>
      </c>
      <c r="D22" s="50">
        <f>IF(C22="","",_xlfn.XLOOKUP(C22,BalCom!N:N,BalCom!G:G,0))</f>
        <v>0.5</v>
      </c>
      <c r="E22" s="49" t="str">
        <f>IF(C22="","",_xlfn.XLOOKUP(C22,Used_before_Trf!A:A,Used_before_Trf!B:B,0))</f>
        <v>ZDBC 50% 225 KGS/DRUM</v>
      </c>
      <c r="F22" s="12">
        <f>SUMIFS(BalCom!$H:$H,BalCom!$D:$D,BalDip!F$10,BalCom!$N:$N,BalDip!$C22,BalCom!$C:$C,BalDip!$E$14)</f>
        <v>0</v>
      </c>
      <c r="G22" s="26">
        <f>SUMIFS(BalCom!$H:$H,BalCom!$D:$D,BalDip!G$10,BalCom!$N:$N,BalDip!$C22,BalCom!$C:$C,BalDip!$E$14)</f>
        <v>0</v>
      </c>
      <c r="H22" s="26">
        <f>SUMIFS(BalCom!$H:$H,BalCom!$D:$D,BalDip!H$10,BalCom!$N:$N,BalDip!$C22,BalCom!$C:$C,BalDip!$E$14)</f>
        <v>10.876799999999999</v>
      </c>
      <c r="I22" s="26">
        <f>SUMIFS(BalCom!$H:$H,BalCom!$D:$D,BalDip!I$10,BalCom!$N:$N,BalDip!$C22,BalCom!$C:$C,BalDip!$E$14)</f>
        <v>10.907999999999999</v>
      </c>
    </row>
    <row r="23" spans="3:9">
      <c r="C23" s="49" t="str">
        <v>CH229</v>
      </c>
      <c r="D23" s="50">
        <f>IF(C23="","",_xlfn.XLOOKUP(C23,BalCom!N:N,BalCom!G:G,0))</f>
        <v>0.45</v>
      </c>
      <c r="E23" s="49" t="str">
        <f>IF(C23="","",_xlfn.XLOOKUP(C23,Used_before_Trf!A:A,Used_before_Trf!B:B,0))</f>
        <v xml:space="preserve">  (TEST) MRC600NB50(1400KG/IBC) MOQ: 23,800KG EXTENDER</v>
      </c>
      <c r="F23" s="12">
        <f>SUMIFS(BalCom!$H:$H,BalCom!$D:$D,BalDip!F$10,BalCom!$N:$N,BalDip!$C23,BalCom!$C:$C,BalDip!$E$14)</f>
        <v>0</v>
      </c>
      <c r="G23" s="26">
        <f>SUMIFS(BalCom!$H:$H,BalCom!$D:$D,BalDip!G$10,BalCom!$N:$N,BalDip!$C23,BalCom!$C:$C,BalDip!$E$14)</f>
        <v>0</v>
      </c>
      <c r="H23" s="26">
        <f>SUMIFS(BalCom!$H:$H,BalCom!$D:$D,BalDip!H$10,BalCom!$N:$N,BalDip!$C23,BalCom!$C:$C,BalDip!$E$14)</f>
        <v>0</v>
      </c>
      <c r="I23" s="26">
        <f>SUMIFS(BalCom!$H:$H,BalCom!$D:$D,BalDip!I$10,BalCom!$N:$N,BalDip!$C23,BalCom!$C:$C,BalDip!$E$14)</f>
        <v>0</v>
      </c>
    </row>
    <row r="24" spans="3:9">
      <c r="C24" s="49" t="str">
        <v>CH222</v>
      </c>
      <c r="D24" s="50">
        <f>IF(C24="","",_xlfn.XLOOKUP(C24,BalCom!N:N,BalCom!G:G,0))</f>
        <v>0.55000000000000004</v>
      </c>
      <c r="E24" s="49" t="str">
        <f>IF(C24="","",_xlfn.XLOOKUP(C24,Used_before_Trf!A:A,Used_before_Trf!B:B,0))</f>
        <v xml:space="preserve">  AQUAWAX 022S (950KG/IBC) -WAX</v>
      </c>
      <c r="F24" s="12">
        <f>SUMIFS(BalCom!$H:$H,BalCom!$D:$D,BalDip!F$10,BalCom!$N:$N,BalDip!$C24,BalCom!$C:$C,BalDip!$E$14)</f>
        <v>0</v>
      </c>
      <c r="G24" s="26">
        <f>SUMIFS(BalCom!$H:$H,BalCom!$D:$D,BalDip!G$10,BalCom!$N:$N,BalDip!$C24,BalCom!$C:$C,BalDip!$E$14)</f>
        <v>0</v>
      </c>
      <c r="H24" s="26">
        <f>SUMIFS(BalCom!$H:$H,BalCom!$D:$D,BalDip!H$10,BalCom!$N:$N,BalDip!$C24,BalCom!$C:$C,BalDip!$E$14)</f>
        <v>18.128</v>
      </c>
      <c r="I24" s="26">
        <f>SUMIFS(BalCom!$H:$H,BalCom!$D:$D,BalDip!I$10,BalCom!$N:$N,BalDip!$C24,BalCom!$C:$C,BalDip!$E$14)</f>
        <v>18.18</v>
      </c>
    </row>
    <row r="25" spans="3:9">
      <c r="C25" s="49" t="str">
        <v>CH140</v>
      </c>
      <c r="D25" s="50">
        <f>IF(C25="","",_xlfn.XLOOKUP(C25,BalCom!N:N,BalCom!G:G,0))</f>
        <v>0.5</v>
      </c>
      <c r="E25" s="49" t="str">
        <f>IF(C25="","",_xlfn.XLOOKUP(C25,Used_before_Trf!A:A,Used_before_Trf!B:B,0))</f>
        <v>HYDROTINT BLACK BA (20KG/PK) PIGMENT</v>
      </c>
      <c r="F25" s="12">
        <f>SUMIFS(BalCom!$H:$H,BalCom!$D:$D,BalDip!F$10,BalCom!$N:$N,BalDip!$C25,BalCom!$C:$C,BalDip!$E$14)</f>
        <v>0</v>
      </c>
      <c r="G25" s="26">
        <f>SUMIFS(BalCom!$H:$H,BalCom!$D:$D,BalDip!G$10,BalCom!$N:$N,BalDip!$C25,BalCom!$C:$C,BalDip!$E$14)</f>
        <v>0</v>
      </c>
      <c r="H25" s="26">
        <f>SUMIFS(BalCom!$H:$H,BalCom!$D:$D,BalDip!H$10,BalCom!$N:$N,BalDip!$C25,BalCom!$C:$C,BalDip!$E$14)</f>
        <v>18.128</v>
      </c>
      <c r="I25" s="26">
        <f>SUMIFS(BalCom!$H:$H,BalCom!$D:$D,BalDip!I$10,BalCom!$N:$N,BalDip!$C25,BalCom!$C:$C,BalDip!$E$14)</f>
        <v>18.18</v>
      </c>
    </row>
    <row r="26" spans="3:9">
      <c r="C26" s="538" t="str">
        <v>NBR31</v>
      </c>
      <c r="D26" s="50">
        <f>IF(C26="","",_xlfn.XLOOKUP(C26,BalCom!N:N,BalCom!G:G,0))</f>
        <v>0.4556</v>
      </c>
      <c r="E26" s="49" t="str">
        <f>IF(C26="","",_xlfn.XLOOKUP(C26,Used_before_Trf!A:A,Used_before_Trf!B:B,0))</f>
        <v xml:space="preserve">  (TEST) NBR LATEX, RFA-7632</v>
      </c>
      <c r="F26" s="12">
        <f>SUMIFS(BalCom!$H:$H,BalCom!$D:$D,BalDip!F$10,BalCom!$N:$N,BalDip!$C26,BalCom!$C:$C,BalDip!$E$14)</f>
        <v>0</v>
      </c>
      <c r="G26" s="26">
        <f>SUMIFS(BalCom!$H:$H,BalCom!$D:$D,BalDip!G$10,BalCom!$N:$N,BalDip!$C26,BalCom!$C:$C,BalDip!$E$14)</f>
        <v>0</v>
      </c>
      <c r="H26" s="26">
        <f>SUMIFS(BalCom!$H:$H,BalCom!$D:$D,BalDip!H$10,BalCom!$N:$N,BalDip!$C26,BalCom!$C:$C,BalDip!$E$14)</f>
        <v>0</v>
      </c>
      <c r="I26" s="567">
        <f>SUMIFS(BalCom!$H:$H,BalCom!$D:$D,BalDip!I$10,BalCom!$N:$N,BalDip!$C26,BalCom!$C:$C,BalDip!$E$14)</f>
        <v>1818</v>
      </c>
    </row>
    <row r="27" spans="3:9">
      <c r="C27" s="49" t="str">
        <v>CH215</v>
      </c>
      <c r="D27" s="50">
        <f>IF(C27="","",_xlfn.XLOOKUP(C27,BalCom!N:N,BalCom!G:G,0))</f>
        <v>0.65</v>
      </c>
      <c r="E27" s="49" t="str">
        <f>IF(C27="","",_xlfn.XLOOKUP(C27,Used_before_Trf!A:A,Used_before_Trf!B:B,0))</f>
        <v xml:space="preserve">  (TEST)ACUMIN H65 (1600KG/IBC) - FILLER</v>
      </c>
      <c r="F27" s="12">
        <f>SUMIFS(BalCom!$H:$H,BalCom!$D:$D,BalDip!F$10,BalCom!$N:$N,BalDip!$C27,BalCom!$C:$C,BalDip!$E$14)</f>
        <v>0</v>
      </c>
      <c r="G27" s="26">
        <f>SUMIFS(BalCom!$H:$H,BalCom!$D:$D,BalDip!G$10,BalCom!$N:$N,BalDip!$C27,BalCom!$C:$C,BalDip!$E$14)</f>
        <v>0</v>
      </c>
      <c r="H27" s="26">
        <f>SUMIFS(BalCom!$H:$H,BalCom!$D:$D,BalDip!H$10,BalCom!$N:$N,BalDip!$C27,BalCom!$C:$C,BalDip!$E$14)</f>
        <v>271.92</v>
      </c>
      <c r="I27" s="26">
        <f>SUMIFS(BalCom!$H:$H,BalCom!$D:$D,BalDip!I$10,BalCom!$N:$N,BalDip!$C27,BalCom!$C:$C,BalDip!$E$14)</f>
        <v>272.7</v>
      </c>
    </row>
    <row r="28" spans="3:9">
      <c r="C28" s="49" t="str">
        <v>NBR30</v>
      </c>
      <c r="D28" s="50">
        <f>IF(C28="","",_xlfn.XLOOKUP(C28,BalCom!N:N,BalCom!G:G,0))</f>
        <v>0.44069999999999998</v>
      </c>
      <c r="E28" s="49" t="str">
        <f>IF(C28="","",_xlfn.XLOOKUP(C28,Used_before_Trf!A:A,Used_before_Trf!B:B,0))</f>
        <v xml:space="preserve">  (TEST) NBR-XY806</v>
      </c>
      <c r="F28" s="12">
        <f>SUMIFS(BalCom!$H:$H,BalCom!$D:$D,BalDip!F$10,BalCom!$N:$N,BalDip!$C28,BalCom!$C:$C,BalDip!$E$14)</f>
        <v>0</v>
      </c>
      <c r="G28" s="26">
        <f>SUMIFS(BalCom!$H:$H,BalCom!$D:$D,BalDip!G$10,BalCom!$N:$N,BalDip!$C28,BalCom!$C:$C,BalDip!$E$14)</f>
        <v>0</v>
      </c>
      <c r="H28" s="26">
        <f>SUMIFS(BalCom!$H:$H,BalCom!$D:$D,BalDip!H$10,BalCom!$N:$N,BalDip!$C28,BalCom!$C:$C,BalDip!$E$14)</f>
        <v>1812.8</v>
      </c>
      <c r="I28" s="26">
        <f>SUMIFS(BalCom!$H:$H,BalCom!$D:$D,BalDip!I$10,BalCom!$N:$N,BalDip!$C28,BalCom!$C:$C,BalDip!$E$14)</f>
        <v>0</v>
      </c>
    </row>
    <row r="29" spans="3:9">
      <c r="C29" s="49" t="str">
        <v>CH168</v>
      </c>
      <c r="D29" s="50">
        <f>IF(C29="","",_xlfn.XLOOKUP(C29,BalCom!N:N,BalCom!G:G,0))</f>
        <v>0.3</v>
      </c>
      <c r="E29" s="49" t="str">
        <f>IF(C29="","",_xlfn.XLOOKUP(C29,Used_before_Trf!A:A,Used_before_Trf!B:B,0))</f>
        <v>ALPHALINK (ACELERATOR FREE CROSSLINKER) (200KG/DRUM)</v>
      </c>
      <c r="F29" s="12">
        <f>SUMIFS(BalCom!$H:$H,BalCom!$D:$D,BalDip!F$10,BalCom!$N:$N,BalDip!$C29,BalCom!$C:$C,BalDip!$E$14)</f>
        <v>0</v>
      </c>
      <c r="G29" s="26">
        <f>SUMIFS(BalCom!$H:$H,BalCom!$D:$D,BalDip!G$10,BalCom!$N:$N,BalDip!$C29,BalCom!$C:$C,BalDip!$E$14)</f>
        <v>0</v>
      </c>
      <c r="H29" s="26">
        <f>SUMIFS(BalCom!$H:$H,BalCom!$D:$D,BalDip!H$10,BalCom!$N:$N,BalDip!$C29,BalCom!$C:$C,BalDip!$E$14)</f>
        <v>0</v>
      </c>
      <c r="I29" s="26">
        <f>SUMIFS(BalCom!$H:$H,BalCom!$D:$D,BalDip!I$10,BalCom!$N:$N,BalDip!$C29,BalCom!$C:$C,BalDip!$E$14)</f>
        <v>0</v>
      </c>
    </row>
    <row r="30" spans="3:9">
      <c r="C30" s="49" t="str">
        <v>CH106</v>
      </c>
      <c r="D30" s="50">
        <f>IF(C30="","",_xlfn.XLOOKUP(C30,BalCom!N:N,BalCom!G:G,0))</f>
        <v>0.3</v>
      </c>
      <c r="E30" s="49" t="str">
        <f>IF(C30="","",_xlfn.XLOOKUP(C30,Used_before_Trf!A:A,Used_before_Trf!B:B,0))</f>
        <v>OCTOSOL 643 (200KG/DRUM)</v>
      </c>
      <c r="F30" s="12">
        <f>SUMIFS(BalCom!$H:$H,BalCom!$D:$D,BalDip!F$10,BalCom!$N:$N,BalDip!$C30,BalCom!$C:$C,BalDip!$E$14)</f>
        <v>0</v>
      </c>
      <c r="G30" s="26">
        <f>SUMIFS(BalCom!$H:$H,BalCom!$D:$D,BalDip!G$10,BalCom!$N:$N,BalDip!$C30,BalCom!$C:$C,BalDip!$E$14)</f>
        <v>0</v>
      </c>
      <c r="H30" s="26">
        <f>SUMIFS(BalCom!$H:$H,BalCom!$D:$D,BalDip!H$10,BalCom!$N:$N,BalDip!$C30,BalCom!$C:$C,BalDip!$E$14)</f>
        <v>0</v>
      </c>
      <c r="I30" s="26">
        <f>SUMIFS(BalCom!$H:$H,BalCom!$D:$D,BalDip!I$10,BalCom!$N:$N,BalDip!$C30,BalCom!$C:$C,BalDip!$E$14)</f>
        <v>0</v>
      </c>
    </row>
    <row r="31" spans="3:9">
      <c r="C31" s="49" t="str">
        <v>CH94</v>
      </c>
      <c r="D31" s="50">
        <f>IF(C31="","",_xlfn.XLOOKUP(C31,BalCom!N:N,BalCom!G:G,0))</f>
        <v>0.7</v>
      </c>
      <c r="E31" s="49" t="str">
        <f>IF(C31="","",_xlfn.XLOOKUP(C31,Used_before_Trf!A:A,Used_before_Trf!B:B,0))</f>
        <v>TIO2 70% (TITANIUM DIOXIDE) 250 KGS/DRUM</v>
      </c>
      <c r="F31" s="12">
        <f>SUMIFS(BalCom!$H:$H,BalCom!$D:$D,BalDip!F$10,BalCom!$N:$N,BalDip!$C31,BalCom!$C:$C,BalDip!$E$14)</f>
        <v>0</v>
      </c>
      <c r="G31" s="26">
        <f>SUMIFS(BalCom!$H:$H,BalCom!$D:$D,BalDip!G$10,BalCom!$N:$N,BalDip!$C31,BalCom!$C:$C,BalDip!$E$14)</f>
        <v>0</v>
      </c>
      <c r="H31" s="26">
        <f>SUMIFS(BalCom!$H:$H,BalCom!$D:$D,BalDip!H$10,BalCom!$N:$N,BalDip!$C31,BalCom!$C:$C,BalDip!$E$14)</f>
        <v>0</v>
      </c>
      <c r="I31" s="26">
        <f>SUMIFS(BalCom!$H:$H,BalCom!$D:$D,BalDip!I$10,BalCom!$N:$N,BalDip!$C31,BalCom!$C:$C,BalDip!$E$14)</f>
        <v>0</v>
      </c>
    </row>
    <row r="32" spans="3:9">
      <c r="C32" s="49" t="str">
        <v>CH128</v>
      </c>
      <c r="D32" s="50">
        <f>IF(C32="","",_xlfn.XLOOKUP(C32,BalCom!N:N,BalCom!G:G,0))</f>
        <v>0.55000000000000004</v>
      </c>
      <c r="E32" s="49" t="str">
        <f>IF(C32="","",_xlfn.XLOOKUP(C32,Used_before_Trf!A:A,Used_before_Trf!B:B,0))</f>
        <v>FARSPERSE BLUE MPL1523 (20 KGS/PAIL)</v>
      </c>
      <c r="F32" s="12">
        <f>SUMIFS(BalCom!$H:$H,BalCom!$D:$D,BalDip!F$10,BalCom!$N:$N,BalDip!$C32,BalCom!$C:$C,BalDip!$E$14)</f>
        <v>0</v>
      </c>
      <c r="G32" s="26">
        <f>SUMIFS(BalCom!$H:$H,BalCom!$D:$D,BalDip!G$10,BalCom!$N:$N,BalDip!$C32,BalCom!$C:$C,BalDip!$E$14)</f>
        <v>0</v>
      </c>
      <c r="H32" s="26">
        <f>SUMIFS(BalCom!$H:$H,BalCom!$D:$D,BalDip!H$10,BalCom!$N:$N,BalDip!$C32,BalCom!$C:$C,BalDip!$E$14)</f>
        <v>0</v>
      </c>
      <c r="I32" s="26">
        <f>SUMIFS(BalCom!$H:$H,BalCom!$D:$D,BalDip!I$10,BalCom!$N:$N,BalDip!$C32,BalCom!$C:$C,BalDip!$E$14)</f>
        <v>0</v>
      </c>
    </row>
    <row r="33" spans="1:14">
      <c r="C33" s="49" t="str">
        <v>CH240</v>
      </c>
      <c r="D33" s="50">
        <f>IF(C33="","",_xlfn.XLOOKUP(C33,BalCom!N:N,BalCom!G:G,0))</f>
        <v>0.5</v>
      </c>
      <c r="E33" s="49" t="str">
        <f>IF(C33="","",_xlfn.XLOOKUP(C33,Used_before_Trf!A:A,Used_before_Trf!B:B,0))</f>
        <v xml:space="preserve">  (TEST) ALPHALINK 50 (200KG/DRUM),(1000KG/IBC) - ACELERATOR FREE CROSSLINKER</v>
      </c>
      <c r="F33" s="12">
        <f>SUMIFS(BalCom!$H:$H,BalCom!$D:$D,BalDip!F$10,BalCom!$N:$N,BalDip!$C33,BalCom!$C:$C,BalDip!$E$14)</f>
        <v>0</v>
      </c>
      <c r="G33" s="26">
        <f>SUMIFS(BalCom!$H:$H,BalCom!$D:$D,BalDip!G$10,BalCom!$N:$N,BalDip!$C33,BalCom!$C:$C,BalDip!$E$14)</f>
        <v>0</v>
      </c>
      <c r="H33" s="26">
        <f>SUMIFS(BalCom!$H:$H,BalCom!$D:$D,BalDip!H$10,BalCom!$N:$N,BalDip!$C33,BalCom!$C:$C,BalDip!$E$14)</f>
        <v>0</v>
      </c>
      <c r="I33" s="26">
        <f>SUMIFS(BalCom!$H:$H,BalCom!$D:$D,BalDip!I$10,BalCom!$N:$N,BalDip!$C33,BalCom!$C:$C,BalDip!$E$14)</f>
        <v>0</v>
      </c>
    </row>
    <row r="34" spans="1:14">
      <c r="C34" s="49" t="str">
        <v>CH96</v>
      </c>
      <c r="D34" s="50">
        <f>IF(C34="","",_xlfn.XLOOKUP(C34,BalCom!N:N,BalCom!G:G,0))</f>
        <v>0.47</v>
      </c>
      <c r="E34" s="49" t="str">
        <f>IF(C34="","",_xlfn.XLOOKUP(C34,Used_before_Trf!A:A,Used_before_Trf!B:B,0))</f>
        <v>47% FARSPERSE VIOLET PV-RLS 20 KGS/PAIL</v>
      </c>
      <c r="F34" s="12">
        <f>SUMIFS(BalCom!$H:$H,BalCom!$D:$D,BalDip!F$10,BalCom!$N:$N,BalDip!$C34,BalCom!$C:$C,BalDip!$E$14)</f>
        <v>0</v>
      </c>
      <c r="G34" s="26">
        <f>SUMIFS(BalCom!$H:$H,BalCom!$D:$D,BalDip!G$10,BalCom!$N:$N,BalDip!$C34,BalCom!$C:$C,BalDip!$E$14)</f>
        <v>0</v>
      </c>
      <c r="H34" s="26">
        <f>SUMIFS(BalCom!$H:$H,BalCom!$D:$D,BalDip!H$10,BalCom!$N:$N,BalDip!$C34,BalCom!$C:$C,BalDip!$E$14)</f>
        <v>0</v>
      </c>
      <c r="I34" s="26">
        <f>SUMIFS(BalCom!$H:$H,BalCom!$D:$D,BalDip!I$10,BalCom!$N:$N,BalDip!$C34,BalCom!$C:$C,BalDip!$E$14)</f>
        <v>0</v>
      </c>
    </row>
    <row r="35" spans="1:14">
      <c r="C35" s="49"/>
      <c r="D35" s="50" t="str">
        <f>IF(C35="","",_xlfn.XLOOKUP(C35,BalCom!N:N,BalCom!G:G,0))</f>
        <v/>
      </c>
      <c r="E35" s="49" t="str">
        <f>IF(C35="","",_xlfn.XLOOKUP(C35,Used_before_Trf!A:A,Used_before_Trf!B:B,0))</f>
        <v/>
      </c>
      <c r="F35" s="12">
        <f>SUMIFS(BalCom!$H:$H,BalCom!$D:$D,BalDip!F$10,BalCom!$N:$N,BalDip!$C35,BalCom!$C:$C,BalDip!$E$14)</f>
        <v>0</v>
      </c>
      <c r="G35" s="26">
        <f>SUMIFS(BalCom!$H:$H,BalCom!$D:$D,BalDip!G$10,BalCom!$N:$N,BalDip!$C35,BalCom!$C:$C,BalDip!$E$14)</f>
        <v>0</v>
      </c>
      <c r="H35" s="26">
        <f>SUMIFS(BalCom!$H:$H,BalCom!$D:$D,BalDip!H$10,BalCom!$N:$N,BalDip!$C35,BalCom!$C:$C,BalDip!$E$14)</f>
        <v>0</v>
      </c>
      <c r="I35" s="26">
        <f>SUMIFS(BalCom!$H:$H,BalCom!$D:$D,BalDip!I$10,BalCom!$N:$N,BalDip!$C35,BalCom!$C:$C,BalDip!$E$14)</f>
        <v>0</v>
      </c>
    </row>
    <row r="36" spans="1:14">
      <c r="C36" s="49"/>
      <c r="D36" s="50" t="str">
        <f>IF(C36="","",_xlfn.XLOOKUP(C36,BalCom!N:N,BalCom!G:G,0))</f>
        <v/>
      </c>
      <c r="E36" s="49" t="str">
        <f>IF(C36="","",_xlfn.XLOOKUP(C36,Used_before_Trf!A:A,Used_before_Trf!B:B,0))</f>
        <v/>
      </c>
      <c r="F36" s="12">
        <f>SUMIFS(BalCom!$H:$H,BalCom!$D:$D,BalDip!F$10,BalCom!$N:$N,BalDip!$C36,BalCom!$C:$C,BalDip!$E$14)</f>
        <v>0</v>
      </c>
      <c r="G36" s="26">
        <f>SUMIFS(BalCom!$H:$H,BalCom!$D:$D,BalDip!G$10,BalCom!$N:$N,BalDip!$C36,BalCom!$C:$C,BalDip!$E$14)</f>
        <v>0</v>
      </c>
      <c r="H36" s="26">
        <f>SUMIFS(BalCom!$H:$H,BalCom!$D:$D,BalDip!H$10,BalCom!$N:$N,BalDip!$C36,BalCom!$C:$C,BalDip!$E$14)</f>
        <v>0</v>
      </c>
      <c r="I36" s="26">
        <f>SUMIFS(BalCom!$H:$H,BalCom!$D:$D,BalDip!I$10,BalCom!$N:$N,BalDip!$C36,BalCom!$C:$C,BalDip!$E$14)</f>
        <v>0</v>
      </c>
    </row>
    <row r="37" spans="1:14">
      <c r="C37" s="49"/>
      <c r="D37" s="50" t="str">
        <f>IF(C37="","",_xlfn.XLOOKUP(C37,BalCom!N:N,BalCom!G:G,0))</f>
        <v/>
      </c>
      <c r="E37" s="49" t="str">
        <f>IF(C37="","",_xlfn.XLOOKUP(C37,Used_before_Trf!A:A,Used_before_Trf!B:B,0))</f>
        <v/>
      </c>
      <c r="F37" s="12">
        <f>SUMIFS(BalCom!$H:$H,BalCom!$D:$D,BalDip!F$10,BalCom!$N:$N,BalDip!$C37,BalCom!$C:$C,BalDip!$E$14)</f>
        <v>0</v>
      </c>
      <c r="G37" s="26">
        <f>SUMIFS(BalCom!$H:$H,BalCom!$D:$D,BalDip!G$10,BalCom!$N:$N,BalDip!$C37,BalCom!$C:$C,BalDip!$E$14)</f>
        <v>0</v>
      </c>
      <c r="H37" s="26">
        <f>SUMIFS(BalCom!$H:$H,BalCom!$D:$D,BalDip!H$10,BalCom!$N:$N,BalDip!$C37,BalCom!$C:$C,BalDip!$E$14)</f>
        <v>0</v>
      </c>
      <c r="I37" s="26">
        <f>SUMIFS(BalCom!$H:$H,BalCom!$D:$D,BalDip!I$10,BalCom!$N:$N,BalDip!$C37,BalCom!$C:$C,BalDip!$E$14)</f>
        <v>0</v>
      </c>
    </row>
    <row r="38" spans="1:14">
      <c r="C38" s="49"/>
      <c r="D38" s="50" t="str">
        <f>IF(C38="","",_xlfn.XLOOKUP(C38,BalCom!N:N,BalCom!G:G,0))</f>
        <v/>
      </c>
      <c r="E38" s="49" t="str">
        <f>IF(C38="","",_xlfn.XLOOKUP(C38,Used_before_Trf!A:A,Used_before_Trf!B:B,0))</f>
        <v/>
      </c>
      <c r="F38" s="12">
        <f>SUMIFS(BalCom!$H:$H,BalCom!$D:$D,BalDip!F$10,BalCom!$N:$N,BalDip!$C38,BalCom!$C:$C,BalDip!$E$14)</f>
        <v>0</v>
      </c>
      <c r="G38" s="26">
        <f>SUMIFS(BalCom!$H:$H,BalCom!$D:$D,BalDip!G$10,BalCom!$N:$N,BalDip!$C38,BalCom!$C:$C,BalDip!$E$14)</f>
        <v>0</v>
      </c>
      <c r="H38" s="26">
        <f>SUMIFS(BalCom!$H:$H,BalCom!$D:$D,BalDip!H$10,BalCom!$N:$N,BalDip!$C38,BalCom!$C:$C,BalDip!$E$14)</f>
        <v>0</v>
      </c>
      <c r="I38" s="26">
        <f>SUMIFS(BalCom!$H:$H,BalCom!$D:$D,BalDip!I$10,BalCom!$N:$N,BalDip!$C38,BalCom!$C:$C,BalDip!$E$14)</f>
        <v>0</v>
      </c>
    </row>
    <row r="39" spans="1:14">
      <c r="C39" s="49"/>
      <c r="D39" s="50" t="str">
        <f>IF(C39="","",_xlfn.XLOOKUP(C39,BalCom!N:N,BalCom!G:G,0))</f>
        <v/>
      </c>
      <c r="E39" s="49" t="str">
        <f>IF(C39="","",_xlfn.XLOOKUP(C39,Used_before_Trf!A:A,Used_before_Trf!B:B,0))</f>
        <v/>
      </c>
      <c r="F39" s="12">
        <f>SUMIFS(BalCom!$H:$H,BalCom!$D:$D,BalDip!F$10,BalCom!$N:$N,BalDip!$C39,BalCom!$C:$C,BalDip!$E$14)</f>
        <v>0</v>
      </c>
      <c r="G39" s="26">
        <f>SUMIFS(BalCom!$H:$H,BalCom!$D:$D,BalDip!G$10,BalCom!$N:$N,BalDip!$C39,BalCom!$C:$C,BalDip!$E$14)</f>
        <v>0</v>
      </c>
      <c r="H39" s="26">
        <f>SUMIFS(BalCom!$H:$H,BalCom!$D:$D,BalDip!H$10,BalCom!$N:$N,BalDip!$C39,BalCom!$C:$C,BalDip!$E$14)</f>
        <v>0</v>
      </c>
      <c r="I39" s="26">
        <f>SUMIFS(BalCom!$H:$H,BalCom!$D:$D,BalDip!I$10,BalCom!$N:$N,BalDip!$C39,BalCom!$C:$C,BalDip!$E$14)</f>
        <v>0</v>
      </c>
    </row>
    <row r="40" spans="1:14">
      <c r="C40" s="49"/>
      <c r="D40" s="50" t="str">
        <f>IF(C40="","",_xlfn.XLOOKUP(C40,BalCom!N:N,BalCom!G:G,0))</f>
        <v/>
      </c>
      <c r="E40" s="49" t="str">
        <f>IF(C40="","",_xlfn.XLOOKUP(C40,Used_before_Trf!A:A,Used_before_Trf!B:B,0))</f>
        <v/>
      </c>
      <c r="F40" s="12">
        <f>SUMIFS(BalCom!$H:$H,BalCom!$D:$D,BalDip!F$10,BalCom!$N:$N,BalDip!$C40,BalCom!$C:$C,BalDip!$E$14)</f>
        <v>0</v>
      </c>
      <c r="G40" s="26">
        <f>SUMIFS(BalCom!$H:$H,BalCom!$D:$D,BalDip!G$10,BalCom!$N:$N,BalDip!$C40,BalCom!$C:$C,BalDip!$E$14)</f>
        <v>0</v>
      </c>
      <c r="H40" s="26">
        <f>SUMIFS(BalCom!$H:$H,BalCom!$D:$D,BalDip!H$10,BalCom!$N:$N,BalDip!$C40,BalCom!$C:$C,BalDip!$E$14)</f>
        <v>0</v>
      </c>
      <c r="I40" s="26">
        <f>SUMIFS(BalCom!$H:$H,BalCom!$D:$D,BalDip!I$10,BalCom!$N:$N,BalDip!$C40,BalCom!$C:$C,BalDip!$E$14)</f>
        <v>0</v>
      </c>
    </row>
    <row r="41" spans="1:14">
      <c r="C41" s="49"/>
      <c r="D41" s="50" t="str">
        <f>IF(C41="","",_xlfn.XLOOKUP(C41,BalCom!N:N,BalCom!G:G,0))</f>
        <v/>
      </c>
      <c r="E41" s="49" t="str">
        <f>IF(C41="","",_xlfn.XLOOKUP(C41,Used_before_Trf!A:A,Used_before_Trf!B:B,0))</f>
        <v/>
      </c>
      <c r="F41" s="12">
        <f>SUMIFS(BalCom!$H:$H,BalCom!$D:$D,BalDip!F$10,BalCom!$N:$N,BalDip!$C41,BalCom!$C:$C,BalDip!$E$14)</f>
        <v>0</v>
      </c>
      <c r="G41" s="26">
        <f>SUMIFS(BalCom!$H:$H,BalCom!$D:$D,BalDip!G$10,BalCom!$N:$N,BalDip!$C41,BalCom!$C:$C,BalDip!$E$14)</f>
        <v>0</v>
      </c>
      <c r="H41" s="26">
        <f>SUMIFS(BalCom!$H:$H,BalCom!$D:$D,BalDip!H$10,BalCom!$N:$N,BalDip!$C41,BalCom!$C:$C,BalDip!$E$14)</f>
        <v>0</v>
      </c>
      <c r="I41" s="26">
        <f>SUMIFS(BalCom!$H:$H,BalCom!$D:$D,BalDip!I$10,BalCom!$N:$N,BalDip!$C41,BalCom!$C:$C,BalDip!$E$14)</f>
        <v>0</v>
      </c>
    </row>
    <row r="42" spans="1:14">
      <c r="C42" s="49"/>
      <c r="D42" s="50" t="str">
        <f>IF(C42="","",_xlfn.XLOOKUP(C42,BalCom!N:N,BalCom!G:G,0))</f>
        <v/>
      </c>
      <c r="E42" s="49" t="str">
        <f>IF(C42="","",_xlfn.XLOOKUP(C42,Used_before_Trf!A:A,Used_before_Trf!B:B,0))</f>
        <v/>
      </c>
      <c r="F42" s="12">
        <f>SUMIFS(BalCom!$H:$H,BalCom!$D:$D,BalDip!F$10,BalCom!$N:$N,BalDip!$C42,BalCom!$C:$C,BalDip!$E$14)</f>
        <v>0</v>
      </c>
      <c r="G42" s="26">
        <f>SUMIFS(BalCom!$H:$H,BalCom!$D:$D,BalDip!G$10,BalCom!$N:$N,BalDip!$C42,BalCom!$C:$C,BalDip!$E$14)</f>
        <v>0</v>
      </c>
      <c r="H42" s="26">
        <f>SUMIFS(BalCom!$H:$H,BalCom!$D:$D,BalDip!H$10,BalCom!$N:$N,BalDip!$C42,BalCom!$C:$C,BalDip!$E$14)</f>
        <v>0</v>
      </c>
      <c r="I42" s="26">
        <f>SUMIFS(BalCom!$H:$H,BalCom!$D:$D,BalDip!I$10,BalCom!$N:$N,BalDip!$C42,BalCom!$C:$C,BalDip!$E$14)</f>
        <v>0</v>
      </c>
    </row>
    <row r="43" spans="1:14">
      <c r="C43" s="49"/>
      <c r="D43" s="50" t="str">
        <f>IF(C43="","",_xlfn.XLOOKUP(C43,BalCom!N:N,BalCom!G:G,0))</f>
        <v/>
      </c>
      <c r="E43" s="49" t="str">
        <f>IF(C43="","",_xlfn.XLOOKUP(C43,Used_before_Trf!A:A,Used_before_Trf!B:B,0))</f>
        <v/>
      </c>
      <c r="F43" s="12">
        <f>SUMIFS(BalCom!$H:$H,BalCom!$D:$D,BalDip!F$10,BalCom!$N:$N,BalDip!$C43,BalCom!$C:$C,BalDip!$E$14)</f>
        <v>0</v>
      </c>
      <c r="G43" s="26">
        <f>SUMIFS(BalCom!$H:$H,BalCom!$D:$D,BalDip!G$10,BalCom!$N:$N,BalDip!$C43,BalCom!$C:$C,BalDip!$E$14)</f>
        <v>0</v>
      </c>
      <c r="H43" s="26">
        <f>SUMIFS(BalCom!$H:$H,BalCom!$D:$D,BalDip!H$10,BalCom!$N:$N,BalDip!$C43,BalCom!$C:$C,BalDip!$E$14)</f>
        <v>0</v>
      </c>
      <c r="I43" s="26">
        <f>SUMIFS(BalCom!$H:$H,BalCom!$D:$D,BalDip!I$10,BalCom!$N:$N,BalDip!$C43,BalCom!$C:$C,BalDip!$E$14)</f>
        <v>0</v>
      </c>
    </row>
    <row r="44" spans="1:14" s="22" customFormat="1">
      <c r="A44" s="480"/>
      <c r="B44" s="469"/>
      <c r="C44" s="51"/>
      <c r="D44" s="51"/>
      <c r="E44" s="52" t="str">
        <f>IF(C44="","",_xlfn.XLOOKUP(C44,Used_before_Trf!A:A,Used_before_Trf!B:B,0))</f>
        <v/>
      </c>
      <c r="F44" s="53">
        <f>SUM(F16:F43)</f>
        <v>0</v>
      </c>
      <c r="G44" s="54">
        <f t="shared" ref="G44:I44" si="1">SUM(G16:G43)</f>
        <v>0</v>
      </c>
      <c r="H44" s="54">
        <f>SUM(H16:H43)</f>
        <v>2198.9263999999998</v>
      </c>
      <c r="I44" s="54">
        <f t="shared" si="1"/>
        <v>2197.962</v>
      </c>
      <c r="J44" s="53"/>
      <c r="K44" s="53"/>
      <c r="L44" s="53"/>
      <c r="M44" s="53"/>
      <c r="N44" s="45"/>
    </row>
    <row r="45" spans="1:14">
      <c r="E45" s="25" t="str">
        <f>IF(C45="","",_xlfn.XLOOKUP(C45,Used_before_Trf!A:A,Used_before_Trf!B:B,0))</f>
        <v/>
      </c>
    </row>
    <row r="46" spans="1:14">
      <c r="E46" s="25" t="str">
        <f>IF(C46="","",_xlfn.XLOOKUP(C46,Used_before_Trf!A:A,Used_before_Trf!B:B,0))</f>
        <v/>
      </c>
    </row>
    <row r="48" spans="1:14" s="24" customFormat="1">
      <c r="A48" s="480" t="s">
        <v>704</v>
      </c>
      <c r="B48" s="470" t="s">
        <v>705</v>
      </c>
      <c r="C48" s="46" t="str">
        <f>C15</f>
        <v>New Code</v>
      </c>
      <c r="D48" s="46"/>
      <c r="E48" s="46" t="str">
        <f>E15</f>
        <v>Description</v>
      </c>
      <c r="F48" s="48" t="s">
        <v>706</v>
      </c>
      <c r="G48" s="48" t="s">
        <v>706</v>
      </c>
      <c r="H48" s="48" t="s">
        <v>706</v>
      </c>
      <c r="I48" s="48" t="s">
        <v>706</v>
      </c>
      <c r="J48" s="48"/>
      <c r="K48" s="48"/>
      <c r="L48" s="48"/>
      <c r="M48" s="48"/>
      <c r="N48" s="64" t="s">
        <v>707</v>
      </c>
    </row>
    <row r="49" spans="1:14">
      <c r="A49" s="479" t="str">
        <f>IF(LEFT(C49,3)="NBR","NBR","CHE")&amp;"_"&amp;"COM"</f>
        <v>NBR_COM</v>
      </c>
      <c r="B49" s="471" t="s">
        <v>170</v>
      </c>
      <c r="C49" s="49" t="str">
        <f>C16</f>
        <v>NBR01</v>
      </c>
      <c r="D49" s="49"/>
      <c r="E49" s="49" t="str">
        <f t="shared" ref="E49" si="2">E16</f>
        <v xml:space="preserve">  SYNTHETIC LATEX BST NBL 8503S</v>
      </c>
      <c r="F49" s="12">
        <f>IFERROR((F$9*F16/F$44/$D16),0)</f>
        <v>0</v>
      </c>
      <c r="G49" s="26">
        <f>IFERROR((G$9*G16/G$44/$D16),0)</f>
        <v>0</v>
      </c>
      <c r="H49" s="26">
        <f>IFERROR((H$9*H16/H$44/$D16),0)</f>
        <v>0</v>
      </c>
      <c r="I49" s="26">
        <f t="shared" ref="I49:I74" si="3">IFERROR((I$9*I16/I$44/$D16),0)</f>
        <v>0</v>
      </c>
      <c r="N49" s="45">
        <f>SUM(F49:M49)</f>
        <v>0</v>
      </c>
    </row>
    <row r="50" spans="1:14">
      <c r="A50" s="479" t="str">
        <f t="shared" ref="A50:A74" si="4">IF(LEFT(C50,3)="NBR","NBR","CHE")&amp;"_"&amp;"COM"</f>
        <v>CHE_COM</v>
      </c>
      <c r="B50" s="471" t="s">
        <v>170</v>
      </c>
      <c r="C50" s="49" t="str">
        <f t="shared" ref="C50:E50" si="5">C17</f>
        <v>CH212</v>
      </c>
      <c r="D50" s="55"/>
      <c r="E50" s="49" t="str">
        <f t="shared" si="5"/>
        <v xml:space="preserve">  (TEST) POTASSIUM HYDROXIDE FLAKE 90% ( KOH ) ( 25 KGS / BAG )</v>
      </c>
      <c r="F50" s="12">
        <f t="shared" ref="F50:H50" si="6">IFERROR((F$9*F17/F$44/$D17),0)</f>
        <v>0</v>
      </c>
      <c r="G50" s="26">
        <f t="shared" si="6"/>
        <v>0</v>
      </c>
      <c r="H50" s="26">
        <f t="shared" si="6"/>
        <v>61.862234957955486</v>
      </c>
      <c r="I50" s="26">
        <f t="shared" si="3"/>
        <v>58.645503722084364</v>
      </c>
      <c r="N50" s="45">
        <f t="shared" ref="N50:N67" si="7">SUM(F50:M50)</f>
        <v>120.50773868003985</v>
      </c>
    </row>
    <row r="51" spans="1:14">
      <c r="A51" s="479" t="str">
        <f t="shared" si="4"/>
        <v>CHE_COM</v>
      </c>
      <c r="B51" s="471" t="s">
        <v>170</v>
      </c>
      <c r="C51" s="49" t="str">
        <f t="shared" ref="C51:E51" si="8">C18</f>
        <v>SFG-Water</v>
      </c>
      <c r="D51" s="55"/>
      <c r="E51" s="49" t="str">
        <f t="shared" si="8"/>
        <v>Water</v>
      </c>
      <c r="F51" s="12">
        <f t="shared" ref="F51:H51" si="9">IFERROR((F$9*F18/F$44/$D18),0)</f>
        <v>0</v>
      </c>
      <c r="G51" s="26">
        <f t="shared" si="9"/>
        <v>0</v>
      </c>
      <c r="H51" s="26">
        <f t="shared" si="9"/>
        <v>840.30099669909316</v>
      </c>
      <c r="I51" s="26">
        <f t="shared" si="3"/>
        <v>796.60677088502882</v>
      </c>
      <c r="N51" s="45">
        <f t="shared" si="7"/>
        <v>1636.907767584122</v>
      </c>
    </row>
    <row r="52" spans="1:14">
      <c r="A52" s="479" t="str">
        <f t="shared" si="4"/>
        <v>CHE_COM</v>
      </c>
      <c r="B52" s="471" t="s">
        <v>170</v>
      </c>
      <c r="C52" s="49" t="str">
        <f t="shared" ref="C52:E52" si="10">C19</f>
        <v>CH227</v>
      </c>
      <c r="D52" s="55"/>
      <c r="E52" s="49" t="str">
        <f t="shared" si="10"/>
        <v xml:space="preserve">  (TEST) NEOPELEX G-15P (1000KG/IBC) (SDBS)</v>
      </c>
      <c r="F52" s="12">
        <f t="shared" ref="F52:H52" si="11">IFERROR((F$9*F19/F$44/$D19),0)</f>
        <v>0</v>
      </c>
      <c r="G52" s="26">
        <f t="shared" si="11"/>
        <v>0</v>
      </c>
      <c r="H52" s="26">
        <f t="shared" si="11"/>
        <v>21.227370156636443</v>
      </c>
      <c r="I52" s="26">
        <f t="shared" si="3"/>
        <v>22.806727322856357</v>
      </c>
      <c r="N52" s="45">
        <f t="shared" si="7"/>
        <v>44.0340974794928</v>
      </c>
    </row>
    <row r="53" spans="1:14">
      <c r="A53" s="479" t="str">
        <f t="shared" si="4"/>
        <v>CHE_COM</v>
      </c>
      <c r="B53" s="471" t="s">
        <v>170</v>
      </c>
      <c r="C53" s="49" t="str">
        <f t="shared" ref="C53:E53" si="12">C20</f>
        <v>CH93</v>
      </c>
      <c r="D53" s="55"/>
      <c r="E53" s="49" t="str">
        <f t="shared" si="12"/>
        <v>ZINC OXIDE 60% (ZNO) 250 KGS/DRUM</v>
      </c>
      <c r="F53" s="12">
        <f t="shared" ref="F53:H53" si="13">IFERROR((F$9*F20/F$44/$D20),0)</f>
        <v>0</v>
      </c>
      <c r="G53" s="26">
        <f t="shared" si="13"/>
        <v>0</v>
      </c>
      <c r="H53" s="26">
        <f t="shared" si="13"/>
        <v>21.227370156636443</v>
      </c>
      <c r="I53" s="26">
        <f t="shared" si="3"/>
        <v>17.105045492142267</v>
      </c>
      <c r="N53" s="45">
        <f t="shared" si="7"/>
        <v>38.332415648778706</v>
      </c>
    </row>
    <row r="54" spans="1:14">
      <c r="A54" s="479" t="str">
        <f t="shared" si="4"/>
        <v>CHE_COM</v>
      </c>
      <c r="B54" s="471" t="s">
        <v>170</v>
      </c>
      <c r="C54" s="49" t="str">
        <f t="shared" ref="C54:E54" si="14">C21</f>
        <v>CH92</v>
      </c>
      <c r="D54" s="55"/>
      <c r="E54" s="49" t="str">
        <f t="shared" si="14"/>
        <v>SULPHUR 60% 250 KGS/DRUM</v>
      </c>
      <c r="F54" s="12">
        <f t="shared" ref="F54:H54" si="15">IFERROR((F$9*F21/F$44/$D21),0)</f>
        <v>0</v>
      </c>
      <c r="G54" s="26">
        <f t="shared" si="15"/>
        <v>0</v>
      </c>
      <c r="H54" s="26">
        <f t="shared" si="15"/>
        <v>26.534212695795553</v>
      </c>
      <c r="I54" s="26">
        <f t="shared" si="3"/>
        <v>28.508409153570447</v>
      </c>
      <c r="N54" s="45">
        <f t="shared" si="7"/>
        <v>55.042621849366</v>
      </c>
    </row>
    <row r="55" spans="1:14">
      <c r="A55" s="479" t="str">
        <f t="shared" si="4"/>
        <v>CHE_COM</v>
      </c>
      <c r="B55" s="471" t="s">
        <v>170</v>
      </c>
      <c r="C55" s="49" t="str">
        <f t="shared" ref="C55:E55" si="16">C22</f>
        <v>CH91</v>
      </c>
      <c r="D55" s="55"/>
      <c r="E55" s="49" t="str">
        <f t="shared" si="16"/>
        <v>ZDBC 50% 225 KGS/DRUM</v>
      </c>
      <c r="F55" s="12">
        <f t="shared" ref="F55:H55" si="17">IFERROR((F$9*F22/F$44/$D22),0)</f>
        <v>0</v>
      </c>
      <c r="G55" s="26">
        <f t="shared" si="17"/>
        <v>0</v>
      </c>
      <c r="H55" s="26">
        <f t="shared" si="17"/>
        <v>19.104633140972798</v>
      </c>
      <c r="I55" s="26">
        <f t="shared" si="3"/>
        <v>20.52605459057072</v>
      </c>
      <c r="N55" s="45">
        <f t="shared" si="7"/>
        <v>39.630687731543517</v>
      </c>
    </row>
    <row r="56" spans="1:14">
      <c r="A56" s="479" t="str">
        <f t="shared" si="4"/>
        <v>CHE_COM</v>
      </c>
      <c r="B56" s="471" t="s">
        <v>170</v>
      </c>
      <c r="C56" s="49" t="str">
        <f t="shared" ref="C56:E56" si="18">C23</f>
        <v>CH229</v>
      </c>
      <c r="D56" s="55"/>
      <c r="E56" s="49" t="str">
        <f t="shared" si="18"/>
        <v xml:space="preserve">  (TEST) MRC600NB50(1400KG/IBC) MOQ: 23,800KG EXTENDER</v>
      </c>
      <c r="F56" s="12">
        <f t="shared" ref="F56:H56" si="19">IFERROR((F$9*F23/F$44/$D23),0)</f>
        <v>0</v>
      </c>
      <c r="G56" s="26">
        <f t="shared" si="19"/>
        <v>0</v>
      </c>
      <c r="H56" s="26">
        <f t="shared" si="19"/>
        <v>0</v>
      </c>
      <c r="I56" s="26">
        <f t="shared" si="3"/>
        <v>0</v>
      </c>
      <c r="N56" s="45">
        <f t="shared" si="7"/>
        <v>0</v>
      </c>
    </row>
    <row r="57" spans="1:14">
      <c r="A57" s="479" t="str">
        <f t="shared" si="4"/>
        <v>CHE_COM</v>
      </c>
      <c r="B57" s="471" t="s">
        <v>170</v>
      </c>
      <c r="C57" s="49" t="str">
        <f t="shared" ref="C57:E57" si="20">C24</f>
        <v>CH222</v>
      </c>
      <c r="D57" s="55"/>
      <c r="E57" s="49" t="str">
        <f t="shared" si="20"/>
        <v xml:space="preserve">  AQUAWAX 022S (950KG/IBC) -WAX</v>
      </c>
      <c r="F57" s="12">
        <f t="shared" ref="F57:H57" si="21">IFERROR((F$9*F24/F$44/$D24),0)</f>
        <v>0</v>
      </c>
      <c r="G57" s="26">
        <f t="shared" si="21"/>
        <v>0</v>
      </c>
      <c r="H57" s="26">
        <f t="shared" si="21"/>
        <v>28.94641384995878</v>
      </c>
      <c r="I57" s="26">
        <f t="shared" si="3"/>
        <v>31.100082712985937</v>
      </c>
      <c r="N57" s="45">
        <f t="shared" si="7"/>
        <v>60.046496562944718</v>
      </c>
    </row>
    <row r="58" spans="1:14">
      <c r="A58" s="479" t="str">
        <f t="shared" si="4"/>
        <v>CHE_COM</v>
      </c>
      <c r="B58" s="471" t="s">
        <v>170</v>
      </c>
      <c r="C58" s="49" t="str">
        <f t="shared" ref="C58" si="22">C25</f>
        <v>CH140</v>
      </c>
      <c r="D58" s="55"/>
      <c r="E58" s="49" t="str">
        <f t="shared" ref="E58" si="23">E25</f>
        <v>HYDROTINT BLACK BA (20KG/PK) PIGMENT</v>
      </c>
      <c r="F58" s="12">
        <f t="shared" ref="F58:H58" si="24">IFERROR((F$9*F25/F$44/$D25),0)</f>
        <v>0</v>
      </c>
      <c r="G58" s="26">
        <f t="shared" si="24"/>
        <v>0</v>
      </c>
      <c r="H58" s="26">
        <f t="shared" si="24"/>
        <v>31.841055234954663</v>
      </c>
      <c r="I58" s="26">
        <f t="shared" si="3"/>
        <v>34.210090984284534</v>
      </c>
      <c r="N58" s="45">
        <f t="shared" si="7"/>
        <v>66.0511462192392</v>
      </c>
    </row>
    <row r="59" spans="1:14">
      <c r="A59" s="479" t="str">
        <f t="shared" si="4"/>
        <v>NBR_COM</v>
      </c>
      <c r="B59" s="471" t="s">
        <v>170</v>
      </c>
      <c r="C59" s="538" t="s">
        <v>502</v>
      </c>
      <c r="D59" s="55"/>
      <c r="E59" s="49" t="str">
        <f t="shared" ref="E59" si="25">E26</f>
        <v xml:space="preserve">  (TEST) NBR LATEX, RFA-7632</v>
      </c>
      <c r="F59" s="12">
        <f t="shared" ref="F59:H59" si="26">IFERROR((F$9*F26/F$44/$D26),0)</f>
        <v>0</v>
      </c>
      <c r="G59" s="26">
        <f t="shared" si="26"/>
        <v>0</v>
      </c>
      <c r="H59" s="26">
        <f t="shared" si="26"/>
        <v>0</v>
      </c>
      <c r="I59" s="26">
        <f t="shared" si="3"/>
        <v>3754.3998007335967</v>
      </c>
      <c r="N59" s="45">
        <f t="shared" si="7"/>
        <v>3754.3998007335967</v>
      </c>
    </row>
    <row r="60" spans="1:14">
      <c r="A60" s="479" t="str">
        <f t="shared" si="4"/>
        <v>CHE_COM</v>
      </c>
      <c r="B60" s="471" t="s">
        <v>170</v>
      </c>
      <c r="C60" s="49" t="str">
        <f t="shared" ref="C60" si="27">C27</f>
        <v>CH215</v>
      </c>
      <c r="D60" s="55"/>
      <c r="E60" s="49" t="str">
        <f t="shared" ref="E60" si="28">E27</f>
        <v xml:space="preserve">  (TEST)ACUMIN H65 (1600KG/IBC) - FILLER</v>
      </c>
      <c r="F60" s="12">
        <f t="shared" ref="F60:H60" si="29">IFERROR((F$9*F27/F$44/$D27),0)</f>
        <v>0</v>
      </c>
      <c r="G60" s="26">
        <f t="shared" si="29"/>
        <v>0</v>
      </c>
      <c r="H60" s="26">
        <f t="shared" si="29"/>
        <v>367.39679117255378</v>
      </c>
      <c r="I60" s="26">
        <f t="shared" si="3"/>
        <v>394.73181904943692</v>
      </c>
      <c r="N60" s="45">
        <f t="shared" si="7"/>
        <v>762.1286102219907</v>
      </c>
    </row>
    <row r="61" spans="1:14">
      <c r="A61" s="479" t="str">
        <f t="shared" si="4"/>
        <v>NBR_COM</v>
      </c>
      <c r="B61" s="471" t="s">
        <v>170</v>
      </c>
      <c r="C61" s="49" t="str">
        <f t="shared" ref="C61" si="30">C28</f>
        <v>NBR30</v>
      </c>
      <c r="D61" s="55"/>
      <c r="E61" s="49" t="str">
        <f t="shared" ref="E61" si="31">E28</f>
        <v xml:space="preserve">  (TEST) NBR-XY806</v>
      </c>
      <c r="F61" s="12">
        <f t="shared" ref="F61:H61" si="32">IFERROR((F$9*F28/F$44/$D28),0)</f>
        <v>0</v>
      </c>
      <c r="G61" s="26">
        <f t="shared" si="32"/>
        <v>0</v>
      </c>
      <c r="H61" s="26">
        <f t="shared" si="32"/>
        <v>3612.5544854725053</v>
      </c>
      <c r="I61" s="26">
        <f t="shared" si="3"/>
        <v>0</v>
      </c>
      <c r="N61" s="45">
        <f t="shared" si="7"/>
        <v>3612.5544854725053</v>
      </c>
    </row>
    <row r="62" spans="1:14">
      <c r="A62" s="479" t="str">
        <f t="shared" si="4"/>
        <v>CHE_COM</v>
      </c>
      <c r="B62" s="471" t="s">
        <v>170</v>
      </c>
      <c r="C62" s="49" t="str">
        <f t="shared" ref="C62" si="33">C29</f>
        <v>CH168</v>
      </c>
      <c r="D62" s="55"/>
      <c r="E62" s="49" t="str">
        <f t="shared" ref="E62" si="34">E29</f>
        <v>ALPHALINK (ACELERATOR FREE CROSSLINKER) (200KG/DRUM)</v>
      </c>
      <c r="F62" s="12">
        <f t="shared" ref="F62:H62" si="35">IFERROR((F$9*F29/F$44/$D29),0)</f>
        <v>0</v>
      </c>
      <c r="G62" s="26">
        <f t="shared" si="35"/>
        <v>0</v>
      </c>
      <c r="H62" s="26">
        <f t="shared" si="35"/>
        <v>0</v>
      </c>
      <c r="I62" s="26">
        <f t="shared" si="3"/>
        <v>0</v>
      </c>
      <c r="N62" s="45">
        <f t="shared" si="7"/>
        <v>0</v>
      </c>
    </row>
    <row r="63" spans="1:14">
      <c r="A63" s="479" t="str">
        <f t="shared" si="4"/>
        <v>CHE_COM</v>
      </c>
      <c r="B63" s="471" t="s">
        <v>170</v>
      </c>
      <c r="C63" s="49" t="str">
        <f t="shared" ref="C63" si="36">C30</f>
        <v>CH106</v>
      </c>
      <c r="D63" s="55"/>
      <c r="E63" s="49" t="str">
        <f t="shared" ref="E63" si="37">E30</f>
        <v>OCTOSOL 643 (200KG/DRUM)</v>
      </c>
      <c r="F63" s="12">
        <f t="shared" ref="F63:H63" si="38">IFERROR((F$9*F30/F$44/$D30),0)</f>
        <v>0</v>
      </c>
      <c r="G63" s="26">
        <f t="shared" si="38"/>
        <v>0</v>
      </c>
      <c r="H63" s="26">
        <f t="shared" si="38"/>
        <v>0</v>
      </c>
      <c r="I63" s="26">
        <f t="shared" si="3"/>
        <v>0</v>
      </c>
      <c r="N63" s="45">
        <f t="shared" si="7"/>
        <v>0</v>
      </c>
    </row>
    <row r="64" spans="1:14">
      <c r="A64" s="479" t="str">
        <f t="shared" si="4"/>
        <v>CHE_COM</v>
      </c>
      <c r="B64" s="471" t="s">
        <v>170</v>
      </c>
      <c r="C64" s="49" t="str">
        <f t="shared" ref="C64" si="39">C31</f>
        <v>CH94</v>
      </c>
      <c r="D64" s="55"/>
      <c r="E64" s="49" t="str">
        <f t="shared" ref="E64" si="40">E31</f>
        <v>TIO2 70% (TITANIUM DIOXIDE) 250 KGS/DRUM</v>
      </c>
      <c r="F64" s="12">
        <f t="shared" ref="F64:H64" si="41">IFERROR((F$9*F31/F$44/$D31),0)</f>
        <v>0</v>
      </c>
      <c r="G64" s="26">
        <f t="shared" si="41"/>
        <v>0</v>
      </c>
      <c r="H64" s="26">
        <f t="shared" si="41"/>
        <v>0</v>
      </c>
      <c r="I64" s="26">
        <f t="shared" si="3"/>
        <v>0</v>
      </c>
      <c r="N64" s="45">
        <f t="shared" si="7"/>
        <v>0</v>
      </c>
    </row>
    <row r="65" spans="1:15">
      <c r="A65" s="479" t="str">
        <f t="shared" si="4"/>
        <v>CHE_COM</v>
      </c>
      <c r="B65" s="471" t="s">
        <v>170</v>
      </c>
      <c r="C65" s="49" t="str">
        <f t="shared" ref="C65" si="42">C32</f>
        <v>CH128</v>
      </c>
      <c r="D65" s="55"/>
      <c r="E65" s="49" t="str">
        <f t="shared" ref="E65" si="43">E32</f>
        <v>FARSPERSE BLUE MPL1523 (20 KGS/PAIL)</v>
      </c>
      <c r="F65" s="12">
        <f t="shared" ref="F65:H65" si="44">IFERROR((F$9*F32/F$44/$D32),0)</f>
        <v>0</v>
      </c>
      <c r="G65" s="26">
        <f t="shared" si="44"/>
        <v>0</v>
      </c>
      <c r="H65" s="26">
        <f t="shared" si="44"/>
        <v>0</v>
      </c>
      <c r="I65" s="26">
        <f t="shared" si="3"/>
        <v>0</v>
      </c>
      <c r="N65" s="45">
        <f t="shared" si="7"/>
        <v>0</v>
      </c>
    </row>
    <row r="66" spans="1:15">
      <c r="A66" s="479" t="str">
        <f t="shared" si="4"/>
        <v>CHE_COM</v>
      </c>
      <c r="B66" s="471" t="s">
        <v>170</v>
      </c>
      <c r="C66" s="49" t="str">
        <f t="shared" ref="C66" si="45">C33</f>
        <v>CH240</v>
      </c>
      <c r="D66" s="55"/>
      <c r="E66" s="49" t="str">
        <f t="shared" ref="E66" si="46">E33</f>
        <v xml:space="preserve">  (TEST) ALPHALINK 50 (200KG/DRUM),(1000KG/IBC) - ACELERATOR FREE CROSSLINKER</v>
      </c>
      <c r="F66" s="12">
        <f t="shared" ref="F66:H66" si="47">IFERROR((F$9*F33/F$44/$D33),0)</f>
        <v>0</v>
      </c>
      <c r="G66" s="26">
        <f t="shared" si="47"/>
        <v>0</v>
      </c>
      <c r="H66" s="26">
        <f t="shared" si="47"/>
        <v>0</v>
      </c>
      <c r="I66" s="26">
        <f t="shared" si="3"/>
        <v>0</v>
      </c>
      <c r="N66" s="45">
        <f t="shared" si="7"/>
        <v>0</v>
      </c>
    </row>
    <row r="67" spans="1:15">
      <c r="A67" s="479" t="str">
        <f t="shared" si="4"/>
        <v>CHE_COM</v>
      </c>
      <c r="B67" s="471" t="s">
        <v>170</v>
      </c>
      <c r="C67" s="49" t="str">
        <f t="shared" ref="C67" si="48">C34</f>
        <v>CH96</v>
      </c>
      <c r="D67" s="55"/>
      <c r="E67" s="49" t="str">
        <f t="shared" ref="E67" si="49">E34</f>
        <v>47% FARSPERSE VIOLET PV-RLS 20 KGS/PAIL</v>
      </c>
      <c r="F67" s="12">
        <f t="shared" ref="F67:H67" si="50">IFERROR((F$9*F34/F$44/$D34),0)</f>
        <v>0</v>
      </c>
      <c r="G67" s="26">
        <f t="shared" si="50"/>
        <v>0</v>
      </c>
      <c r="H67" s="26">
        <f t="shared" si="50"/>
        <v>0</v>
      </c>
      <c r="I67" s="26">
        <f t="shared" si="3"/>
        <v>0</v>
      </c>
      <c r="N67" s="45">
        <f t="shared" si="7"/>
        <v>0</v>
      </c>
    </row>
    <row r="68" spans="1:15">
      <c r="A68" s="479" t="str">
        <f t="shared" si="4"/>
        <v>CHE_COM</v>
      </c>
      <c r="B68" s="471" t="s">
        <v>170</v>
      </c>
      <c r="C68" s="49">
        <f t="shared" ref="C68" si="51">C35</f>
        <v>0</v>
      </c>
      <c r="D68" s="55"/>
      <c r="E68" s="49" t="str">
        <f t="shared" ref="E68" si="52">E35</f>
        <v/>
      </c>
      <c r="F68" s="12">
        <f t="shared" ref="F68:H68" si="53">IFERROR((F$9*F35/F$44/$D35),0)</f>
        <v>0</v>
      </c>
      <c r="G68" s="26">
        <f t="shared" si="53"/>
        <v>0</v>
      </c>
      <c r="H68" s="26">
        <f t="shared" si="53"/>
        <v>0</v>
      </c>
      <c r="I68" s="26">
        <f t="shared" si="3"/>
        <v>0</v>
      </c>
      <c r="N68" s="45">
        <f t="shared" ref="N68:N74" si="54">SUM(F68:M68)</f>
        <v>0</v>
      </c>
    </row>
    <row r="69" spans="1:15">
      <c r="A69" s="479" t="str">
        <f t="shared" si="4"/>
        <v>CHE_COM</v>
      </c>
      <c r="B69" s="471" t="s">
        <v>170</v>
      </c>
      <c r="C69" s="49">
        <f t="shared" ref="C69" si="55">C36</f>
        <v>0</v>
      </c>
      <c r="D69" s="55"/>
      <c r="E69" s="49" t="str">
        <f t="shared" ref="E69" si="56">E36</f>
        <v/>
      </c>
      <c r="F69" s="12">
        <f t="shared" ref="F69:H69" si="57">IFERROR((F$9*F36/F$44/$D36),0)</f>
        <v>0</v>
      </c>
      <c r="G69" s="26">
        <f t="shared" si="57"/>
        <v>0</v>
      </c>
      <c r="H69" s="26">
        <f t="shared" si="57"/>
        <v>0</v>
      </c>
      <c r="I69" s="26">
        <f t="shared" si="3"/>
        <v>0</v>
      </c>
      <c r="N69" s="45">
        <f t="shared" si="54"/>
        <v>0</v>
      </c>
    </row>
    <row r="70" spans="1:15">
      <c r="A70" s="479" t="str">
        <f t="shared" si="4"/>
        <v>CHE_COM</v>
      </c>
      <c r="B70" s="471" t="s">
        <v>170</v>
      </c>
      <c r="C70" s="49">
        <f t="shared" ref="C70" si="58">C37</f>
        <v>0</v>
      </c>
      <c r="D70" s="55"/>
      <c r="E70" s="49" t="str">
        <f t="shared" ref="E70" si="59">E37</f>
        <v/>
      </c>
      <c r="F70" s="12">
        <f t="shared" ref="F70:H70" si="60">IFERROR((F$9*F37/F$44/$D37),0)</f>
        <v>0</v>
      </c>
      <c r="G70" s="26">
        <f t="shared" si="60"/>
        <v>0</v>
      </c>
      <c r="H70" s="26">
        <f t="shared" si="60"/>
        <v>0</v>
      </c>
      <c r="I70" s="26">
        <f t="shared" si="3"/>
        <v>0</v>
      </c>
      <c r="N70" s="45">
        <f t="shared" si="54"/>
        <v>0</v>
      </c>
    </row>
    <row r="71" spans="1:15">
      <c r="A71" s="479" t="str">
        <f t="shared" si="4"/>
        <v>CHE_COM</v>
      </c>
      <c r="B71" s="471" t="s">
        <v>170</v>
      </c>
      <c r="C71" s="49">
        <f t="shared" ref="C71" si="61">C38</f>
        <v>0</v>
      </c>
      <c r="D71" s="55"/>
      <c r="E71" s="49" t="str">
        <f t="shared" ref="E71" si="62">E38</f>
        <v/>
      </c>
      <c r="F71" s="12">
        <f t="shared" ref="F71:H71" si="63">IFERROR((F$9*F38/F$44/$D38),0)</f>
        <v>0</v>
      </c>
      <c r="G71" s="26">
        <f t="shared" si="63"/>
        <v>0</v>
      </c>
      <c r="H71" s="26">
        <f t="shared" si="63"/>
        <v>0</v>
      </c>
      <c r="I71" s="26">
        <f t="shared" si="3"/>
        <v>0</v>
      </c>
      <c r="N71" s="45">
        <f t="shared" si="54"/>
        <v>0</v>
      </c>
    </row>
    <row r="72" spans="1:15">
      <c r="A72" s="479" t="str">
        <f t="shared" si="4"/>
        <v>CHE_COM</v>
      </c>
      <c r="B72" s="471" t="s">
        <v>170</v>
      </c>
      <c r="C72" s="49">
        <f t="shared" ref="C72" si="64">C39</f>
        <v>0</v>
      </c>
      <c r="D72" s="55"/>
      <c r="E72" s="49" t="str">
        <f t="shared" ref="E72" si="65">E39</f>
        <v/>
      </c>
      <c r="F72" s="12">
        <f t="shared" ref="F72:H72" si="66">IFERROR((F$9*F39/F$44/$D39),0)</f>
        <v>0</v>
      </c>
      <c r="G72" s="26">
        <f t="shared" si="66"/>
        <v>0</v>
      </c>
      <c r="H72" s="26">
        <f t="shared" si="66"/>
        <v>0</v>
      </c>
      <c r="I72" s="26">
        <f t="shared" si="3"/>
        <v>0</v>
      </c>
      <c r="N72" s="45">
        <f t="shared" si="54"/>
        <v>0</v>
      </c>
    </row>
    <row r="73" spans="1:15">
      <c r="A73" s="479" t="str">
        <f t="shared" si="4"/>
        <v>CHE_COM</v>
      </c>
      <c r="B73" s="471" t="s">
        <v>170</v>
      </c>
      <c r="C73" s="49">
        <f t="shared" ref="C73" si="67">C40</f>
        <v>0</v>
      </c>
      <c r="D73" s="55"/>
      <c r="E73" s="49" t="str">
        <f t="shared" ref="E73" si="68">E40</f>
        <v/>
      </c>
      <c r="F73" s="12">
        <f t="shared" ref="F73:H73" si="69">IFERROR((F$9*F40/F$44/$D40),0)</f>
        <v>0</v>
      </c>
      <c r="G73" s="26">
        <f t="shared" si="69"/>
        <v>0</v>
      </c>
      <c r="H73" s="26">
        <f t="shared" si="69"/>
        <v>0</v>
      </c>
      <c r="I73" s="26">
        <f t="shared" si="3"/>
        <v>0</v>
      </c>
      <c r="N73" s="45">
        <f t="shared" si="54"/>
        <v>0</v>
      </c>
    </row>
    <row r="74" spans="1:15">
      <c r="A74" s="479" t="str">
        <f t="shared" si="4"/>
        <v>CHE_COM</v>
      </c>
      <c r="B74" s="471" t="s">
        <v>170</v>
      </c>
      <c r="C74" s="49"/>
      <c r="D74" s="55" t="str">
        <f>IF(C74="","",_xlfn.XLOOKUP(C74,Used_before_Trf!A:A,Used_before_Trf!U:U,0))</f>
        <v/>
      </c>
      <c r="E74" s="49" t="str">
        <f t="shared" ref="E74" si="70">E41</f>
        <v/>
      </c>
      <c r="F74" s="12">
        <f t="shared" ref="F74:H74" si="71">IFERROR((F$9*F41/F$44/$D41),0)</f>
        <v>0</v>
      </c>
      <c r="G74" s="26">
        <f t="shared" si="71"/>
        <v>0</v>
      </c>
      <c r="H74" s="26">
        <f t="shared" si="71"/>
        <v>0</v>
      </c>
      <c r="I74" s="26">
        <f t="shared" si="3"/>
        <v>0</v>
      </c>
      <c r="N74" s="45">
        <f t="shared" si="54"/>
        <v>0</v>
      </c>
    </row>
    <row r="75" spans="1:15">
      <c r="C75" s="51"/>
      <c r="D75" s="51"/>
      <c r="E75" s="52" t="s">
        <v>708</v>
      </c>
      <c r="F75" s="53">
        <f>SUM(F49:F74)</f>
        <v>0</v>
      </c>
      <c r="G75" s="53">
        <f t="shared" ref="G75:I75" si="72">SUM(G49:G74)</f>
        <v>0</v>
      </c>
      <c r="H75" s="53">
        <f t="shared" si="72"/>
        <v>5030.9955635370625</v>
      </c>
      <c r="I75" s="53">
        <f t="shared" si="72"/>
        <v>5158.6403046465575</v>
      </c>
      <c r="J75" s="53"/>
      <c r="K75" s="53"/>
      <c r="L75" s="53"/>
      <c r="M75" s="53"/>
      <c r="N75" s="427">
        <f>SUM(N49:N74)</f>
        <v>10189.635868183619</v>
      </c>
    </row>
    <row r="79" spans="1:15" s="24" customFormat="1">
      <c r="A79" s="480" t="s">
        <v>704</v>
      </c>
      <c r="B79" s="470" t="s">
        <v>705</v>
      </c>
      <c r="C79" s="46" t="str">
        <f>C48</f>
        <v>New Code</v>
      </c>
      <c r="D79" s="46" t="s">
        <v>626</v>
      </c>
      <c r="E79" s="46" t="str">
        <f>E48</f>
        <v>Description</v>
      </c>
      <c r="F79" s="48" t="s">
        <v>627</v>
      </c>
      <c r="G79" s="48" t="s">
        <v>627</v>
      </c>
      <c r="H79" s="48" t="s">
        <v>627</v>
      </c>
      <c r="I79" s="48" t="s">
        <v>627</v>
      </c>
      <c r="J79" s="48"/>
      <c r="K79" s="48"/>
      <c r="L79" s="48"/>
      <c r="M79" s="48"/>
      <c r="N79" s="64" t="s">
        <v>709</v>
      </c>
      <c r="O79" s="432" t="s">
        <v>710</v>
      </c>
    </row>
    <row r="80" spans="1:15">
      <c r="A80" s="479" t="str">
        <f t="shared" ref="A80:A105" si="73">IF(LEFT(C80,3)="NBR","NBR","CHE")&amp;"_"&amp;"COM"</f>
        <v>NBR_COM</v>
      </c>
      <c r="B80" s="471" t="s">
        <v>711</v>
      </c>
      <c r="C80" s="49" t="str">
        <f>C49</f>
        <v>NBR01</v>
      </c>
      <c r="D80" s="55">
        <f>IF(C80="","",_xlfn.XLOOKUP(C80,Used_before_Trf!A:A,Used_before_Trf!U:U,0))</f>
        <v>50.516914477361652</v>
      </c>
      <c r="E80" s="49" t="str">
        <f t="shared" ref="E80" si="74">E49</f>
        <v xml:space="preserve">  SYNTHETIC LATEX BST NBL 8503S</v>
      </c>
      <c r="F80" s="12">
        <f>ROUND(F49*$D80,2)</f>
        <v>0</v>
      </c>
      <c r="G80" s="12">
        <f t="shared" ref="G80:I80" si="75">ROUND(G49*$D80,2)</f>
        <v>0</v>
      </c>
      <c r="H80" s="12">
        <f t="shared" si="75"/>
        <v>0</v>
      </c>
      <c r="I80" s="12">
        <f t="shared" si="75"/>
        <v>0</v>
      </c>
      <c r="N80" s="45">
        <f>SUM(F80:M80)</f>
        <v>0</v>
      </c>
      <c r="O80" s="91" t="str">
        <f>IF(C80="SFG-Water","",IF(AND(N49&gt;0,N80=0),"Error","OK"))</f>
        <v>OK</v>
      </c>
    </row>
    <row r="81" spans="1:15">
      <c r="A81" s="479" t="str">
        <f t="shared" si="73"/>
        <v>CHE_COM</v>
      </c>
      <c r="B81" s="471" t="s">
        <v>711</v>
      </c>
      <c r="C81" s="49" t="str">
        <f t="shared" ref="C81:E81" si="76">C50</f>
        <v>CH212</v>
      </c>
      <c r="D81" s="55">
        <f>IF(C81="","",_xlfn.XLOOKUP(C81,Used_before_Trf!A:A,Used_before_Trf!U:U,0))</f>
        <v>32.035420833333333</v>
      </c>
      <c r="E81" s="49" t="str">
        <f t="shared" si="76"/>
        <v xml:space="preserve">  (TEST) POTASSIUM HYDROXIDE FLAKE 90% ( KOH ) ( 25 KGS / BAG )</v>
      </c>
      <c r="F81" s="12">
        <f t="shared" ref="F81:I81" si="77">ROUND(F50*$D81,2)</f>
        <v>0</v>
      </c>
      <c r="G81" s="12">
        <f t="shared" si="77"/>
        <v>0</v>
      </c>
      <c r="H81" s="12">
        <f t="shared" si="77"/>
        <v>1981.78</v>
      </c>
      <c r="I81" s="12">
        <f t="shared" si="77"/>
        <v>1878.73</v>
      </c>
      <c r="N81" s="45">
        <f t="shared" ref="N81:N104" si="78">SUM(F81:M81)</f>
        <v>3860.51</v>
      </c>
      <c r="O81" s="91" t="str">
        <f t="shared" ref="O81:O105" si="79">IF(C81="SFG-Water","",IF(AND(N50&gt;0,N81=0),"Error","OK"))</f>
        <v>OK</v>
      </c>
    </row>
    <row r="82" spans="1:15">
      <c r="A82" s="479" t="str">
        <f t="shared" si="73"/>
        <v>CHE_COM</v>
      </c>
      <c r="B82" s="471" t="s">
        <v>711</v>
      </c>
      <c r="C82" s="49" t="str">
        <f t="shared" ref="C82:E82" si="80">C51</f>
        <v>SFG-Water</v>
      </c>
      <c r="D82" s="55">
        <f>IF(C82="","",_xlfn.XLOOKUP(C82,Used_before_Trf!A:A,Used_before_Trf!U:U,0))</f>
        <v>0</v>
      </c>
      <c r="E82" s="49" t="str">
        <f t="shared" si="80"/>
        <v>Water</v>
      </c>
      <c r="F82" s="12">
        <f t="shared" ref="F82:I82" si="81">ROUND(F51*$D82,2)</f>
        <v>0</v>
      </c>
      <c r="G82" s="12">
        <f t="shared" si="81"/>
        <v>0</v>
      </c>
      <c r="H82" s="12">
        <f t="shared" si="81"/>
        <v>0</v>
      </c>
      <c r="I82" s="12">
        <f t="shared" si="81"/>
        <v>0</v>
      </c>
      <c r="N82" s="45">
        <f t="shared" si="78"/>
        <v>0</v>
      </c>
      <c r="O82" s="91" t="str">
        <f t="shared" si="79"/>
        <v/>
      </c>
    </row>
    <row r="83" spans="1:15">
      <c r="A83" s="479" t="str">
        <f t="shared" si="73"/>
        <v>CHE_COM</v>
      </c>
      <c r="B83" s="471" t="s">
        <v>711</v>
      </c>
      <c r="C83" s="49" t="str">
        <f t="shared" ref="C83:E83" si="82">C52</f>
        <v>CH227</v>
      </c>
      <c r="D83" s="55">
        <f>IF(C83="","",_xlfn.XLOOKUP(C83,Used_before_Trf!A:A,Used_before_Trf!U:U,0))</f>
        <v>14.054039924978982</v>
      </c>
      <c r="E83" s="49" t="str">
        <f t="shared" si="82"/>
        <v xml:space="preserve">  (TEST) NEOPELEX G-15P (1000KG/IBC) (SDBS)</v>
      </c>
      <c r="F83" s="12">
        <f t="shared" ref="F83:I83" si="83">ROUND(F52*$D83,2)</f>
        <v>0</v>
      </c>
      <c r="G83" s="12">
        <f t="shared" si="83"/>
        <v>0</v>
      </c>
      <c r="H83" s="12">
        <f t="shared" si="83"/>
        <v>298.33</v>
      </c>
      <c r="I83" s="12">
        <f t="shared" si="83"/>
        <v>320.52999999999997</v>
      </c>
      <c r="N83" s="45">
        <f t="shared" si="78"/>
        <v>618.8599999999999</v>
      </c>
      <c r="O83" s="91" t="str">
        <f t="shared" si="79"/>
        <v>OK</v>
      </c>
    </row>
    <row r="84" spans="1:15">
      <c r="A84" s="479" t="str">
        <f t="shared" si="73"/>
        <v>CHE_COM</v>
      </c>
      <c r="B84" s="471" t="s">
        <v>711</v>
      </c>
      <c r="C84" s="49" t="str">
        <f t="shared" ref="C84:E84" si="84">C53</f>
        <v>CH93</v>
      </c>
      <c r="D84" s="55">
        <f>IF(C84="","",_xlfn.XLOOKUP(C84,Used_before_Trf!A:A,Used_before_Trf!U:U,0))</f>
        <v>69.839849490925189</v>
      </c>
      <c r="E84" s="49" t="str">
        <f t="shared" si="84"/>
        <v>ZINC OXIDE 60% (ZNO) 250 KGS/DRUM</v>
      </c>
      <c r="F84" s="12">
        <f t="shared" ref="F84:I84" si="85">ROUND(F53*$D84,2)</f>
        <v>0</v>
      </c>
      <c r="G84" s="12">
        <f t="shared" si="85"/>
        <v>0</v>
      </c>
      <c r="H84" s="12">
        <f t="shared" si="85"/>
        <v>1482.52</v>
      </c>
      <c r="I84" s="12">
        <f t="shared" si="85"/>
        <v>1194.6099999999999</v>
      </c>
      <c r="N84" s="45">
        <f t="shared" si="78"/>
        <v>2677.13</v>
      </c>
      <c r="O84" s="91" t="str">
        <f t="shared" si="79"/>
        <v>OK</v>
      </c>
    </row>
    <row r="85" spans="1:15">
      <c r="A85" s="479" t="str">
        <f t="shared" si="73"/>
        <v>CHE_COM</v>
      </c>
      <c r="B85" s="471" t="s">
        <v>711</v>
      </c>
      <c r="C85" s="49" t="str">
        <f t="shared" ref="C85:E85" si="86">C54</f>
        <v>CH92</v>
      </c>
      <c r="D85" s="55">
        <f>IF(C85="","",_xlfn.XLOOKUP(C85,Used_before_Trf!A:A,Used_before_Trf!U:U,0))</f>
        <v>28.016027710254928</v>
      </c>
      <c r="E85" s="49" t="str">
        <f t="shared" si="86"/>
        <v>SULPHUR 60% 250 KGS/DRUM</v>
      </c>
      <c r="F85" s="12">
        <f t="shared" ref="F85:I85" si="87">ROUND(F54*$D85,2)</f>
        <v>0</v>
      </c>
      <c r="G85" s="12">
        <f t="shared" si="87"/>
        <v>0</v>
      </c>
      <c r="H85" s="12">
        <f t="shared" si="87"/>
        <v>743.38</v>
      </c>
      <c r="I85" s="12">
        <f t="shared" si="87"/>
        <v>798.69</v>
      </c>
      <c r="N85" s="45">
        <f t="shared" si="78"/>
        <v>1542.0700000000002</v>
      </c>
      <c r="O85" s="91" t="str">
        <f t="shared" si="79"/>
        <v>OK</v>
      </c>
    </row>
    <row r="86" spans="1:15">
      <c r="A86" s="479" t="str">
        <f t="shared" si="73"/>
        <v>CHE_COM</v>
      </c>
      <c r="B86" s="471" t="s">
        <v>711</v>
      </c>
      <c r="C86" s="49" t="str">
        <f t="shared" ref="C86:E86" si="88">C55</f>
        <v>CH91</v>
      </c>
      <c r="D86" s="55">
        <f>IF(C86="","",_xlfn.XLOOKUP(C86,Used_before_Trf!A:A,Used_before_Trf!U:U,0))</f>
        <v>50.317319152837626</v>
      </c>
      <c r="E86" s="49" t="str">
        <f t="shared" si="88"/>
        <v>ZDBC 50% 225 KGS/DRUM</v>
      </c>
      <c r="F86" s="12">
        <f t="shared" ref="F86:I86" si="89">ROUND(F55*$D86,2)</f>
        <v>0</v>
      </c>
      <c r="G86" s="12">
        <f t="shared" si="89"/>
        <v>0</v>
      </c>
      <c r="H86" s="12">
        <f t="shared" si="89"/>
        <v>961.29</v>
      </c>
      <c r="I86" s="12">
        <f t="shared" si="89"/>
        <v>1032.82</v>
      </c>
      <c r="N86" s="45">
        <f t="shared" si="78"/>
        <v>1994.11</v>
      </c>
      <c r="O86" s="91" t="str">
        <f t="shared" si="79"/>
        <v>OK</v>
      </c>
    </row>
    <row r="87" spans="1:15">
      <c r="A87" s="479" t="str">
        <f t="shared" si="73"/>
        <v>CHE_COM</v>
      </c>
      <c r="B87" s="471" t="s">
        <v>711</v>
      </c>
      <c r="C87" s="49" t="str">
        <f t="shared" ref="C87:E87" si="90">C56</f>
        <v>CH229</v>
      </c>
      <c r="D87" s="55">
        <f>IF(C87="","",_xlfn.XLOOKUP(C87,Used_before_Trf!A:A,Used_before_Trf!U:U,0))</f>
        <v>13.07</v>
      </c>
      <c r="E87" s="49" t="str">
        <f t="shared" si="90"/>
        <v xml:space="preserve">  (TEST) MRC600NB50(1400KG/IBC) MOQ: 23,800KG EXTENDER</v>
      </c>
      <c r="F87" s="12">
        <f t="shared" ref="F87:I87" si="91">ROUND(F56*$D87,2)</f>
        <v>0</v>
      </c>
      <c r="G87" s="12">
        <f t="shared" si="91"/>
        <v>0</v>
      </c>
      <c r="H87" s="12">
        <f t="shared" si="91"/>
        <v>0</v>
      </c>
      <c r="I87" s="12">
        <f t="shared" si="91"/>
        <v>0</v>
      </c>
      <c r="N87" s="45">
        <f t="shared" si="78"/>
        <v>0</v>
      </c>
      <c r="O87" s="91" t="str">
        <f t="shared" si="79"/>
        <v>OK</v>
      </c>
    </row>
    <row r="88" spans="1:15">
      <c r="A88" s="479" t="str">
        <f t="shared" si="73"/>
        <v>CHE_COM</v>
      </c>
      <c r="B88" s="471" t="s">
        <v>711</v>
      </c>
      <c r="C88" s="49" t="str">
        <f t="shared" ref="C88:E88" si="92">C57</f>
        <v>CH222</v>
      </c>
      <c r="D88" s="55">
        <f>IF(C88="","",_xlfn.XLOOKUP(C88,Used_before_Trf!A:A,Used_before_Trf!U:U,0))</f>
        <v>42.341880945075175</v>
      </c>
      <c r="E88" s="49" t="str">
        <f t="shared" si="92"/>
        <v xml:space="preserve">  AQUAWAX 022S (950KG/IBC) -WAX</v>
      </c>
      <c r="F88" s="12">
        <f t="shared" ref="F88:I88" si="93">ROUND(F57*$D88,2)</f>
        <v>0</v>
      </c>
      <c r="G88" s="12">
        <f t="shared" si="93"/>
        <v>0</v>
      </c>
      <c r="H88" s="12">
        <f t="shared" si="93"/>
        <v>1225.6500000000001</v>
      </c>
      <c r="I88" s="12">
        <f t="shared" si="93"/>
        <v>1316.84</v>
      </c>
      <c r="N88" s="45">
        <f t="shared" si="78"/>
        <v>2542.4899999999998</v>
      </c>
      <c r="O88" s="91" t="str">
        <f t="shared" si="79"/>
        <v>OK</v>
      </c>
    </row>
    <row r="89" spans="1:15">
      <c r="A89" s="479" t="str">
        <f t="shared" si="73"/>
        <v>CHE_COM</v>
      </c>
      <c r="B89" s="471" t="s">
        <v>711</v>
      </c>
      <c r="C89" s="49" t="str">
        <f t="shared" ref="C89:E89" si="94">C58</f>
        <v>CH140</v>
      </c>
      <c r="D89" s="55">
        <f>IF(C89="","",_xlfn.XLOOKUP(C89,Used_before_Trf!A:A,Used_before_Trf!U:U,0))</f>
        <v>57.918555023923446</v>
      </c>
      <c r="E89" s="49" t="str">
        <f t="shared" si="94"/>
        <v>HYDROTINT BLACK BA (20KG/PK) PIGMENT</v>
      </c>
      <c r="F89" s="12">
        <f t="shared" ref="F89:I89" si="95">ROUND(F58*$D89,2)</f>
        <v>0</v>
      </c>
      <c r="G89" s="12">
        <f t="shared" si="95"/>
        <v>0</v>
      </c>
      <c r="H89" s="12">
        <f t="shared" si="95"/>
        <v>1844.19</v>
      </c>
      <c r="I89" s="12">
        <f t="shared" si="95"/>
        <v>1981.4</v>
      </c>
      <c r="N89" s="45">
        <f t="shared" si="78"/>
        <v>3825.59</v>
      </c>
      <c r="O89" s="91" t="str">
        <f t="shared" si="79"/>
        <v>OK</v>
      </c>
    </row>
    <row r="90" spans="1:15">
      <c r="A90" s="479" t="str">
        <f t="shared" si="73"/>
        <v>NBR_COM</v>
      </c>
      <c r="B90" s="471" t="s">
        <v>711</v>
      </c>
      <c r="C90" s="538" t="str">
        <f>C59</f>
        <v>NBR01</v>
      </c>
      <c r="D90" s="55">
        <f>IF(C90="","",_xlfn.XLOOKUP(C90,Used_before_Trf!A:A,Used_before_Trf!U:U,0))</f>
        <v>50.516914477361652</v>
      </c>
      <c r="E90" s="49" t="str">
        <f t="shared" ref="E90" si="96">E59</f>
        <v xml:space="preserve">  (TEST) NBR LATEX, RFA-7632</v>
      </c>
      <c r="F90" s="12">
        <f t="shared" ref="F90:I90" si="97">ROUND(F59*$D90,2)</f>
        <v>0</v>
      </c>
      <c r="G90" s="12">
        <f t="shared" si="97"/>
        <v>0</v>
      </c>
      <c r="H90" s="12">
        <f t="shared" si="97"/>
        <v>0</v>
      </c>
      <c r="I90" s="12">
        <f t="shared" si="97"/>
        <v>189660.69</v>
      </c>
      <c r="N90" s="45">
        <f t="shared" si="78"/>
        <v>189660.69</v>
      </c>
      <c r="O90" s="91" t="str">
        <f t="shared" si="79"/>
        <v>OK</v>
      </c>
    </row>
    <row r="91" spans="1:15">
      <c r="A91" s="479" t="str">
        <f t="shared" si="73"/>
        <v>CHE_COM</v>
      </c>
      <c r="B91" s="471" t="s">
        <v>711</v>
      </c>
      <c r="C91" s="49" t="str">
        <f t="shared" ref="C91:E91" si="98">C60</f>
        <v>CH215</v>
      </c>
      <c r="D91" s="55">
        <f>IF(C91="","",_xlfn.XLOOKUP(C91,Used_before_Trf!A:A,Used_before_Trf!U:U,0))</f>
        <v>20.738312000000001</v>
      </c>
      <c r="E91" s="49" t="str">
        <f t="shared" si="98"/>
        <v xml:space="preserve">  (TEST)ACUMIN H65 (1600KG/IBC) - FILLER</v>
      </c>
      <c r="F91" s="12">
        <f t="shared" ref="F91:I91" si="99">ROUND(F60*$D91,2)</f>
        <v>0</v>
      </c>
      <c r="G91" s="12">
        <f t="shared" si="99"/>
        <v>0</v>
      </c>
      <c r="H91" s="12">
        <f t="shared" si="99"/>
        <v>7619.19</v>
      </c>
      <c r="I91" s="12">
        <f t="shared" si="99"/>
        <v>8186.07</v>
      </c>
      <c r="N91" s="45">
        <f t="shared" si="78"/>
        <v>15805.259999999998</v>
      </c>
      <c r="O91" s="91" t="str">
        <f t="shared" si="79"/>
        <v>OK</v>
      </c>
    </row>
    <row r="92" spans="1:15">
      <c r="A92" s="479" t="str">
        <f t="shared" si="73"/>
        <v>NBR_COM</v>
      </c>
      <c r="B92" s="471" t="s">
        <v>711</v>
      </c>
      <c r="C92" s="49" t="str">
        <f t="shared" ref="C92:E92" si="100">C61</f>
        <v>NBR30</v>
      </c>
      <c r="D92" s="55">
        <f>IF(C92="","",_xlfn.XLOOKUP(C92,Used_before_Trf!A:A,Used_before_Trf!U:U,0))</f>
        <v>38.308109507736226</v>
      </c>
      <c r="E92" s="49" t="str">
        <f t="shared" si="100"/>
        <v xml:space="preserve">  (TEST) NBR-XY806</v>
      </c>
      <c r="F92" s="12">
        <f t="shared" ref="F92:I92" si="101">ROUND(F61*$D92,2)</f>
        <v>0</v>
      </c>
      <c r="G92" s="12">
        <f t="shared" si="101"/>
        <v>0</v>
      </c>
      <c r="H92" s="12">
        <f t="shared" si="101"/>
        <v>138390.13</v>
      </c>
      <c r="I92" s="12">
        <f t="shared" si="101"/>
        <v>0</v>
      </c>
      <c r="N92" s="45">
        <f t="shared" si="78"/>
        <v>138390.13</v>
      </c>
      <c r="O92" s="91" t="str">
        <f t="shared" si="79"/>
        <v>OK</v>
      </c>
    </row>
    <row r="93" spans="1:15">
      <c r="A93" s="479" t="str">
        <f t="shared" si="73"/>
        <v>CHE_COM</v>
      </c>
      <c r="B93" s="471" t="s">
        <v>711</v>
      </c>
      <c r="C93" s="49" t="str">
        <f t="shared" ref="C93:E93" si="102">C62</f>
        <v>CH168</v>
      </c>
      <c r="D93" s="55">
        <f>IF(C93="","",_xlfn.XLOOKUP(C93,Used_before_Trf!A:A,Used_before_Trf!U:U,0))</f>
        <v>58.404505704720911</v>
      </c>
      <c r="E93" s="49" t="str">
        <f t="shared" si="102"/>
        <v>ALPHALINK (ACELERATOR FREE CROSSLINKER) (200KG/DRUM)</v>
      </c>
      <c r="F93" s="12">
        <f t="shared" ref="F93:I93" si="103">ROUND(F62*$D93,2)</f>
        <v>0</v>
      </c>
      <c r="G93" s="12">
        <f t="shared" si="103"/>
        <v>0</v>
      </c>
      <c r="H93" s="12">
        <f t="shared" si="103"/>
        <v>0</v>
      </c>
      <c r="I93" s="12">
        <f t="shared" si="103"/>
        <v>0</v>
      </c>
      <c r="N93" s="45">
        <f t="shared" si="78"/>
        <v>0</v>
      </c>
      <c r="O93" s="91" t="str">
        <f t="shared" si="79"/>
        <v>OK</v>
      </c>
    </row>
    <row r="94" spans="1:15">
      <c r="A94" s="479" t="str">
        <f t="shared" si="73"/>
        <v>CHE_COM</v>
      </c>
      <c r="B94" s="471" t="s">
        <v>711</v>
      </c>
      <c r="C94" s="49" t="str">
        <f t="shared" ref="C94" si="104">C63</f>
        <v>CH106</v>
      </c>
      <c r="D94" s="55">
        <f>IF(C94="","",_xlfn.XLOOKUP(C94,Used_before_Trf!A:A,Used_before_Trf!U:U,0))</f>
        <v>32.57468982630273</v>
      </c>
      <c r="E94" s="49" t="str">
        <f t="shared" ref="E94" si="105">E63</f>
        <v>OCTOSOL 643 (200KG/DRUM)</v>
      </c>
      <c r="F94" s="12">
        <f t="shared" ref="F94:I94" si="106">ROUND(F63*$D94,2)</f>
        <v>0</v>
      </c>
      <c r="G94" s="12">
        <f t="shared" si="106"/>
        <v>0</v>
      </c>
      <c r="H94" s="12">
        <f t="shared" si="106"/>
        <v>0</v>
      </c>
      <c r="I94" s="12">
        <f t="shared" si="106"/>
        <v>0</v>
      </c>
      <c r="N94" s="45">
        <f t="shared" si="78"/>
        <v>0</v>
      </c>
      <c r="O94" s="91" t="str">
        <f t="shared" si="79"/>
        <v>OK</v>
      </c>
    </row>
    <row r="95" spans="1:15">
      <c r="A95" s="479" t="str">
        <f t="shared" si="73"/>
        <v>CHE_COM</v>
      </c>
      <c r="B95" s="471" t="s">
        <v>711</v>
      </c>
      <c r="C95" s="49" t="str">
        <f t="shared" ref="C95" si="107">C64</f>
        <v>CH94</v>
      </c>
      <c r="D95" s="55">
        <f>IF(C95="","",_xlfn.XLOOKUP(C95,Used_before_Trf!A:A,Used_before_Trf!U:U,0))</f>
        <v>52.941651406692188</v>
      </c>
      <c r="E95" s="49" t="str">
        <f t="shared" ref="E95" si="108">E64</f>
        <v>TIO2 70% (TITANIUM DIOXIDE) 250 KGS/DRUM</v>
      </c>
      <c r="F95" s="12">
        <f t="shared" ref="F95:I95" si="109">ROUND(F64*$D95,2)</f>
        <v>0</v>
      </c>
      <c r="G95" s="12">
        <f t="shared" si="109"/>
        <v>0</v>
      </c>
      <c r="H95" s="12">
        <f t="shared" si="109"/>
        <v>0</v>
      </c>
      <c r="I95" s="12">
        <f t="shared" si="109"/>
        <v>0</v>
      </c>
      <c r="N95" s="45">
        <f t="shared" si="78"/>
        <v>0</v>
      </c>
      <c r="O95" s="91" t="str">
        <f t="shared" si="79"/>
        <v>OK</v>
      </c>
    </row>
    <row r="96" spans="1:15">
      <c r="A96" s="479" t="str">
        <f t="shared" si="73"/>
        <v>CHE_COM</v>
      </c>
      <c r="B96" s="471" t="s">
        <v>711</v>
      </c>
      <c r="C96" s="49" t="str">
        <f t="shared" ref="C96" si="110">C65</f>
        <v>CH128</v>
      </c>
      <c r="D96" s="55">
        <f>IF(C96="","",_xlfn.XLOOKUP(C96,Used_before_Trf!A:A,Used_before_Trf!U:U,0))</f>
        <v>216.34126575765373</v>
      </c>
      <c r="E96" s="49" t="str">
        <f t="shared" ref="E96" si="111">E65</f>
        <v>FARSPERSE BLUE MPL1523 (20 KGS/PAIL)</v>
      </c>
      <c r="F96" s="12">
        <f t="shared" ref="F96:I96" si="112">ROUND(F65*$D96,2)</f>
        <v>0</v>
      </c>
      <c r="G96" s="12">
        <f t="shared" si="112"/>
        <v>0</v>
      </c>
      <c r="H96" s="12">
        <f t="shared" si="112"/>
        <v>0</v>
      </c>
      <c r="I96" s="12">
        <f t="shared" si="112"/>
        <v>0</v>
      </c>
      <c r="N96" s="45">
        <f t="shared" si="78"/>
        <v>0</v>
      </c>
      <c r="O96" s="91" t="str">
        <f t="shared" si="79"/>
        <v>OK</v>
      </c>
    </row>
    <row r="97" spans="1:15">
      <c r="A97" s="479" t="str">
        <f t="shared" si="73"/>
        <v>CHE_COM</v>
      </c>
      <c r="B97" s="471" t="s">
        <v>711</v>
      </c>
      <c r="C97" s="49" t="str">
        <f t="shared" ref="C97" si="113">C66</f>
        <v>CH240</v>
      </c>
      <c r="D97" s="55">
        <f>IF(C97="","",_xlfn.XLOOKUP(C97,Used_before_Trf!A:A,Used_before_Trf!U:U,0))</f>
        <v>77.639858594785693</v>
      </c>
      <c r="E97" s="49" t="str">
        <f t="shared" ref="E97" si="114">E66</f>
        <v xml:space="preserve">  (TEST) ALPHALINK 50 (200KG/DRUM),(1000KG/IBC) - ACELERATOR FREE CROSSLINKER</v>
      </c>
      <c r="F97" s="12">
        <f t="shared" ref="F97:I97" si="115">ROUND(F66*$D97,2)</f>
        <v>0</v>
      </c>
      <c r="G97" s="12">
        <f t="shared" si="115"/>
        <v>0</v>
      </c>
      <c r="H97" s="12">
        <f t="shared" si="115"/>
        <v>0</v>
      </c>
      <c r="I97" s="12">
        <f t="shared" si="115"/>
        <v>0</v>
      </c>
      <c r="N97" s="45">
        <f t="shared" si="78"/>
        <v>0</v>
      </c>
      <c r="O97" s="91" t="str">
        <f t="shared" si="79"/>
        <v>OK</v>
      </c>
    </row>
    <row r="98" spans="1:15">
      <c r="A98" s="479" t="str">
        <f t="shared" si="73"/>
        <v>CHE_COM</v>
      </c>
      <c r="B98" s="471" t="s">
        <v>711</v>
      </c>
      <c r="C98" s="49" t="str">
        <f t="shared" ref="C98" si="116">C67</f>
        <v>CH96</v>
      </c>
      <c r="D98" s="55">
        <f>IF(C98="","",_xlfn.XLOOKUP(C98,Used_before_Trf!A:A,Used_before_Trf!U:U,0))</f>
        <v>871.79</v>
      </c>
      <c r="E98" s="49" t="str">
        <f t="shared" ref="E98" si="117">E67</f>
        <v>47% FARSPERSE VIOLET PV-RLS 20 KGS/PAIL</v>
      </c>
      <c r="F98" s="12">
        <f t="shared" ref="F98:I98" si="118">ROUND(F67*$D98,2)</f>
        <v>0</v>
      </c>
      <c r="G98" s="12">
        <f t="shared" si="118"/>
        <v>0</v>
      </c>
      <c r="H98" s="12">
        <f t="shared" si="118"/>
        <v>0</v>
      </c>
      <c r="I98" s="12">
        <f t="shared" si="118"/>
        <v>0</v>
      </c>
      <c r="N98" s="45">
        <f t="shared" si="78"/>
        <v>0</v>
      </c>
      <c r="O98" s="91" t="str">
        <f t="shared" si="79"/>
        <v>OK</v>
      </c>
    </row>
    <row r="99" spans="1:15">
      <c r="A99" s="479" t="str">
        <f t="shared" si="73"/>
        <v>CHE_COM</v>
      </c>
      <c r="B99" s="471" t="s">
        <v>711</v>
      </c>
      <c r="C99" s="49">
        <f t="shared" ref="C99" si="119">C68</f>
        <v>0</v>
      </c>
      <c r="D99" s="55">
        <f>IF(C99="","",_xlfn.XLOOKUP(C99,Used_before_Trf!A:A,Used_before_Trf!U:U,0))</f>
        <v>0</v>
      </c>
      <c r="E99" s="49" t="str">
        <f t="shared" ref="E99" si="120">E68</f>
        <v/>
      </c>
      <c r="F99" s="12">
        <f t="shared" ref="F99:I99" si="121">ROUND(F68*$D99,2)</f>
        <v>0</v>
      </c>
      <c r="G99" s="12">
        <f t="shared" si="121"/>
        <v>0</v>
      </c>
      <c r="H99" s="12">
        <f t="shared" si="121"/>
        <v>0</v>
      </c>
      <c r="I99" s="12">
        <f t="shared" si="121"/>
        <v>0</v>
      </c>
      <c r="N99" s="45">
        <f t="shared" si="78"/>
        <v>0</v>
      </c>
      <c r="O99" s="91" t="str">
        <f t="shared" si="79"/>
        <v>OK</v>
      </c>
    </row>
    <row r="100" spans="1:15">
      <c r="A100" s="479" t="str">
        <f t="shared" si="73"/>
        <v>CHE_COM</v>
      </c>
      <c r="B100" s="471" t="s">
        <v>711</v>
      </c>
      <c r="C100" s="49">
        <f t="shared" ref="C100" si="122">C69</f>
        <v>0</v>
      </c>
      <c r="D100" s="55">
        <f>IF(C100="","",_xlfn.XLOOKUP(C100,Used_before_Trf!A:A,Used_before_Trf!U:U,0))</f>
        <v>0</v>
      </c>
      <c r="E100" s="49" t="str">
        <f t="shared" ref="E100" si="123">E69</f>
        <v/>
      </c>
      <c r="F100" s="12">
        <f t="shared" ref="F100:I100" si="124">ROUND(F69*$D100,2)</f>
        <v>0</v>
      </c>
      <c r="G100" s="12">
        <f t="shared" si="124"/>
        <v>0</v>
      </c>
      <c r="H100" s="12">
        <f t="shared" si="124"/>
        <v>0</v>
      </c>
      <c r="I100" s="12">
        <f t="shared" si="124"/>
        <v>0</v>
      </c>
      <c r="N100" s="45">
        <f t="shared" si="78"/>
        <v>0</v>
      </c>
      <c r="O100" s="91" t="str">
        <f t="shared" si="79"/>
        <v>OK</v>
      </c>
    </row>
    <row r="101" spans="1:15">
      <c r="A101" s="479" t="str">
        <f t="shared" si="73"/>
        <v>CHE_COM</v>
      </c>
      <c r="B101" s="471" t="s">
        <v>711</v>
      </c>
      <c r="C101" s="49">
        <f t="shared" ref="C101" si="125">C70</f>
        <v>0</v>
      </c>
      <c r="D101" s="55">
        <f>IF(C101="","",_xlfn.XLOOKUP(C101,Used_before_Trf!A:A,Used_before_Trf!U:U,0))</f>
        <v>0</v>
      </c>
      <c r="E101" s="49" t="str">
        <f t="shared" ref="E101" si="126">E70</f>
        <v/>
      </c>
      <c r="F101" s="12">
        <f t="shared" ref="F101:I101" si="127">ROUND(F70*$D101,2)</f>
        <v>0</v>
      </c>
      <c r="G101" s="12">
        <f t="shared" si="127"/>
        <v>0</v>
      </c>
      <c r="H101" s="12">
        <f t="shared" si="127"/>
        <v>0</v>
      </c>
      <c r="I101" s="12">
        <f t="shared" si="127"/>
        <v>0</v>
      </c>
      <c r="N101" s="45">
        <f t="shared" si="78"/>
        <v>0</v>
      </c>
      <c r="O101" s="91" t="str">
        <f t="shared" si="79"/>
        <v>OK</v>
      </c>
    </row>
    <row r="102" spans="1:15">
      <c r="A102" s="479" t="str">
        <f t="shared" si="73"/>
        <v>CHE_COM</v>
      </c>
      <c r="B102" s="471" t="s">
        <v>711</v>
      </c>
      <c r="C102" s="49">
        <f t="shared" ref="C102" si="128">C71</f>
        <v>0</v>
      </c>
      <c r="D102" s="55">
        <f>IF(C102="","",_xlfn.XLOOKUP(C102,Used_before_Trf!A:A,Used_before_Trf!U:U,0))</f>
        <v>0</v>
      </c>
      <c r="E102" s="49" t="str">
        <f t="shared" ref="E102" si="129">E71</f>
        <v/>
      </c>
      <c r="F102" s="12">
        <f t="shared" ref="F102:I102" si="130">ROUND(F71*$D102,2)</f>
        <v>0</v>
      </c>
      <c r="G102" s="12">
        <f t="shared" si="130"/>
        <v>0</v>
      </c>
      <c r="H102" s="12">
        <f t="shared" si="130"/>
        <v>0</v>
      </c>
      <c r="I102" s="12">
        <f t="shared" si="130"/>
        <v>0</v>
      </c>
      <c r="N102" s="45">
        <f t="shared" si="78"/>
        <v>0</v>
      </c>
      <c r="O102" s="91" t="str">
        <f t="shared" si="79"/>
        <v>OK</v>
      </c>
    </row>
    <row r="103" spans="1:15">
      <c r="A103" s="479" t="str">
        <f t="shared" si="73"/>
        <v>CHE_COM</v>
      </c>
      <c r="B103" s="471" t="s">
        <v>711</v>
      </c>
      <c r="C103" s="49">
        <f t="shared" ref="C103" si="131">C72</f>
        <v>0</v>
      </c>
      <c r="D103" s="55">
        <f>IF(C103="","",_xlfn.XLOOKUP(C103,Used_before_Trf!A:A,Used_before_Trf!U:U,0))</f>
        <v>0</v>
      </c>
      <c r="E103" s="49" t="str">
        <f t="shared" ref="E103" si="132">E72</f>
        <v/>
      </c>
      <c r="F103" s="12">
        <f t="shared" ref="F103:I103" si="133">ROUND(F72*$D103,2)</f>
        <v>0</v>
      </c>
      <c r="G103" s="12">
        <f t="shared" si="133"/>
        <v>0</v>
      </c>
      <c r="H103" s="12">
        <f t="shared" si="133"/>
        <v>0</v>
      </c>
      <c r="I103" s="12">
        <f t="shared" si="133"/>
        <v>0</v>
      </c>
      <c r="N103" s="45">
        <f t="shared" si="78"/>
        <v>0</v>
      </c>
      <c r="O103" s="91" t="str">
        <f t="shared" si="79"/>
        <v>OK</v>
      </c>
    </row>
    <row r="104" spans="1:15">
      <c r="A104" s="479" t="str">
        <f t="shared" si="73"/>
        <v>CHE_COM</v>
      </c>
      <c r="B104" s="471" t="s">
        <v>711</v>
      </c>
      <c r="C104" s="49">
        <f t="shared" ref="C104" si="134">C73</f>
        <v>0</v>
      </c>
      <c r="D104" s="55">
        <f>IF(C104="","",_xlfn.XLOOKUP(C104,Used_before_Trf!A:A,Used_before_Trf!U:U,0))</f>
        <v>0</v>
      </c>
      <c r="E104" s="49" t="str">
        <f t="shared" ref="E104" si="135">E73</f>
        <v/>
      </c>
      <c r="F104" s="12">
        <f t="shared" ref="F104:I104" si="136">ROUND(F73*$D104,2)</f>
        <v>0</v>
      </c>
      <c r="G104" s="12">
        <f t="shared" si="136"/>
        <v>0</v>
      </c>
      <c r="H104" s="12">
        <f t="shared" si="136"/>
        <v>0</v>
      </c>
      <c r="I104" s="12">
        <f t="shared" si="136"/>
        <v>0</v>
      </c>
      <c r="N104" s="45">
        <f t="shared" si="78"/>
        <v>0</v>
      </c>
      <c r="O104" s="91" t="str">
        <f t="shared" si="79"/>
        <v>OK</v>
      </c>
    </row>
    <row r="105" spans="1:15">
      <c r="A105" s="479" t="str">
        <f t="shared" si="73"/>
        <v>CHE_COM</v>
      </c>
      <c r="B105" s="471" t="s">
        <v>711</v>
      </c>
      <c r="C105" s="49">
        <f t="shared" ref="C105" si="137">C74</f>
        <v>0</v>
      </c>
      <c r="D105" s="55">
        <f>IF(C105="","",_xlfn.XLOOKUP(C105,Used_before_Trf!A:A,Used_before_Trf!U:U,0))</f>
        <v>0</v>
      </c>
      <c r="E105" s="49" t="str">
        <f t="shared" ref="E105" si="138">E74</f>
        <v/>
      </c>
      <c r="N105" s="45">
        <f t="shared" ref="N105" si="139">SUM(F105:M105)</f>
        <v>0</v>
      </c>
      <c r="O105" s="91" t="str">
        <f t="shared" si="79"/>
        <v>OK</v>
      </c>
    </row>
    <row r="106" spans="1:15">
      <c r="C106" s="51"/>
      <c r="D106" s="51"/>
      <c r="E106" s="52" t="s">
        <v>709</v>
      </c>
      <c r="F106" s="53">
        <f t="shared" ref="F106:N106" si="140">SUM(F80:F105)</f>
        <v>0</v>
      </c>
      <c r="G106" s="53">
        <f t="shared" si="140"/>
        <v>0</v>
      </c>
      <c r="H106" s="53">
        <f>SUM(H80:H105)</f>
        <v>154546.46000000002</v>
      </c>
      <c r="I106" s="53">
        <f>SUM(I80:I105)</f>
        <v>206370.38</v>
      </c>
      <c r="J106" s="53"/>
      <c r="K106" s="53"/>
      <c r="L106" s="53"/>
      <c r="M106" s="53"/>
      <c r="N106" s="74">
        <f t="shared" si="140"/>
        <v>360916.84</v>
      </c>
    </row>
    <row r="109" spans="1:15" ht="12.75">
      <c r="C109" s="65" t="s">
        <v>712</v>
      </c>
    </row>
    <row r="110" spans="1:15">
      <c r="E110" s="66" t="str">
        <f t="shared" ref="E110:N110" si="141">E3</f>
        <v>Dipping line</v>
      </c>
      <c r="F110" s="67" t="str">
        <f t="shared" si="141"/>
        <v>DF 1</v>
      </c>
      <c r="G110" s="67" t="str">
        <f t="shared" si="141"/>
        <v>DF 2</v>
      </c>
      <c r="H110" s="67" t="str">
        <f t="shared" si="141"/>
        <v>DF 3</v>
      </c>
      <c r="I110" s="67" t="str">
        <f t="shared" si="141"/>
        <v>DF 4</v>
      </c>
      <c r="J110" s="67"/>
      <c r="K110" s="67"/>
      <c r="L110" s="67"/>
      <c r="M110" s="67"/>
      <c r="N110" s="56" t="str">
        <f t="shared" si="141"/>
        <v>Balance (Kgs)</v>
      </c>
    </row>
    <row r="111" spans="1:15" ht="12.75">
      <c r="C111" s="68"/>
      <c r="E111" s="69" t="str">
        <f t="shared" ref="E111:I111" si="142">E4</f>
        <v>Type of gloves</v>
      </c>
      <c r="F111" s="70">
        <f t="shared" si="142"/>
        <v>0</v>
      </c>
      <c r="G111" s="70">
        <f t="shared" si="142"/>
        <v>0</v>
      </c>
      <c r="H111" s="70" t="str">
        <f t="shared" si="142"/>
        <v>BLACK 5.5</v>
      </c>
      <c r="I111" s="70" t="str">
        <f t="shared" si="142"/>
        <v>BLACK 6.0</v>
      </c>
      <c r="J111" s="70"/>
      <c r="K111" s="342"/>
      <c r="L111" s="70"/>
      <c r="M111" s="342"/>
      <c r="N111" s="75"/>
    </row>
    <row r="112" spans="1:15" ht="12.75">
      <c r="C112" s="68"/>
      <c r="E112" s="71" t="s">
        <v>713</v>
      </c>
      <c r="F112" s="72"/>
      <c r="G112" s="73"/>
      <c r="H112" s="73">
        <v>1300</v>
      </c>
      <c r="I112" s="73">
        <v>1300</v>
      </c>
      <c r="J112" s="72"/>
      <c r="K112" s="72"/>
      <c r="L112" s="72"/>
      <c r="M112" s="72"/>
      <c r="N112" s="61">
        <f>SUM(F112:M112)</f>
        <v>2600</v>
      </c>
    </row>
    <row r="113" spans="3:14" ht="12.75">
      <c r="C113" s="68"/>
      <c r="E113" s="71" t="s">
        <v>714</v>
      </c>
      <c r="F113" s="72"/>
      <c r="G113" s="73"/>
      <c r="H113" s="73">
        <v>2600</v>
      </c>
      <c r="I113" s="73">
        <v>2600</v>
      </c>
      <c r="J113" s="72"/>
      <c r="K113" s="72"/>
      <c r="L113" s="72"/>
      <c r="M113" s="72"/>
      <c r="N113" s="61">
        <f t="shared" ref="N113:N129" si="143">SUM(F113:M113)</f>
        <v>5200</v>
      </c>
    </row>
    <row r="114" spans="3:14" ht="12.75">
      <c r="C114" s="68"/>
      <c r="E114" s="71" t="s">
        <v>715</v>
      </c>
      <c r="F114" s="72"/>
      <c r="G114" s="73"/>
      <c r="H114" s="73"/>
      <c r="I114" s="73"/>
      <c r="J114" s="72"/>
      <c r="K114" s="72"/>
      <c r="L114" s="72"/>
      <c r="M114" s="72"/>
      <c r="N114" s="61">
        <f t="shared" si="143"/>
        <v>0</v>
      </c>
    </row>
    <row r="115" spans="3:14" ht="12.75">
      <c r="C115" s="68"/>
      <c r="E115" s="71" t="s">
        <v>716</v>
      </c>
      <c r="F115" s="72"/>
      <c r="G115" s="73"/>
      <c r="H115" s="73"/>
      <c r="I115" s="73"/>
      <c r="J115" s="72"/>
      <c r="K115" s="72"/>
      <c r="L115" s="72"/>
      <c r="M115" s="72"/>
      <c r="N115" s="61">
        <f t="shared" si="143"/>
        <v>0</v>
      </c>
    </row>
    <row r="116" spans="3:14" ht="12.75">
      <c r="C116" s="68"/>
      <c r="E116" s="71" t="s">
        <v>717</v>
      </c>
      <c r="F116" s="72"/>
      <c r="G116" s="73"/>
      <c r="H116" s="73"/>
      <c r="I116" s="73"/>
      <c r="J116" s="72"/>
      <c r="K116" s="72"/>
      <c r="L116" s="72"/>
      <c r="M116" s="72"/>
      <c r="N116" s="61">
        <f t="shared" si="143"/>
        <v>0</v>
      </c>
    </row>
    <row r="117" spans="3:14" ht="12.75">
      <c r="C117" s="68"/>
      <c r="E117" s="71" t="s">
        <v>718</v>
      </c>
      <c r="F117" s="72"/>
      <c r="H117" s="73"/>
      <c r="I117" s="73"/>
      <c r="J117" s="72"/>
      <c r="K117" s="72"/>
      <c r="L117" s="72"/>
      <c r="M117" s="72"/>
      <c r="N117" s="61">
        <f t="shared" si="143"/>
        <v>0</v>
      </c>
    </row>
    <row r="118" spans="3:14" ht="12.75">
      <c r="C118" s="68"/>
      <c r="E118" s="71" t="s">
        <v>719</v>
      </c>
      <c r="F118" s="72"/>
      <c r="H118" s="73"/>
      <c r="I118" s="73"/>
      <c r="J118" s="72"/>
      <c r="K118" s="72"/>
      <c r="L118" s="72"/>
      <c r="M118" s="72"/>
      <c r="N118" s="61">
        <f t="shared" si="143"/>
        <v>0</v>
      </c>
    </row>
    <row r="119" spans="3:14" ht="12.75">
      <c r="C119" s="68"/>
      <c r="E119" s="341" t="s">
        <v>720</v>
      </c>
      <c r="F119" s="72"/>
      <c r="G119" s="73"/>
      <c r="H119" s="73"/>
      <c r="I119" s="73"/>
      <c r="J119" s="72"/>
      <c r="K119" s="72"/>
      <c r="L119" s="72"/>
      <c r="M119" s="72"/>
      <c r="N119" s="61">
        <f t="shared" si="143"/>
        <v>0</v>
      </c>
    </row>
    <row r="120" spans="3:14" ht="12.75">
      <c r="C120" s="68"/>
      <c r="E120" s="341" t="s">
        <v>721</v>
      </c>
      <c r="F120" s="72"/>
      <c r="G120" s="73"/>
      <c r="H120" s="330"/>
      <c r="I120" s="73"/>
      <c r="J120" s="72"/>
      <c r="K120" s="72"/>
      <c r="L120" s="72"/>
      <c r="M120" s="72"/>
      <c r="N120" s="61">
        <f t="shared" si="143"/>
        <v>0</v>
      </c>
    </row>
    <row r="121" spans="3:14" ht="12.75">
      <c r="C121" s="68"/>
      <c r="E121" s="71" t="s">
        <v>722</v>
      </c>
      <c r="F121" s="72"/>
      <c r="G121" s="73"/>
      <c r="I121" s="73"/>
      <c r="J121" s="72"/>
      <c r="K121" s="72"/>
      <c r="L121" s="72"/>
      <c r="M121" s="72"/>
      <c r="N121" s="61">
        <f t="shared" si="143"/>
        <v>0</v>
      </c>
    </row>
    <row r="122" spans="3:14" ht="12.75">
      <c r="C122" s="68"/>
      <c r="E122" s="71" t="s">
        <v>723</v>
      </c>
      <c r="F122" s="72"/>
      <c r="G122" s="73"/>
      <c r="H122" s="73"/>
      <c r="I122" s="73"/>
      <c r="J122" s="72"/>
      <c r="K122" s="72"/>
      <c r="L122" s="72"/>
      <c r="M122" s="72"/>
      <c r="N122" s="61">
        <f t="shared" si="143"/>
        <v>0</v>
      </c>
    </row>
    <row r="123" spans="3:14" ht="12.75">
      <c r="C123" s="68"/>
      <c r="E123" s="71" t="s">
        <v>724</v>
      </c>
      <c r="F123" s="72"/>
      <c r="G123" s="73"/>
      <c r="H123" s="73">
        <v>3300</v>
      </c>
      <c r="I123" s="73">
        <v>3300</v>
      </c>
      <c r="J123" s="72"/>
      <c r="K123" s="72"/>
      <c r="L123" s="72"/>
      <c r="M123" s="72"/>
      <c r="N123" s="61">
        <f t="shared" si="143"/>
        <v>6600</v>
      </c>
    </row>
    <row r="124" spans="3:14" ht="12.75">
      <c r="C124" s="68"/>
      <c r="E124" s="71" t="s">
        <v>725</v>
      </c>
      <c r="F124" s="72"/>
      <c r="G124" s="73"/>
      <c r="H124" s="73"/>
      <c r="I124" s="73"/>
      <c r="J124" s="72"/>
      <c r="K124" s="72"/>
      <c r="L124" s="72"/>
      <c r="M124" s="72"/>
      <c r="N124" s="61">
        <f t="shared" si="143"/>
        <v>0</v>
      </c>
    </row>
    <row r="125" spans="3:14" ht="12.75">
      <c r="C125" s="68"/>
      <c r="E125" s="71" t="s">
        <v>726</v>
      </c>
      <c r="F125" s="72"/>
      <c r="G125" s="73"/>
      <c r="H125" s="73"/>
      <c r="I125" s="73"/>
      <c r="J125" s="72"/>
      <c r="K125" s="72"/>
      <c r="L125" s="72"/>
      <c r="M125" s="72"/>
      <c r="N125" s="61">
        <f t="shared" si="143"/>
        <v>0</v>
      </c>
    </row>
    <row r="126" spans="3:14" ht="12.75">
      <c r="C126" s="68"/>
      <c r="E126" s="71" t="s">
        <v>727</v>
      </c>
      <c r="F126" s="72"/>
      <c r="G126" s="73"/>
      <c r="H126" s="73"/>
      <c r="I126" s="73"/>
      <c r="J126" s="72"/>
      <c r="K126" s="72"/>
      <c r="L126" s="72"/>
      <c r="M126" s="72"/>
      <c r="N126" s="61">
        <f t="shared" si="143"/>
        <v>0</v>
      </c>
    </row>
    <row r="127" spans="3:14" ht="12.75">
      <c r="C127" s="68"/>
      <c r="E127" s="71" t="s">
        <v>728</v>
      </c>
      <c r="F127" s="72"/>
      <c r="G127" s="73"/>
      <c r="H127" s="73"/>
      <c r="I127" s="73"/>
      <c r="J127" s="72"/>
      <c r="K127" s="72"/>
      <c r="L127" s="72"/>
      <c r="M127" s="72"/>
      <c r="N127" s="61">
        <f t="shared" si="143"/>
        <v>0</v>
      </c>
    </row>
    <row r="128" spans="3:14" ht="12.75">
      <c r="C128" s="68"/>
      <c r="E128" s="71" t="s">
        <v>729</v>
      </c>
      <c r="F128" s="72"/>
      <c r="G128" s="73"/>
      <c r="H128" s="73"/>
      <c r="I128" s="73"/>
      <c r="J128" s="72"/>
      <c r="K128" s="72"/>
      <c r="L128" s="72"/>
      <c r="M128" s="72"/>
      <c r="N128" s="61">
        <f t="shared" si="143"/>
        <v>0</v>
      </c>
    </row>
    <row r="129" spans="1:14" ht="12.75">
      <c r="C129" s="68"/>
      <c r="E129" s="76"/>
      <c r="F129" s="77"/>
      <c r="G129" s="78"/>
      <c r="H129" s="78"/>
      <c r="I129" s="78"/>
      <c r="J129" s="77"/>
      <c r="K129" s="77"/>
      <c r="L129" s="77"/>
      <c r="M129" s="77"/>
      <c r="N129" s="61">
        <f t="shared" si="143"/>
        <v>0</v>
      </c>
    </row>
    <row r="130" spans="1:14" ht="12.75">
      <c r="C130" s="68"/>
    </row>
    <row r="133" spans="1:14" s="22" customFormat="1">
      <c r="A133" s="480" t="s">
        <v>704</v>
      </c>
      <c r="B133" s="470" t="s">
        <v>705</v>
      </c>
      <c r="C133" s="79" t="s">
        <v>169</v>
      </c>
      <c r="D133" s="79"/>
      <c r="E133" s="80" t="s">
        <v>3</v>
      </c>
      <c r="F133" s="81" t="s">
        <v>730</v>
      </c>
      <c r="G133" s="81" t="s">
        <v>730</v>
      </c>
      <c r="H133" s="81" t="s">
        <v>730</v>
      </c>
      <c r="I133" s="81" t="s">
        <v>730</v>
      </c>
      <c r="J133" s="81"/>
      <c r="K133" s="81"/>
      <c r="L133" s="81"/>
      <c r="M133" s="81"/>
      <c r="N133" s="88" t="str">
        <f>N110</f>
        <v>Balance (Kgs)</v>
      </c>
    </row>
    <row r="134" spans="1:14">
      <c r="A134" s="479" t="str">
        <f>IF(LEFT(C134,3)="NBR","NBR","CHE")&amp;"_"&amp;"DIS"</f>
        <v>CHE_DIS</v>
      </c>
      <c r="B134" s="471" t="s">
        <v>170</v>
      </c>
      <c r="C134" s="11" t="s">
        <v>332</v>
      </c>
      <c r="E134" s="49" t="str">
        <f>_xlfn.XLOOKUP(C134,Used_before_Trf!A:A,Used_before_Trf!B:B,0)</f>
        <v>CALCIUM NITRATE, SOLUTION 54-54% (310/DRUM),(25000KG/TANK)</v>
      </c>
      <c r="N134" s="89">
        <f>SUM(F134:M134)</f>
        <v>0</v>
      </c>
    </row>
    <row r="135" spans="1:14">
      <c r="A135" s="479" t="str">
        <f t="shared" ref="A135:A152" si="144">IF(LEFT(C135,3)="NBR","NBR","CHE")&amp;"_"&amp;"DIS"</f>
        <v>CHE_DIS</v>
      </c>
      <c r="B135" s="471" t="s">
        <v>170</v>
      </c>
      <c r="C135" s="11" t="s">
        <v>338</v>
      </c>
      <c r="E135" s="49" t="str">
        <f>_xlfn.XLOOKUP(C135,Used_before_Trf!A:A,Used_before_Trf!B:B,0)</f>
        <v>SURFYNOL DF 37 (DEFORMER) 20KGS./DRUM</v>
      </c>
      <c r="G135" s="12"/>
      <c r="H135" s="12"/>
      <c r="I135" s="12"/>
      <c r="N135" s="89">
        <f t="shared" ref="N135:N154" si="145">SUM(F135:M135)</f>
        <v>0</v>
      </c>
    </row>
    <row r="136" spans="1:14">
      <c r="A136" s="479" t="str">
        <f t="shared" si="144"/>
        <v>CHE_DIS</v>
      </c>
      <c r="B136" s="471" t="s">
        <v>170</v>
      </c>
      <c r="C136" s="11" t="s">
        <v>340</v>
      </c>
      <c r="E136" s="49" t="str">
        <f>_xlfn.XLOOKUP(C136,Used_before_Trf!A:A,Used_before_Trf!B:B,0)</f>
        <v>SURFYNOL TG (SURFACTANT) 204.1 KGS./DRUM</v>
      </c>
      <c r="G136" s="12"/>
      <c r="H136" s="12"/>
      <c r="I136" s="12"/>
      <c r="N136" s="89">
        <f t="shared" si="145"/>
        <v>0</v>
      </c>
    </row>
    <row r="137" spans="1:14">
      <c r="A137" s="479" t="str">
        <f t="shared" si="144"/>
        <v>CHE_DIS</v>
      </c>
      <c r="B137" s="471" t="s">
        <v>170</v>
      </c>
      <c r="C137" s="11" t="s">
        <v>209</v>
      </c>
      <c r="E137" s="49" t="str">
        <f>_xlfn.XLOOKUP(C137,Used_before_Trf!A:A,Used_before_Trf!B:B,0)</f>
        <v>CS COAT T406 (CALCIUM STEARATE 40%) (1000 KG/TANK)</v>
      </c>
      <c r="N137" s="89">
        <f t="shared" si="145"/>
        <v>0</v>
      </c>
    </row>
    <row r="138" spans="1:14">
      <c r="A138" s="479" t="str">
        <f t="shared" si="144"/>
        <v>CHE_DIS</v>
      </c>
      <c r="B138" s="471" t="s">
        <v>170</v>
      </c>
      <c r="C138" s="11" t="s">
        <v>265</v>
      </c>
      <c r="E138" s="49" t="str">
        <f>_xlfn.XLOOKUP(C138,Used_before_Trf!A:A,Used_before_Trf!B:B,0)</f>
        <v>(TEST) CALNITE INNO+76 (Calcium Nitrate)</v>
      </c>
      <c r="N138" s="89">
        <f t="shared" si="145"/>
        <v>0</v>
      </c>
    </row>
    <row r="139" spans="1:14">
      <c r="A139" s="479" t="str">
        <f t="shared" si="144"/>
        <v>CHE_DIS</v>
      </c>
      <c r="B139" s="471" t="s">
        <v>170</v>
      </c>
      <c r="C139" s="11" t="s">
        <v>267</v>
      </c>
      <c r="E139" s="49" t="str">
        <f>_xlfn.XLOOKUP(C139,Used_before_Trf!A:A,Used_before_Trf!B:B,0)</f>
        <v>(TEST)CYCLARON927 (ANTI-TACK)</v>
      </c>
      <c r="N139" s="89">
        <f t="shared" si="145"/>
        <v>0</v>
      </c>
    </row>
    <row r="140" spans="1:14">
      <c r="A140" s="479" t="str">
        <f t="shared" si="144"/>
        <v>CHE_DIS</v>
      </c>
      <c r="B140" s="471" t="s">
        <v>170</v>
      </c>
      <c r="C140" s="11" t="s">
        <v>221</v>
      </c>
      <c r="E140" s="49" t="str">
        <f>_xlfn.XLOOKUP(C140,Used_before_Trf!A:A,Used_before_Trf!B:B,0)</f>
        <v>EZSTRIP 2XL – 200 KG/DRUM</v>
      </c>
      <c r="N140" s="89">
        <f t="shared" si="145"/>
        <v>0</v>
      </c>
    </row>
    <row r="141" spans="1:14">
      <c r="A141" s="479" t="str">
        <f t="shared" si="144"/>
        <v>CHE_DIS</v>
      </c>
      <c r="B141" s="471" t="s">
        <v>170</v>
      </c>
      <c r="C141" s="11" t="s">
        <v>247</v>
      </c>
      <c r="E141" s="49" t="str">
        <f>_xlfn.XLOOKUP(C141,Used_before_Trf!A:A,Used_before_Trf!B:B,0)</f>
        <v>KOH 48% SOLUTION (1490KG/IBC)THANODOM</v>
      </c>
      <c r="N141" s="89">
        <f t="shared" si="145"/>
        <v>0</v>
      </c>
    </row>
    <row r="142" spans="1:14">
      <c r="A142" s="479" t="str">
        <f>IF(LEFT(C142,3)="NBR","NBR","CHE")&amp;"_"&amp;"DIS-P"</f>
        <v>CHE_DIS-P</v>
      </c>
      <c r="B142" s="471" t="s">
        <v>170</v>
      </c>
      <c r="C142" s="11" t="s">
        <v>331</v>
      </c>
      <c r="E142" s="49" t="str">
        <f>_xlfn.XLOOKUP(C142,Used_before_Trf!A:A,Used_before_Trf!B:B,0)</f>
        <v>NITRIC ACID 68% (280 KGS/DRUM )</v>
      </c>
      <c r="H142" s="26">
        <v>23.32</v>
      </c>
      <c r="I142" s="26">
        <v>28.29</v>
      </c>
      <c r="N142" s="89">
        <f t="shared" si="145"/>
        <v>51.61</v>
      </c>
    </row>
    <row r="143" spans="1:14">
      <c r="A143" s="479" t="str">
        <f>IF(LEFT(C143,3)="NBR","NBR","CHE")&amp;"_"&amp;"DIS-P"</f>
        <v>CHE_DIS-P</v>
      </c>
      <c r="B143" s="471" t="s">
        <v>170</v>
      </c>
      <c r="C143" s="11" t="s">
        <v>177</v>
      </c>
      <c r="E143" s="49" t="str">
        <f>_xlfn.XLOOKUP(C143,Used_before_Trf!A:A,Used_before_Trf!B:B,0)</f>
        <v>SPECLEAN 11 (246 KGS /DRUM)</v>
      </c>
      <c r="N143" s="89">
        <f t="shared" si="145"/>
        <v>0</v>
      </c>
    </row>
    <row r="144" spans="1:14">
      <c r="A144" s="479" t="str">
        <f t="shared" si="144"/>
        <v>CHE_DIS</v>
      </c>
      <c r="B144" s="471" t="s">
        <v>170</v>
      </c>
      <c r="C144" s="82" t="s">
        <v>301</v>
      </c>
      <c r="E144" s="49" t="str">
        <f>_xlfn.XLOOKUP(C144,Used_before_Trf!A:A,Used_before_Trf!B:B,0)</f>
        <v xml:space="preserve">  (TEST) MRA-N55 (200KG/DR) - ANTI TACK</v>
      </c>
      <c r="N144" s="89">
        <f t="shared" si="145"/>
        <v>0</v>
      </c>
    </row>
    <row r="145" spans="1:15">
      <c r="A145" s="479" t="str">
        <f t="shared" si="144"/>
        <v>CHE_DIS</v>
      </c>
      <c r="B145" s="471" t="s">
        <v>170</v>
      </c>
      <c r="C145" s="82" t="s">
        <v>305</v>
      </c>
      <c r="E145" s="49" t="str">
        <f>_xlfn.XLOOKUP(C145,Used_before_Trf!A:A,Used_before_Trf!B:B,0)</f>
        <v xml:space="preserve">  (TEST) MRA-N59 (200KG/DR) - ANTI TACK</v>
      </c>
      <c r="N145" s="89">
        <f t="shared" si="145"/>
        <v>0</v>
      </c>
    </row>
    <row r="146" spans="1:15">
      <c r="A146" s="479" t="str">
        <f>IF(LEFT(C146,3)="NBR","NBR","CHE")&amp;"_"&amp;"DIS-P"</f>
        <v>CHE_DIS-P</v>
      </c>
      <c r="B146" s="471" t="s">
        <v>170</v>
      </c>
      <c r="C146" s="11" t="s">
        <v>257</v>
      </c>
      <c r="E146" s="49" t="str">
        <f>_xlfn.XLOOKUP(C146,Used_before_Trf!A:A,Used_before_Trf!B:B,0)</f>
        <v>TEXKLEEN P22 (200KG/DRUM)(ALKALINE CLEANER )</v>
      </c>
      <c r="N146" s="89">
        <f t="shared" si="145"/>
        <v>0</v>
      </c>
    </row>
    <row r="147" spans="1:15">
      <c r="A147" s="479" t="str">
        <f>IF(LEFT(C147,3)="NBR","NBR","CHE")&amp;"_"&amp;"DIS-P"</f>
        <v>CHE_DIS-P</v>
      </c>
      <c r="B147" s="471" t="s">
        <v>170</v>
      </c>
      <c r="C147" s="140" t="s">
        <v>293</v>
      </c>
      <c r="E147" s="49" t="str">
        <f>_xlfn.XLOOKUP(C147,Used_before_Trf!A:A,Used_before_Trf!B:B,0)</f>
        <v xml:space="preserve">  (TEST) SPECLEAN SC (220KG/DRUM) COMPOSITE CLEANER</v>
      </c>
      <c r="N147" s="89">
        <f t="shared" si="145"/>
        <v>0</v>
      </c>
    </row>
    <row r="148" spans="1:15">
      <c r="A148" s="479" t="str">
        <f t="shared" si="144"/>
        <v>CHE_DIS</v>
      </c>
      <c r="B148" s="471" t="s">
        <v>170</v>
      </c>
      <c r="C148" s="11" t="s">
        <v>311</v>
      </c>
      <c r="E148" s="49" t="str">
        <f>_xlfn.XLOOKUP(C148,Used_before_Trf!A:A,Used_before_Trf!B:B,0)</f>
        <v xml:space="preserve">  CALCIUM NITRATE LIQUOR 54- 56% (30,000KG/TANK)-MEY CHEMICAL</v>
      </c>
      <c r="N148" s="89">
        <f t="shared" si="145"/>
        <v>0</v>
      </c>
    </row>
    <row r="149" spans="1:15">
      <c r="A149" s="479" t="str">
        <f t="shared" si="144"/>
        <v>CHE_DIS</v>
      </c>
      <c r="B149" s="471" t="s">
        <v>170</v>
      </c>
      <c r="C149" s="11" t="s">
        <v>317</v>
      </c>
      <c r="E149" s="49" t="str">
        <f>_xlfn.XLOOKUP(C149,Used_before_Trf!A:A,Used_before_Trf!B:B,0)</f>
        <v xml:space="preserve">  (TEST) MAXCO B3108M (200KG/DRUM) - ANTI TACK</v>
      </c>
      <c r="H149" s="26">
        <v>143.55000000000001</v>
      </c>
      <c r="I149" s="26">
        <v>160.88</v>
      </c>
      <c r="N149" s="89">
        <f t="shared" si="145"/>
        <v>304.43</v>
      </c>
    </row>
    <row r="150" spans="1:15">
      <c r="A150" s="479" t="str">
        <f>IF(LEFT(C150,3)="NBR","NBR","CHE")&amp;"_"&amp;"DIS-P"</f>
        <v>CHE_DIS-P</v>
      </c>
      <c r="B150" s="471" t="s">
        <v>170</v>
      </c>
      <c r="C150" s="11" t="s">
        <v>273</v>
      </c>
      <c r="E150" s="49" t="str">
        <f>_xlfn.XLOOKUP(C150,Used_before_Trf!A:A,Used_before_Trf!B:B,0)</f>
        <v>(TEST) SPECLEAN8 (240KG/DRUM) - ALKALINE CLEANER</v>
      </c>
      <c r="N150" s="89">
        <f t="shared" si="145"/>
        <v>0</v>
      </c>
    </row>
    <row r="151" spans="1:15">
      <c r="A151" s="479" t="str">
        <f t="shared" si="144"/>
        <v>CHE_DIS</v>
      </c>
      <c r="B151" s="471" t="s">
        <v>170</v>
      </c>
      <c r="C151" s="11" t="s">
        <v>313</v>
      </c>
      <c r="E151" s="49" t="str">
        <f>_xlfn.XLOOKUP(C151,Used_before_Trf!A:A,Used_before_Trf!B:B,0)</f>
        <v xml:space="preserve">  (TEST) MAXSIL B280M(200kg/DRUM) - NBR POLYMER</v>
      </c>
      <c r="H151" s="26">
        <v>215</v>
      </c>
      <c r="I151" s="26">
        <v>220</v>
      </c>
      <c r="N151" s="89">
        <f t="shared" si="145"/>
        <v>435</v>
      </c>
    </row>
    <row r="152" spans="1:15">
      <c r="A152" s="479" t="str">
        <f t="shared" si="144"/>
        <v>CHE_DIS</v>
      </c>
      <c r="B152" s="471" t="s">
        <v>170</v>
      </c>
      <c r="C152" s="11" t="s">
        <v>275</v>
      </c>
      <c r="E152" s="49" t="str">
        <f>_xlfn.XLOOKUP(C152,Used_before_Trf!A:A,Used_before_Trf!B:B,0)</f>
        <v xml:space="preserve">  (TEST) CALCIUM NITRATE TETRAHYDRATE CRYSTAL ( CALCIUM SALT )(25KG/BG)</v>
      </c>
      <c r="H152" s="26">
        <v>833.25</v>
      </c>
      <c r="I152" s="26">
        <v>853.88</v>
      </c>
      <c r="N152" s="89">
        <f t="shared" si="145"/>
        <v>1687.13</v>
      </c>
    </row>
    <row r="153" spans="1:15">
      <c r="A153" s="479" t="s">
        <v>731</v>
      </c>
      <c r="B153" s="471" t="s">
        <v>170</v>
      </c>
      <c r="C153" s="11" t="s">
        <v>329</v>
      </c>
      <c r="E153" s="49" t="s">
        <v>330</v>
      </c>
      <c r="N153" s="89">
        <f t="shared" si="145"/>
        <v>0</v>
      </c>
    </row>
    <row r="154" spans="1:15">
      <c r="A154" s="479" t="s">
        <v>731</v>
      </c>
      <c r="B154" s="471" t="s">
        <v>170</v>
      </c>
      <c r="C154" s="82" t="s">
        <v>585</v>
      </c>
      <c r="E154" s="140" t="s">
        <v>586</v>
      </c>
      <c r="H154" s="26">
        <f>56.94+55.07</f>
        <v>112.00999999999999</v>
      </c>
      <c r="I154" s="26">
        <f>55.85+57.25</f>
        <v>113.1</v>
      </c>
      <c r="N154" s="89">
        <f t="shared" si="145"/>
        <v>225.10999999999999</v>
      </c>
    </row>
    <row r="155" spans="1:15">
      <c r="B155" s="471"/>
      <c r="E155" s="49"/>
      <c r="N155" s="89"/>
    </row>
    <row r="156" spans="1:15">
      <c r="B156" s="471"/>
      <c r="E156" s="49"/>
      <c r="N156" s="89"/>
    </row>
    <row r="157" spans="1:15">
      <c r="C157" s="84"/>
      <c r="D157" s="84"/>
      <c r="E157" s="85" t="s">
        <v>708</v>
      </c>
      <c r="F157" s="86">
        <f>SUM(F134:F153)</f>
        <v>0</v>
      </c>
      <c r="G157" s="86">
        <f t="shared" ref="G157" si="146">SUM(G134:G153)</f>
        <v>0</v>
      </c>
      <c r="H157" s="86">
        <f>SUM(H134:H156)</f>
        <v>1327.1299999999999</v>
      </c>
      <c r="I157" s="86">
        <f t="shared" ref="I157:N157" si="147">SUM(I134:I156)</f>
        <v>1376.1499999999999</v>
      </c>
      <c r="J157" s="86">
        <f t="shared" si="147"/>
        <v>0</v>
      </c>
      <c r="K157" s="86">
        <f t="shared" si="147"/>
        <v>0</v>
      </c>
      <c r="L157" s="86">
        <f t="shared" si="147"/>
        <v>0</v>
      </c>
      <c r="M157" s="86">
        <f t="shared" si="147"/>
        <v>0</v>
      </c>
      <c r="N157" s="86">
        <f t="shared" si="147"/>
        <v>2703.28</v>
      </c>
    </row>
    <row r="160" spans="1:15">
      <c r="A160" s="480" t="s">
        <v>704</v>
      </c>
      <c r="B160" s="470" t="s">
        <v>705</v>
      </c>
      <c r="C160" s="79" t="s">
        <v>169</v>
      </c>
      <c r="D160" s="87" t="s">
        <v>626</v>
      </c>
      <c r="E160" s="80" t="s">
        <v>3</v>
      </c>
      <c r="F160" s="81" t="s">
        <v>627</v>
      </c>
      <c r="G160" s="81" t="s">
        <v>627</v>
      </c>
      <c r="H160" s="81" t="s">
        <v>627</v>
      </c>
      <c r="I160" s="81" t="s">
        <v>627</v>
      </c>
      <c r="J160" s="81"/>
      <c r="K160" s="81"/>
      <c r="L160" s="81"/>
      <c r="M160" s="81"/>
      <c r="N160" s="88" t="s">
        <v>732</v>
      </c>
      <c r="O160" s="432" t="s">
        <v>710</v>
      </c>
    </row>
    <row r="161" spans="1:15">
      <c r="A161" s="479" t="str">
        <f>IF(LEFT(C161,3)="NBR","NBR","CHE")&amp;"_"&amp;"DIS"</f>
        <v>CHE_DIS</v>
      </c>
      <c r="B161" s="471" t="s">
        <v>711</v>
      </c>
      <c r="C161" s="49" t="str">
        <f t="shared" ref="C161:C171" si="148">C134</f>
        <v>CH45</v>
      </c>
      <c r="D161" s="55">
        <f>_xlfn.XLOOKUP(C161,Used_before_Trf!A:A,Used_before_Trf!U:U,0)</f>
        <v>0</v>
      </c>
      <c r="E161" s="49" t="str">
        <f>_xlfn.XLOOKUP(C161,Used_before_Trf!A:A,Used_before_Trf!B:B,0)</f>
        <v>CALCIUM NITRATE, SOLUTION 54-54% (310/DRUM),(25000KG/TANK)</v>
      </c>
      <c r="F161" s="12">
        <f>ROUND(F134*$D161,2)</f>
        <v>0</v>
      </c>
      <c r="G161" s="12">
        <f t="shared" ref="G161:I161" si="149">ROUND(G134*$D161,2)</f>
        <v>0</v>
      </c>
      <c r="H161" s="12">
        <f t="shared" si="149"/>
        <v>0</v>
      </c>
      <c r="I161" s="12">
        <f t="shared" si="149"/>
        <v>0</v>
      </c>
      <c r="N161" s="89">
        <f>SUM(F161:M161)</f>
        <v>0</v>
      </c>
      <c r="O161" s="91" t="str">
        <f t="shared" ref="O161:O180" si="150">IF(AND(N134&gt;0,N161=0),"Error","OK")</f>
        <v>OK</v>
      </c>
    </row>
    <row r="162" spans="1:15">
      <c r="A162" s="479" t="str">
        <f t="shared" ref="A162:A179" si="151">IF(LEFT(C162,3)="NBR","NBR","CHE")&amp;"_"&amp;"DIS"</f>
        <v>CHE_DIS</v>
      </c>
      <c r="B162" s="471" t="s">
        <v>711</v>
      </c>
      <c r="C162" s="49" t="str">
        <f t="shared" si="148"/>
        <v>CH88</v>
      </c>
      <c r="D162" s="55">
        <f>_xlfn.XLOOKUP(C162,Used_before_Trf!A:A,Used_before_Trf!U:U,0)</f>
        <v>0</v>
      </c>
      <c r="E162" s="49" t="str">
        <f>_xlfn.XLOOKUP(C162,Used_before_Trf!A:A,Used_before_Trf!B:B,0)</f>
        <v>SURFYNOL DF 37 (DEFORMER) 20KGS./DRUM</v>
      </c>
      <c r="F162" s="12">
        <f t="shared" ref="F162:I162" si="152">ROUND(F135*$D162,2)</f>
        <v>0</v>
      </c>
      <c r="G162" s="12">
        <f t="shared" si="152"/>
        <v>0</v>
      </c>
      <c r="H162" s="12">
        <f t="shared" si="152"/>
        <v>0</v>
      </c>
      <c r="I162" s="12">
        <f t="shared" si="152"/>
        <v>0</v>
      </c>
      <c r="N162" s="89">
        <f t="shared" ref="N162:N183" si="153">SUM(F162:M162)</f>
        <v>0</v>
      </c>
      <c r="O162" s="91" t="str">
        <f t="shared" si="150"/>
        <v>OK</v>
      </c>
    </row>
    <row r="163" spans="1:15">
      <c r="A163" s="479" t="str">
        <f t="shared" si="151"/>
        <v>CHE_DIS</v>
      </c>
      <c r="B163" s="471" t="s">
        <v>711</v>
      </c>
      <c r="C163" s="49" t="str">
        <f t="shared" si="148"/>
        <v>CH89</v>
      </c>
      <c r="D163" s="55">
        <f>_xlfn.XLOOKUP(C163,Used_before_Trf!A:A,Used_before_Trf!U:U,0)</f>
        <v>0</v>
      </c>
      <c r="E163" s="49" t="str">
        <f>_xlfn.XLOOKUP(C163,Used_before_Trf!A:A,Used_before_Trf!B:B,0)</f>
        <v>SURFYNOL TG (SURFACTANT) 204.1 KGS./DRUM</v>
      </c>
      <c r="F163" s="12">
        <f t="shared" ref="F163:I163" si="154">ROUND(F136*$D163,2)</f>
        <v>0</v>
      </c>
      <c r="G163" s="12">
        <f t="shared" si="154"/>
        <v>0</v>
      </c>
      <c r="H163" s="12">
        <f t="shared" si="154"/>
        <v>0</v>
      </c>
      <c r="I163" s="12">
        <f t="shared" si="154"/>
        <v>0</v>
      </c>
      <c r="N163" s="89">
        <f t="shared" si="153"/>
        <v>0</v>
      </c>
      <c r="O163" s="91" t="str">
        <f t="shared" si="150"/>
        <v>OK</v>
      </c>
    </row>
    <row r="164" spans="1:15">
      <c r="A164" s="479" t="str">
        <f t="shared" si="151"/>
        <v>CHE_DIS</v>
      </c>
      <c r="B164" s="471" t="s">
        <v>711</v>
      </c>
      <c r="C164" s="49" t="str">
        <f t="shared" si="148"/>
        <v>CH133</v>
      </c>
      <c r="D164" s="55">
        <f>_xlfn.XLOOKUP(C164,Used_before_Trf!A:A,Used_before_Trf!U:U,0)</f>
        <v>0</v>
      </c>
      <c r="E164" s="49" t="str">
        <f>_xlfn.XLOOKUP(C164,Used_before_Trf!A:A,Used_before_Trf!B:B,0)</f>
        <v>CS COAT T406 (CALCIUM STEARATE 40%) (1000 KG/TANK)</v>
      </c>
      <c r="F164" s="12">
        <f t="shared" ref="F164:I164" si="155">ROUND(F137*$D164,2)</f>
        <v>0</v>
      </c>
      <c r="G164" s="12">
        <f t="shared" si="155"/>
        <v>0</v>
      </c>
      <c r="H164" s="12">
        <f t="shared" si="155"/>
        <v>0</v>
      </c>
      <c r="I164" s="12">
        <f t="shared" si="155"/>
        <v>0</v>
      </c>
      <c r="N164" s="89">
        <f t="shared" si="153"/>
        <v>0</v>
      </c>
      <c r="O164" s="91" t="str">
        <f t="shared" si="150"/>
        <v>OK</v>
      </c>
    </row>
    <row r="165" spans="1:15">
      <c r="A165" s="479" t="str">
        <f t="shared" si="151"/>
        <v>CHE_DIS</v>
      </c>
      <c r="B165" s="471" t="s">
        <v>711</v>
      </c>
      <c r="C165" s="49" t="str">
        <f t="shared" si="148"/>
        <v>CH202</v>
      </c>
      <c r="D165" s="55">
        <f>_xlfn.XLOOKUP(C165,Used_before_Trf!A:A,Used_before_Trf!U:U,0)</f>
        <v>0</v>
      </c>
      <c r="E165" s="49" t="str">
        <f>_xlfn.XLOOKUP(C165,Used_before_Trf!A:A,Used_before_Trf!B:B,0)</f>
        <v>(TEST) CALNITE INNO+76 (Calcium Nitrate)</v>
      </c>
      <c r="F165" s="12">
        <f t="shared" ref="F165:I165" si="156">ROUND(F138*$D165,2)</f>
        <v>0</v>
      </c>
      <c r="G165" s="12">
        <f t="shared" si="156"/>
        <v>0</v>
      </c>
      <c r="H165" s="12">
        <f t="shared" si="156"/>
        <v>0</v>
      </c>
      <c r="I165" s="12">
        <f t="shared" si="156"/>
        <v>0</v>
      </c>
      <c r="N165" s="89">
        <f t="shared" si="153"/>
        <v>0</v>
      </c>
      <c r="O165" s="91" t="str">
        <f t="shared" si="150"/>
        <v>OK</v>
      </c>
    </row>
    <row r="166" spans="1:15">
      <c r="A166" s="479" t="str">
        <f t="shared" si="151"/>
        <v>CHE_DIS</v>
      </c>
      <c r="B166" s="471" t="s">
        <v>711</v>
      </c>
      <c r="C166" s="49" t="str">
        <f t="shared" si="148"/>
        <v>CH203</v>
      </c>
      <c r="D166" s="55">
        <f>_xlfn.XLOOKUP(C166,Used_before_Trf!A:A,Used_before_Trf!U:U,0)</f>
        <v>0</v>
      </c>
      <c r="E166" s="49" t="str">
        <f>_xlfn.XLOOKUP(C166,Used_before_Trf!A:A,Used_before_Trf!B:B,0)</f>
        <v>(TEST)CYCLARON927 (ANTI-TACK)</v>
      </c>
      <c r="F166" s="12">
        <f t="shared" ref="F166:I166" si="157">ROUND(F139*$D166,2)</f>
        <v>0</v>
      </c>
      <c r="G166" s="12">
        <f t="shared" si="157"/>
        <v>0</v>
      </c>
      <c r="H166" s="12">
        <f t="shared" si="157"/>
        <v>0</v>
      </c>
      <c r="I166" s="12">
        <f t="shared" si="157"/>
        <v>0</v>
      </c>
      <c r="N166" s="89">
        <f t="shared" si="153"/>
        <v>0</v>
      </c>
      <c r="O166" s="91" t="str">
        <f t="shared" si="150"/>
        <v>OK</v>
      </c>
    </row>
    <row r="167" spans="1:15">
      <c r="A167" s="479" t="str">
        <f t="shared" si="151"/>
        <v>CHE_DIS</v>
      </c>
      <c r="B167" s="471" t="s">
        <v>711</v>
      </c>
      <c r="C167" s="49" t="str">
        <f t="shared" si="148"/>
        <v>CH149</v>
      </c>
      <c r="D167" s="55">
        <f>_xlfn.XLOOKUP(C167,Used_before_Trf!A:A,Used_before_Trf!U:U,0)</f>
        <v>0</v>
      </c>
      <c r="E167" s="49" t="str">
        <f>_xlfn.XLOOKUP(C167,Used_before_Trf!A:A,Used_before_Trf!B:B,0)</f>
        <v>EZSTRIP 2XL – 200 KG/DRUM</v>
      </c>
      <c r="F167" s="12">
        <f t="shared" ref="F167:I167" si="158">ROUND(F140*$D167,2)</f>
        <v>0</v>
      </c>
      <c r="G167" s="12">
        <f t="shared" si="158"/>
        <v>0</v>
      </c>
      <c r="H167" s="12">
        <f t="shared" si="158"/>
        <v>0</v>
      </c>
      <c r="I167" s="12">
        <f t="shared" si="158"/>
        <v>0</v>
      </c>
      <c r="N167" s="89">
        <f t="shared" si="153"/>
        <v>0</v>
      </c>
      <c r="O167" s="91" t="str">
        <f t="shared" si="150"/>
        <v>OK</v>
      </c>
    </row>
    <row r="168" spans="1:15">
      <c r="A168" s="479" t="str">
        <f t="shared" si="151"/>
        <v>CHE_DIS</v>
      </c>
      <c r="B168" s="471" t="s">
        <v>711</v>
      </c>
      <c r="C168" s="49" t="str">
        <f t="shared" si="148"/>
        <v>CH176</v>
      </c>
      <c r="D168" s="55">
        <f>_xlfn.XLOOKUP(C168,Used_before_Trf!A:A,Used_before_Trf!U:U,0)</f>
        <v>0</v>
      </c>
      <c r="E168" s="49" t="str">
        <f>_xlfn.XLOOKUP(C168,Used_before_Trf!A:A,Used_before_Trf!B:B,0)</f>
        <v>KOH 48% SOLUTION (1490KG/IBC)THANODOM</v>
      </c>
      <c r="F168" s="12">
        <f t="shared" ref="F168:I168" si="159">ROUND(F141*$D168,2)</f>
        <v>0</v>
      </c>
      <c r="G168" s="12">
        <f t="shared" si="159"/>
        <v>0</v>
      </c>
      <c r="H168" s="12">
        <f t="shared" si="159"/>
        <v>0</v>
      </c>
      <c r="I168" s="12">
        <f t="shared" si="159"/>
        <v>0</v>
      </c>
      <c r="N168" s="89">
        <f t="shared" si="153"/>
        <v>0</v>
      </c>
      <c r="O168" s="91" t="str">
        <f t="shared" si="150"/>
        <v>OK</v>
      </c>
    </row>
    <row r="169" spans="1:15">
      <c r="A169" s="479" t="str">
        <f>IF(LEFT(C169,3)="NBR","NBR","CHE")&amp;"_"&amp;"DIS-P"</f>
        <v>CHE_DIS-P</v>
      </c>
      <c r="B169" s="471" t="s">
        <v>711</v>
      </c>
      <c r="C169" s="49" t="str">
        <f t="shared" si="148"/>
        <v>CH26</v>
      </c>
      <c r="D169" s="55">
        <f>_xlfn.XLOOKUP(C169,Used_before_Trf!A:A,Used_before_Trf!U:U,0)</f>
        <v>15</v>
      </c>
      <c r="E169" s="49" t="str">
        <f>_xlfn.XLOOKUP(C169,Used_before_Trf!A:A,Used_before_Trf!B:B,0)</f>
        <v>NITRIC ACID 68% (280 KGS/DRUM )</v>
      </c>
      <c r="F169" s="12">
        <f t="shared" ref="F169:I169" si="160">ROUND(F142*$D169,2)</f>
        <v>0</v>
      </c>
      <c r="G169" s="12">
        <f t="shared" si="160"/>
        <v>0</v>
      </c>
      <c r="H169" s="12">
        <f t="shared" si="160"/>
        <v>349.8</v>
      </c>
      <c r="I169" s="12">
        <f t="shared" si="160"/>
        <v>424.35</v>
      </c>
      <c r="N169" s="89">
        <f t="shared" si="153"/>
        <v>774.15000000000009</v>
      </c>
      <c r="O169" s="91" t="str">
        <f t="shared" si="150"/>
        <v>OK</v>
      </c>
    </row>
    <row r="170" spans="1:15">
      <c r="A170" s="479" t="str">
        <f>IF(LEFT(C170,3)="NBR","NBR","CHE")&amp;"_"&amp;"DIS-P"</f>
        <v>CHE_DIS-P</v>
      </c>
      <c r="B170" s="471" t="s">
        <v>711</v>
      </c>
      <c r="C170" s="49" t="str">
        <f t="shared" si="148"/>
        <v>CH104</v>
      </c>
      <c r="D170" s="55">
        <f>_xlfn.XLOOKUP(C170,Used_before_Trf!A:A,Used_before_Trf!U:U,0)</f>
        <v>0</v>
      </c>
      <c r="E170" s="49" t="str">
        <f>_xlfn.XLOOKUP(C170,Used_before_Trf!A:A,Used_before_Trf!B:B,0)</f>
        <v>SPECLEAN 11 (246 KGS /DRUM)</v>
      </c>
      <c r="F170" s="12">
        <f t="shared" ref="F170:I170" si="161">ROUND(F143*$D170,2)</f>
        <v>0</v>
      </c>
      <c r="G170" s="12">
        <f t="shared" si="161"/>
        <v>0</v>
      </c>
      <c r="H170" s="12">
        <f t="shared" si="161"/>
        <v>0</v>
      </c>
      <c r="I170" s="12">
        <f t="shared" si="161"/>
        <v>0</v>
      </c>
      <c r="N170" s="89">
        <f t="shared" si="153"/>
        <v>0</v>
      </c>
      <c r="O170" s="91" t="str">
        <f t="shared" si="150"/>
        <v>OK</v>
      </c>
    </row>
    <row r="171" spans="1:15">
      <c r="A171" s="479" t="str">
        <f t="shared" si="151"/>
        <v>CHE_DIS</v>
      </c>
      <c r="B171" s="471" t="s">
        <v>711</v>
      </c>
      <c r="C171" s="49" t="str">
        <f t="shared" si="148"/>
        <v>CH225</v>
      </c>
      <c r="D171" s="55">
        <f>_xlfn.XLOOKUP(C171,Used_before_Trf!A:A,Used_before_Trf!U:U,0)</f>
        <v>0</v>
      </c>
      <c r="E171" s="49" t="str">
        <f>_xlfn.XLOOKUP(C171,Used_before_Trf!A:A,Used_before_Trf!B:B,0)</f>
        <v xml:space="preserve">  (TEST) MRA-N55 (200KG/DR) - ANTI TACK</v>
      </c>
      <c r="F171" s="12">
        <f t="shared" ref="F171:I171" si="162">ROUND(F144*$D171,2)</f>
        <v>0</v>
      </c>
      <c r="G171" s="12">
        <f t="shared" si="162"/>
        <v>0</v>
      </c>
      <c r="H171" s="12">
        <f t="shared" si="162"/>
        <v>0</v>
      </c>
      <c r="I171" s="12">
        <f t="shared" si="162"/>
        <v>0</v>
      </c>
      <c r="N171" s="89">
        <f t="shared" si="153"/>
        <v>0</v>
      </c>
      <c r="O171" s="91" t="str">
        <f t="shared" si="150"/>
        <v>OK</v>
      </c>
    </row>
    <row r="172" spans="1:15">
      <c r="A172" s="479" t="str">
        <f t="shared" si="151"/>
        <v>CHE_DIS</v>
      </c>
      <c r="B172" s="471" t="s">
        <v>711</v>
      </c>
      <c r="C172" s="82" t="s">
        <v>305</v>
      </c>
      <c r="D172" s="55">
        <f>_xlfn.XLOOKUP(C172,Used_before_Trf!A:A,Used_before_Trf!U:U,0)</f>
        <v>0</v>
      </c>
      <c r="E172" s="49" t="s">
        <v>306</v>
      </c>
      <c r="F172" s="12">
        <f t="shared" ref="F172:I172" si="163">ROUND(F145*$D172,2)</f>
        <v>0</v>
      </c>
      <c r="G172" s="12">
        <f t="shared" si="163"/>
        <v>0</v>
      </c>
      <c r="H172" s="12">
        <f t="shared" si="163"/>
        <v>0</v>
      </c>
      <c r="I172" s="12">
        <f t="shared" si="163"/>
        <v>0</v>
      </c>
      <c r="N172" s="89">
        <f t="shared" si="153"/>
        <v>0</v>
      </c>
      <c r="O172" s="91" t="str">
        <f t="shared" si="150"/>
        <v>OK</v>
      </c>
    </row>
    <row r="173" spans="1:15">
      <c r="A173" s="479" t="str">
        <f>IF(LEFT(C173,3)="NBR","NBR","CHE")&amp;"_"&amp;"DIS-P"</f>
        <v>CHE_DIS-P</v>
      </c>
      <c r="B173" s="471" t="s">
        <v>711</v>
      </c>
      <c r="C173" s="49" t="str">
        <f t="shared" ref="C173:C181" si="164">C146</f>
        <v>CH196</v>
      </c>
      <c r="D173" s="55">
        <f>_xlfn.XLOOKUP(C173,Used_before_Trf!A:A,Used_before_Trf!U:U,0)</f>
        <v>10.5</v>
      </c>
      <c r="E173" s="49" t="str">
        <f>_xlfn.XLOOKUP(C173,Used_before_Trf!A:A,Used_before_Trf!B:B,0)</f>
        <v>TEXKLEEN P22 (200KG/DRUM)(ALKALINE CLEANER )</v>
      </c>
      <c r="F173" s="12">
        <f t="shared" ref="F173:I173" si="165">ROUND(F146*$D173,2)</f>
        <v>0</v>
      </c>
      <c r="G173" s="12">
        <f t="shared" si="165"/>
        <v>0</v>
      </c>
      <c r="H173" s="12">
        <f t="shared" si="165"/>
        <v>0</v>
      </c>
      <c r="I173" s="12">
        <f t="shared" si="165"/>
        <v>0</v>
      </c>
      <c r="N173" s="89">
        <f t="shared" si="153"/>
        <v>0</v>
      </c>
      <c r="O173" s="91" t="str">
        <f t="shared" si="150"/>
        <v>OK</v>
      </c>
    </row>
    <row r="174" spans="1:15">
      <c r="A174" s="479" t="str">
        <f>IF(LEFT(C174,3)="NBR","NBR","CHE")&amp;"_"&amp;"DIS-P"</f>
        <v>CHE_DIS-P</v>
      </c>
      <c r="B174" s="471" t="s">
        <v>711</v>
      </c>
      <c r="C174" s="49" t="str">
        <f t="shared" si="164"/>
        <v>CH221</v>
      </c>
      <c r="D174" s="55">
        <f>_xlfn.XLOOKUP(C174,Used_before_Trf!A:A,Used_before_Trf!U:U,0)</f>
        <v>0</v>
      </c>
      <c r="E174" s="49" t="str">
        <f>_xlfn.XLOOKUP(C174,Used_before_Trf!A:A,Used_before_Trf!B:B,0)</f>
        <v xml:space="preserve">  (TEST) SPECLEAN SC (220KG/DRUM) COMPOSITE CLEANER</v>
      </c>
      <c r="F174" s="12">
        <f t="shared" ref="F174:I174" si="166">ROUND(F147*$D174,2)</f>
        <v>0</v>
      </c>
      <c r="G174" s="12">
        <f t="shared" si="166"/>
        <v>0</v>
      </c>
      <c r="H174" s="12">
        <f t="shared" si="166"/>
        <v>0</v>
      </c>
      <c r="I174" s="12">
        <f t="shared" si="166"/>
        <v>0</v>
      </c>
      <c r="N174" s="89">
        <f t="shared" si="153"/>
        <v>0</v>
      </c>
      <c r="O174" s="91" t="str">
        <f t="shared" si="150"/>
        <v>OK</v>
      </c>
    </row>
    <row r="175" spans="1:15">
      <c r="A175" s="479" t="str">
        <f t="shared" si="151"/>
        <v>CHE_DIS</v>
      </c>
      <c r="B175" s="471" t="s">
        <v>711</v>
      </c>
      <c r="C175" s="49" t="str">
        <f t="shared" si="164"/>
        <v>CH230</v>
      </c>
      <c r="D175" s="55">
        <f>_xlfn.XLOOKUP(C175,Used_before_Trf!A:A,Used_before_Trf!U:U,0)</f>
        <v>0</v>
      </c>
      <c r="E175" s="49" t="str">
        <f>_xlfn.XLOOKUP(C175,Used_before_Trf!A:A,Used_before_Trf!B:B,0)</f>
        <v xml:space="preserve">  CALCIUM NITRATE LIQUOR 54- 56% (30,000KG/TANK)-MEY CHEMICAL</v>
      </c>
      <c r="F175" s="12">
        <f t="shared" ref="F175:I175" si="167">ROUND(F148*$D175,2)</f>
        <v>0</v>
      </c>
      <c r="G175" s="12">
        <f t="shared" si="167"/>
        <v>0</v>
      </c>
      <c r="H175" s="12">
        <f t="shared" si="167"/>
        <v>0</v>
      </c>
      <c r="I175" s="12">
        <f t="shared" si="167"/>
        <v>0</v>
      </c>
      <c r="N175" s="89">
        <f t="shared" si="153"/>
        <v>0</v>
      </c>
      <c r="O175" s="91" t="str">
        <f t="shared" si="150"/>
        <v>OK</v>
      </c>
    </row>
    <row r="176" spans="1:15">
      <c r="A176" s="479" t="str">
        <f t="shared" si="151"/>
        <v>CHE_DIS</v>
      </c>
      <c r="B176" s="471" t="s">
        <v>711</v>
      </c>
      <c r="C176" s="49" t="str">
        <f t="shared" si="164"/>
        <v>CH235</v>
      </c>
      <c r="D176" s="55">
        <f>_xlfn.XLOOKUP(C176,Used_before_Trf!A:A,Used_before_Trf!U:U,0)</f>
        <v>51.835463258785943</v>
      </c>
      <c r="E176" s="49" t="str">
        <f>_xlfn.XLOOKUP(C176,Used_before_Trf!A:A,Used_before_Trf!B:B,0)</f>
        <v xml:space="preserve">  (TEST) MAXCO B3108M (200KG/DRUM) - ANTI TACK</v>
      </c>
      <c r="F176" s="12">
        <f t="shared" ref="F176:I176" si="168">ROUND(F149*$D176,2)</f>
        <v>0</v>
      </c>
      <c r="G176" s="12">
        <f t="shared" si="168"/>
        <v>0</v>
      </c>
      <c r="H176" s="12">
        <f t="shared" si="168"/>
        <v>7440.98</v>
      </c>
      <c r="I176" s="12">
        <f t="shared" si="168"/>
        <v>8339.2900000000009</v>
      </c>
      <c r="N176" s="89">
        <f t="shared" si="153"/>
        <v>15780.27</v>
      </c>
      <c r="O176" s="91" t="str">
        <f t="shared" si="150"/>
        <v>OK</v>
      </c>
    </row>
    <row r="177" spans="1:15">
      <c r="A177" s="479" t="str">
        <f>IF(LEFT(C177,3)="NBR","NBR","CHE")&amp;"_"&amp;"DIS-P"</f>
        <v>CHE_DIS-P</v>
      </c>
      <c r="B177" s="471" t="s">
        <v>711</v>
      </c>
      <c r="C177" s="49" t="str">
        <f t="shared" si="164"/>
        <v>CH209</v>
      </c>
      <c r="D177" s="55">
        <f>_xlfn.XLOOKUP(C177,Used_before_Trf!A:A,Used_before_Trf!U:U,0)</f>
        <v>0</v>
      </c>
      <c r="E177" s="49" t="str">
        <f>_xlfn.XLOOKUP(C177,Used_before_Trf!A:A,Used_before_Trf!B:B,0)</f>
        <v>(TEST) SPECLEAN8 (240KG/DRUM) - ALKALINE CLEANER</v>
      </c>
      <c r="F177" s="12">
        <f t="shared" ref="F177:I177" si="169">ROUND(F150*$D177,2)</f>
        <v>0</v>
      </c>
      <c r="G177" s="12">
        <f t="shared" si="169"/>
        <v>0</v>
      </c>
      <c r="H177" s="12">
        <f t="shared" si="169"/>
        <v>0</v>
      </c>
      <c r="I177" s="12">
        <f t="shared" si="169"/>
        <v>0</v>
      </c>
      <c r="N177" s="89">
        <f t="shared" si="153"/>
        <v>0</v>
      </c>
      <c r="O177" s="91" t="str">
        <f t="shared" si="150"/>
        <v>OK</v>
      </c>
    </row>
    <row r="178" spans="1:15">
      <c r="A178" s="479" t="str">
        <f t="shared" si="151"/>
        <v>CHE_DIS</v>
      </c>
      <c r="B178" s="471" t="s">
        <v>711</v>
      </c>
      <c r="C178" s="49" t="str">
        <f t="shared" si="164"/>
        <v>CH233</v>
      </c>
      <c r="D178" s="55">
        <f>_xlfn.XLOOKUP(C178,Used_before_Trf!A:A,Used_before_Trf!U:U,0)</f>
        <v>62.807467966417754</v>
      </c>
      <c r="E178" s="49" t="str">
        <f>_xlfn.XLOOKUP(C178,Used_before_Trf!A:A,Used_before_Trf!B:B,0)</f>
        <v xml:space="preserve">  (TEST) MAXSIL B280M(200kg/DRUM) - NBR POLYMER</v>
      </c>
      <c r="F178" s="12">
        <f t="shared" ref="F178:I178" si="170">ROUND(F151*$D178,2)</f>
        <v>0</v>
      </c>
      <c r="G178" s="12">
        <f t="shared" si="170"/>
        <v>0</v>
      </c>
      <c r="H178" s="12">
        <f t="shared" si="170"/>
        <v>13503.61</v>
      </c>
      <c r="I178" s="12">
        <f t="shared" si="170"/>
        <v>13817.64</v>
      </c>
      <c r="N178" s="89">
        <f t="shared" si="153"/>
        <v>27321.25</v>
      </c>
      <c r="O178" s="91" t="str">
        <f t="shared" si="150"/>
        <v>OK</v>
      </c>
    </row>
    <row r="179" spans="1:15">
      <c r="A179" s="479" t="str">
        <f t="shared" si="151"/>
        <v>CHE_DIS</v>
      </c>
      <c r="B179" s="471" t="s">
        <v>711</v>
      </c>
      <c r="C179" s="49" t="str">
        <f t="shared" si="164"/>
        <v>CH211</v>
      </c>
      <c r="D179" s="55">
        <f>_xlfn.XLOOKUP(C179,Used_before_Trf!A:A,Used_before_Trf!U:U,0)</f>
        <v>8.4181774408530483</v>
      </c>
      <c r="E179" s="49" t="str">
        <f>_xlfn.XLOOKUP(C179,Used_before_Trf!A:A,Used_before_Trf!B:B,0)</f>
        <v xml:space="preserve">  (TEST) CALCIUM NITRATE TETRAHYDRATE CRYSTAL ( CALCIUM SALT )(25KG/BG)</v>
      </c>
      <c r="F179" s="12">
        <f t="shared" ref="F179:I179" si="171">ROUND(F152*$D179,2)</f>
        <v>0</v>
      </c>
      <c r="G179" s="12">
        <f t="shared" si="171"/>
        <v>0</v>
      </c>
      <c r="H179" s="12">
        <f t="shared" si="171"/>
        <v>7014.45</v>
      </c>
      <c r="I179" s="12">
        <f t="shared" si="171"/>
        <v>7188.11</v>
      </c>
      <c r="N179" s="89">
        <f t="shared" si="153"/>
        <v>14202.56</v>
      </c>
      <c r="O179" s="91" t="str">
        <f t="shared" si="150"/>
        <v>OK</v>
      </c>
    </row>
    <row r="180" spans="1:15">
      <c r="A180" s="479" t="str">
        <f>IF(LEFT(C180,3)="NBR","NBR","CHE")&amp;"_"&amp;"DIS-P"</f>
        <v>CHE_DIS-P</v>
      </c>
      <c r="B180" s="471" t="s">
        <v>711</v>
      </c>
      <c r="C180" s="49" t="str">
        <f t="shared" si="164"/>
        <v>CH252</v>
      </c>
      <c r="D180" s="55">
        <f>_xlfn.XLOOKUP(C180,Used_before_Trf!A:A,Used_before_Trf!U:U,0)</f>
        <v>9.9722222222222214</v>
      </c>
      <c r="E180" s="49" t="str">
        <f>_xlfn.XLOOKUP(C180,Used_before_Trf!A:A,Used_before_Trf!B:B,0)</f>
        <v xml:space="preserve">  (TEST) KLEEN S21 (225KG/DRUM) (ALAKLINE CLEANNER)</v>
      </c>
      <c r="F180" s="12">
        <f t="shared" ref="F180:I180" si="172">ROUND(F153*$D180,2)</f>
        <v>0</v>
      </c>
      <c r="G180" s="12">
        <f t="shared" si="172"/>
        <v>0</v>
      </c>
      <c r="H180" s="12">
        <f t="shared" si="172"/>
        <v>0</v>
      </c>
      <c r="I180" s="12">
        <f t="shared" si="172"/>
        <v>0</v>
      </c>
      <c r="N180" s="89">
        <f t="shared" si="153"/>
        <v>0</v>
      </c>
      <c r="O180" s="91" t="str">
        <f t="shared" si="150"/>
        <v>OK</v>
      </c>
    </row>
    <row r="181" spans="1:15">
      <c r="A181" s="479" t="str">
        <f>IF(LEFT(C181,3)="NBR","NBR","CHE")&amp;"_"&amp;"DIS-P"</f>
        <v>CHE_DIS-P</v>
      </c>
      <c r="B181" s="471" t="s">
        <v>711</v>
      </c>
      <c r="C181" s="49" t="str">
        <f t="shared" si="164"/>
        <v>CH245</v>
      </c>
      <c r="D181" s="55">
        <f>_xlfn.XLOOKUP(C181,Used_before_Trf!A:A,Used_before_Trf!U:U,0)</f>
        <v>9.5755343618513322</v>
      </c>
      <c r="E181" s="49" t="str">
        <f>_xlfn.XLOOKUP(C181,Used_before_Trf!A:A,Used_before_Trf!B:B,0)</f>
        <v xml:space="preserve">  (TEST) SPECLEAN 10 (230KG/DRUM) - ALKALINE CLEANER</v>
      </c>
      <c r="F181" s="12">
        <f t="shared" ref="F181:I181" si="173">ROUND(F154*$D181,2)</f>
        <v>0</v>
      </c>
      <c r="G181" s="12">
        <f t="shared" si="173"/>
        <v>0</v>
      </c>
      <c r="H181" s="12">
        <f t="shared" si="173"/>
        <v>1072.56</v>
      </c>
      <c r="I181" s="12">
        <f t="shared" si="173"/>
        <v>1082.99</v>
      </c>
      <c r="N181" s="89">
        <f t="shared" si="153"/>
        <v>2155.5500000000002</v>
      </c>
      <c r="O181" s="91"/>
    </row>
    <row r="182" spans="1:15">
      <c r="B182" s="471"/>
      <c r="C182" s="49"/>
      <c r="D182" s="49"/>
      <c r="E182" s="83"/>
      <c r="F182" s="12">
        <f t="shared" ref="F182:I182" si="174">ROUND(F155*$D182,2)</f>
        <v>0</v>
      </c>
      <c r="G182" s="12">
        <f t="shared" si="174"/>
        <v>0</v>
      </c>
      <c r="H182" s="12">
        <f t="shared" si="174"/>
        <v>0</v>
      </c>
      <c r="I182" s="12">
        <f t="shared" si="174"/>
        <v>0</v>
      </c>
      <c r="N182" s="89">
        <f t="shared" si="153"/>
        <v>0</v>
      </c>
      <c r="O182" s="91"/>
    </row>
    <row r="183" spans="1:15">
      <c r="B183" s="471"/>
      <c r="C183" s="49"/>
      <c r="D183" s="49"/>
      <c r="E183" s="83"/>
      <c r="F183" s="12">
        <f t="shared" ref="F183:I183" si="175">ROUND(F156*$D183,2)</f>
        <v>0</v>
      </c>
      <c r="G183" s="12">
        <f t="shared" si="175"/>
        <v>0</v>
      </c>
      <c r="H183" s="12">
        <f t="shared" si="175"/>
        <v>0</v>
      </c>
      <c r="I183" s="12">
        <f t="shared" si="175"/>
        <v>0</v>
      </c>
      <c r="N183" s="89">
        <f t="shared" si="153"/>
        <v>0</v>
      </c>
      <c r="O183" s="91"/>
    </row>
    <row r="184" spans="1:15">
      <c r="B184" s="471"/>
      <c r="C184" s="84"/>
      <c r="D184" s="84"/>
      <c r="E184" s="85" t="s">
        <v>709</v>
      </c>
      <c r="F184" s="86">
        <f>SUM(F161:F180)</f>
        <v>0</v>
      </c>
      <c r="G184" s="86">
        <f t="shared" ref="G184" si="176">SUM(G161:G180)</f>
        <v>0</v>
      </c>
      <c r="H184" s="86">
        <f>SUM(H161:H183)</f>
        <v>29381.4</v>
      </c>
      <c r="I184" s="86">
        <f t="shared" ref="I184:M184" si="177">SUM(I161:I183)</f>
        <v>30852.38</v>
      </c>
      <c r="J184" s="86">
        <f t="shared" si="177"/>
        <v>0</v>
      </c>
      <c r="K184" s="86">
        <f t="shared" si="177"/>
        <v>0</v>
      </c>
      <c r="L184" s="86">
        <f t="shared" si="177"/>
        <v>0</v>
      </c>
      <c r="M184" s="86">
        <f t="shared" si="177"/>
        <v>0</v>
      </c>
      <c r="N184" s="86">
        <f>SUM(N161:N183)</f>
        <v>60233.78</v>
      </c>
    </row>
  </sheetData>
  <phoneticPr fontId="67" type="noConversion"/>
  <conditionalFormatting sqref="C1 E2:E5 E11 E13:E47 E75:E78 E106:E131 E133:E1048576">
    <cfRule type="containsText" dxfId="49" priority="95" operator="containsText" text="Blue">
      <formula>NOT(ISERROR(SEARCH("Blue",C1)))</formula>
    </cfRule>
    <cfRule type="containsText" dxfId="48" priority="94" operator="containsText" text="yellow">
      <formula>NOT(ISERROR(SEARCH("yellow",C1)))</formula>
    </cfRule>
    <cfRule type="containsText" dxfId="47" priority="93" operator="containsText" text="green">
      <formula>NOT(ISERROR(SEARCH("green",C1)))</formula>
    </cfRule>
    <cfRule type="containsText" dxfId="46" priority="96" operator="containsText" text="Black">
      <formula>NOT(ISERROR(SEARCH("Black",C1)))</formula>
    </cfRule>
  </conditionalFormatting>
  <conditionalFormatting sqref="C1 E2:E11 E13:E47 E75:E78 E106:E131 E133:E1048576">
    <cfRule type="containsText" dxfId="45" priority="72" operator="containsText" text="Ocean">
      <formula>NOT(ISERROR(SEARCH("Ocean",C1)))</formula>
    </cfRule>
  </conditionalFormatting>
  <conditionalFormatting sqref="C109">
    <cfRule type="containsText" dxfId="44" priority="62" operator="containsText" text="yellow">
      <formula>NOT(ISERROR(SEARCH("yellow",C109)))</formula>
    </cfRule>
    <cfRule type="containsText" dxfId="43" priority="61" operator="containsText" text="green">
      <formula>NOT(ISERROR(SEARCH("green",C109)))</formula>
    </cfRule>
    <cfRule type="containsText" dxfId="42" priority="63" operator="containsText" text="Blue">
      <formula>NOT(ISERROR(SEARCH("Blue",C109)))</formula>
    </cfRule>
    <cfRule type="containsText" dxfId="41" priority="60" operator="containsText" text="violet">
      <formula>NOT(ISERROR(SEARCH("violet",C109)))</formula>
    </cfRule>
    <cfRule type="containsText" dxfId="40" priority="59" operator="containsText" text="Ocean">
      <formula>NOT(ISERROR(SEARCH("Ocean",C109)))</formula>
    </cfRule>
    <cfRule type="containsText" dxfId="39" priority="64" operator="containsText" text="Black">
      <formula>NOT(ISERROR(SEARCH("Black",C109)))</formula>
    </cfRule>
  </conditionalFormatting>
  <conditionalFormatting sqref="C4:E4">
    <cfRule type="containsText" dxfId="38" priority="90" operator="containsText" text="violet">
      <formula>NOT(ISERROR(SEARCH("violet",C4)))</formula>
    </cfRule>
    <cfRule type="containsText" dxfId="37" priority="91" operator="containsText" text="Blue">
      <formula>NOT(ISERROR(SEARCH("Blue",C4)))</formula>
    </cfRule>
    <cfRule type="containsText" dxfId="36" priority="89" operator="containsText" text="black">
      <formula>NOT(ISERROR(SEARCH("black",C4)))</formula>
    </cfRule>
    <cfRule type="containsText" dxfId="35" priority="88" operator="containsText" text="green">
      <formula>NOT(ISERROR(SEARCH("green",C4)))</formula>
    </cfRule>
    <cfRule type="containsText" dxfId="34" priority="87" operator="containsText" text="yellow">
      <formula>NOT(ISERROR(SEARCH("yellow",C4)))</formula>
    </cfRule>
  </conditionalFormatting>
  <conditionalFormatting sqref="E2:E5 C1 E11 E13:E47 E75:E78 E106:E131 E133:E1048576">
    <cfRule type="containsText" dxfId="33" priority="92" operator="containsText" text="violet">
      <formula>NOT(ISERROR(SEARCH("violet",C1)))</formula>
    </cfRule>
  </conditionalFormatting>
  <conditionalFormatting sqref="F4:H4 N4:XFD4">
    <cfRule type="containsText" dxfId="32" priority="48" operator="containsText" text="yellow">
      <formula>NOT(ISERROR(SEARCH("yellow",F4)))</formula>
    </cfRule>
    <cfRule type="containsText" dxfId="31" priority="49" operator="containsText" text="green">
      <formula>NOT(ISERROR(SEARCH("green",F4)))</formula>
    </cfRule>
    <cfRule type="containsText" dxfId="30" priority="50" operator="containsText" text="black">
      <formula>NOT(ISERROR(SEARCH("black",F4)))</formula>
    </cfRule>
    <cfRule type="containsText" dxfId="29" priority="51" operator="containsText" text="violet">
      <formula>NOT(ISERROR(SEARCH("violet",F4)))</formula>
    </cfRule>
    <cfRule type="containsText" dxfId="28" priority="52" operator="containsText" text="Blue">
      <formula>NOT(ISERROR(SEARCH("Blue",F4)))</formula>
    </cfRule>
  </conditionalFormatting>
  <conditionalFormatting sqref="F4:H4">
    <cfRule type="containsText" dxfId="27" priority="2" operator="containsText" text="yellow">
      <formula>NOT(ISERROR(SEARCH("yellow",F4)))</formula>
    </cfRule>
    <cfRule type="containsText" dxfId="26" priority="3" operator="containsText" text="green">
      <formula>NOT(ISERROR(SEARCH("green",F4)))</formula>
    </cfRule>
    <cfRule type="containsText" dxfId="25" priority="4" operator="containsText" text="black">
      <formula>NOT(ISERROR(SEARCH("black",F4)))</formula>
    </cfRule>
    <cfRule type="containsText" dxfId="24" priority="5" operator="containsText" text="violet">
      <formula>NOT(ISERROR(SEARCH("violet",F4)))</formula>
    </cfRule>
    <cfRule type="containsText" dxfId="23" priority="6" operator="containsText" text="Blue">
      <formula>NOT(ISERROR(SEARCH("Blue",F4)))</formula>
    </cfRule>
  </conditionalFormatting>
  <conditionalFormatting sqref="F4:N4">
    <cfRule type="containsText" dxfId="22" priority="47" operator="containsText" text="Ocean">
      <formula>NOT(ISERROR(SEARCH("Ocean",F4)))</formula>
    </cfRule>
  </conditionalFormatting>
  <conditionalFormatting sqref="F111:N111">
    <cfRule type="containsText" dxfId="21" priority="65" operator="containsText" text="Ocean">
      <formula>NOT(ISERROR(SEARCH("Ocean",F111)))</formula>
    </cfRule>
    <cfRule type="containsText" dxfId="20" priority="66" operator="containsText" text="yellow">
      <formula>NOT(ISERROR(SEARCH("yellow",F111)))</formula>
    </cfRule>
    <cfRule type="containsText" dxfId="19" priority="67" operator="containsText" text="green">
      <formula>NOT(ISERROR(SEARCH("green",F111)))</formula>
    </cfRule>
    <cfRule type="containsText" dxfId="18" priority="68" operator="containsText" text="black">
      <formula>NOT(ISERROR(SEARCH("black",F111)))</formula>
    </cfRule>
    <cfRule type="containsText" dxfId="17" priority="70" operator="containsText" text="Blue">
      <formula>NOT(ISERROR(SEARCH("Blue",F111)))</formula>
    </cfRule>
    <cfRule type="containsText" dxfId="16" priority="69" operator="containsText" text="violet">
      <formula>NOT(ISERROR(SEARCH("violet",F111)))</formula>
    </cfRule>
  </conditionalFormatting>
  <conditionalFormatting sqref="I4:M4">
    <cfRule type="containsText" dxfId="15" priority="31" operator="containsText" text="Blue">
      <formula>NOT(ISERROR(SEARCH("Blue",I4)))</formula>
    </cfRule>
    <cfRule type="containsText" dxfId="14" priority="29" operator="containsText" text="black">
      <formula>NOT(ISERROR(SEARCH("black",I4)))</formula>
    </cfRule>
    <cfRule type="containsText" dxfId="13" priority="28" operator="containsText" text="green">
      <formula>NOT(ISERROR(SEARCH("green",I4)))</formula>
    </cfRule>
    <cfRule type="containsText" dxfId="12" priority="30" operator="containsText" text="violet">
      <formula>NOT(ISERROR(SEARCH("violet",I4)))</formula>
    </cfRule>
    <cfRule type="containsText" dxfId="11" priority="27" operator="containsText" text="yellow">
      <formula>NOT(ISERROR(SEARCH("yellow",I4)))</formula>
    </cfRule>
  </conditionalFormatting>
  <conditionalFormatting sqref="J4:K4">
    <cfRule type="containsText" dxfId="10" priority="18" operator="containsText" text="green">
      <formula>NOT(ISERROR(SEARCH("green",J4)))</formula>
    </cfRule>
    <cfRule type="containsText" dxfId="9" priority="21" operator="containsText" text="Blue">
      <formula>NOT(ISERROR(SEARCH("Blue",J4)))</formula>
    </cfRule>
    <cfRule type="containsText" dxfId="8" priority="20" operator="containsText" text="violet">
      <formula>NOT(ISERROR(SEARCH("violet",J4)))</formula>
    </cfRule>
    <cfRule type="containsText" dxfId="7" priority="19" operator="containsText" text="black">
      <formula>NOT(ISERROR(SEARCH("black",J4)))</formula>
    </cfRule>
    <cfRule type="containsText" dxfId="6" priority="17" operator="containsText" text="yellow">
      <formula>NOT(ISERROR(SEARCH("yellow",J4)))</formula>
    </cfRule>
  </conditionalFormatting>
  <conditionalFormatting sqref="M4">
    <cfRule type="containsText" dxfId="5" priority="12" operator="containsText" text="yellow">
      <formula>NOT(ISERROR(SEARCH("yellow",M4)))</formula>
    </cfRule>
    <cfRule type="containsText" dxfId="4" priority="16" operator="containsText" text="Blue">
      <formula>NOT(ISERROR(SEARCH("Blue",M4)))</formula>
    </cfRule>
    <cfRule type="containsText" dxfId="3" priority="15" operator="containsText" text="violet">
      <formula>NOT(ISERROR(SEARCH("violet",M4)))</formula>
    </cfRule>
    <cfRule type="containsText" dxfId="2" priority="14" operator="containsText" text="black">
      <formula>NOT(ISERROR(SEARCH("black",M4)))</formula>
    </cfRule>
    <cfRule type="containsText" dxfId="1" priority="13" operator="containsText" text="green">
      <formula>NOT(ISERROR(SEARCH("green",M4)))</formula>
    </cfRule>
  </conditionalFormatting>
  <conditionalFormatting sqref="O1:O1048576">
    <cfRule type="containsText" dxfId="0" priority="1" operator="containsText" text="error">
      <formula>NOT(ISERROR(SEARCH("error",O1)))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0000000}">
          <x14:formula1>
            <xm:f>Info!$H$4:$H$20</xm:f>
          </x14:formula1>
          <xm:sqref>F10:M10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P194"/>
  <sheetViews>
    <sheetView showGridLines="0" zoomScale="90" zoomScaleNormal="90" workbookViewId="0">
      <pane xSplit="2" ySplit="4" topLeftCell="AB171" activePane="bottomRight" state="frozen"/>
      <selection pane="topRight"/>
      <selection pane="bottomLeft"/>
      <selection pane="bottomRight" activeCell="A174" sqref="A174:AN180"/>
    </sheetView>
  </sheetViews>
  <sheetFormatPr defaultColWidth="8.75" defaultRowHeight="15" customHeight="1" outlineLevelCol="1"/>
  <cols>
    <col min="1" max="1" width="10.5" style="1" customWidth="1"/>
    <col min="2" max="2" width="46.25" style="11" customWidth="1"/>
    <col min="3" max="3" width="11.375" style="11" customWidth="1"/>
    <col min="4" max="4" width="9.875" style="11" customWidth="1"/>
    <col min="5" max="5" width="14.25" style="11" customWidth="1"/>
    <col min="6" max="6" width="9.375" style="11" customWidth="1"/>
    <col min="7" max="8" width="10.75" style="11" customWidth="1"/>
    <col min="9" max="9" width="9.125" style="11" customWidth="1"/>
    <col min="10" max="10" width="13.375" style="11" customWidth="1"/>
    <col min="11" max="12" width="8.75" style="11" customWidth="1"/>
    <col min="13" max="13" width="10.875" style="11" customWidth="1"/>
    <col min="14" max="14" width="10.25" style="11" hidden="1" customWidth="1"/>
    <col min="15" max="15" width="10.875" style="11" hidden="1" customWidth="1"/>
    <col min="16" max="16" width="9.875" style="11" hidden="1" customWidth="1"/>
    <col min="17" max="18" width="8.75" style="11" customWidth="1"/>
    <col min="19" max="20" width="10.875" style="11" customWidth="1"/>
    <col min="21" max="21" width="9.125" style="538" customWidth="1"/>
    <col min="22" max="22" width="12.375" style="11" customWidth="1"/>
    <col min="23" max="23" width="9.625" style="11" customWidth="1"/>
    <col min="24" max="24" width="8.75" style="392" customWidth="1"/>
    <col min="25" max="25" width="11.5" style="11" customWidth="1"/>
    <col min="26" max="26" width="9.625" style="11" customWidth="1"/>
    <col min="27" max="27" width="8.75" style="392" customWidth="1"/>
    <col min="28" max="28" width="12.25" style="11" customWidth="1"/>
    <col min="29" max="29" width="9.625" style="11" customWidth="1" outlineLevel="1"/>
    <col min="30" max="30" width="8.75" style="11" customWidth="1" outlineLevel="1"/>
    <col min="31" max="31" width="12.25" style="11" customWidth="1" outlineLevel="1"/>
    <col min="32" max="32" width="9.625" style="11" customWidth="1" outlineLevel="1"/>
    <col min="33" max="33" width="8.75" style="11" customWidth="1" outlineLevel="1"/>
    <col min="34" max="34" width="12.25" style="11" customWidth="1" outlineLevel="1"/>
    <col min="35" max="35" width="9.625" style="11" customWidth="1" outlineLevel="1"/>
    <col min="36" max="36" width="8.75" style="11" customWidth="1" outlineLevel="1"/>
    <col min="37" max="37" width="12.25" style="11" customWidth="1" outlineLevel="1"/>
    <col min="38" max="38" width="10.875" style="11" customWidth="1"/>
    <col min="39" max="39" width="9.375" style="11" customWidth="1"/>
    <col min="40" max="40" width="11.875" style="11" customWidth="1"/>
    <col min="41" max="41" width="12.25" style="11" bestFit="1" customWidth="1"/>
    <col min="42" max="42" width="10" style="11" bestFit="1" customWidth="1"/>
    <col min="43" max="16384" width="8.75" style="11"/>
  </cols>
  <sheetData>
    <row r="1" spans="1:41" s="1" customFormat="1" ht="19.149999999999999" customHeight="1" thickBot="1">
      <c r="A1" s="111" t="s">
        <v>733</v>
      </c>
      <c r="C1" s="112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529"/>
      <c r="V1" s="113"/>
      <c r="W1" s="113"/>
      <c r="X1" s="516"/>
      <c r="Y1" s="113"/>
      <c r="Z1" s="113"/>
      <c r="AA1" s="516"/>
      <c r="AB1" s="113"/>
      <c r="AC1" s="346" t="s">
        <v>629</v>
      </c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 spans="1:41" s="106" customFormat="1" ht="15" customHeight="1">
      <c r="A2" s="114"/>
      <c r="B2" s="115"/>
      <c r="C2" s="116" t="s">
        <v>734</v>
      </c>
      <c r="D2" s="117"/>
      <c r="E2" s="118"/>
      <c r="F2" s="340" t="s">
        <v>609</v>
      </c>
      <c r="G2" s="119"/>
      <c r="H2" s="120" t="s">
        <v>735</v>
      </c>
      <c r="I2" s="120"/>
      <c r="J2" s="144"/>
      <c r="K2" s="145" t="s">
        <v>736</v>
      </c>
      <c r="L2" s="146"/>
      <c r="M2" s="146"/>
      <c r="N2" s="146"/>
      <c r="O2" s="146"/>
      <c r="P2" s="146"/>
      <c r="Q2" s="146"/>
      <c r="R2" s="146"/>
      <c r="S2" s="163"/>
      <c r="T2" s="428" t="s">
        <v>737</v>
      </c>
      <c r="U2" s="530"/>
      <c r="V2" s="429"/>
      <c r="W2" s="164" t="s">
        <v>738</v>
      </c>
      <c r="X2" s="517"/>
      <c r="Y2" s="165"/>
      <c r="Z2" s="165"/>
      <c r="AA2" s="517"/>
      <c r="AB2" s="165"/>
      <c r="AC2" s="165"/>
      <c r="AD2" s="165"/>
      <c r="AE2" s="165"/>
      <c r="AF2" s="165"/>
      <c r="AG2" s="165"/>
      <c r="AH2" s="165"/>
      <c r="AI2" s="165"/>
      <c r="AJ2" s="165"/>
      <c r="AK2" s="174"/>
      <c r="AL2" s="433" t="s">
        <v>739</v>
      </c>
      <c r="AM2" s="434"/>
      <c r="AN2" s="438"/>
    </row>
    <row r="3" spans="1:41" s="106" customFormat="1" ht="15" customHeight="1">
      <c r="A3" s="121"/>
      <c r="B3" s="122"/>
      <c r="C3" s="123"/>
      <c r="D3" s="124"/>
      <c r="E3" s="125"/>
      <c r="F3" s="126"/>
      <c r="G3" s="127"/>
      <c r="H3" s="128"/>
      <c r="I3" s="128"/>
      <c r="J3" s="147"/>
      <c r="K3" s="148" t="s">
        <v>740</v>
      </c>
      <c r="L3" s="149"/>
      <c r="M3" s="149"/>
      <c r="N3" s="150" t="s">
        <v>741</v>
      </c>
      <c r="O3" s="149"/>
      <c r="P3" s="151"/>
      <c r="Q3" s="150" t="s">
        <v>168</v>
      </c>
      <c r="R3" s="149"/>
      <c r="S3" s="166"/>
      <c r="T3" s="430"/>
      <c r="U3" s="531"/>
      <c r="V3" s="431"/>
      <c r="W3" s="148" t="s">
        <v>740</v>
      </c>
      <c r="X3" s="518"/>
      <c r="Y3" s="151"/>
      <c r="Z3" s="172" t="s">
        <v>168</v>
      </c>
      <c r="AA3" s="527"/>
      <c r="AB3" s="173"/>
      <c r="AC3" s="419" t="s">
        <v>742</v>
      </c>
      <c r="AD3" s="420"/>
      <c r="AE3" s="420"/>
      <c r="AF3" s="419" t="s">
        <v>743</v>
      </c>
      <c r="AG3" s="420"/>
      <c r="AH3" s="421"/>
      <c r="AI3" s="420" t="s">
        <v>744</v>
      </c>
      <c r="AJ3" s="420"/>
      <c r="AK3" s="422"/>
      <c r="AL3" s="435"/>
      <c r="AM3" s="436"/>
      <c r="AN3" s="439"/>
    </row>
    <row r="4" spans="1:41" s="107" customFormat="1" ht="25.5" customHeight="1">
      <c r="A4" s="129" t="s">
        <v>169</v>
      </c>
      <c r="B4" s="130" t="s">
        <v>3</v>
      </c>
      <c r="C4" s="131" t="s">
        <v>170</v>
      </c>
      <c r="D4" s="132" t="s">
        <v>171</v>
      </c>
      <c r="E4" s="133" t="s">
        <v>172</v>
      </c>
      <c r="F4" s="131" t="s">
        <v>170</v>
      </c>
      <c r="G4" s="133" t="s">
        <v>172</v>
      </c>
      <c r="H4" s="134" t="s">
        <v>170</v>
      </c>
      <c r="I4" s="152" t="s">
        <v>171</v>
      </c>
      <c r="J4" s="153" t="s">
        <v>172</v>
      </c>
      <c r="K4" s="154" t="s">
        <v>170</v>
      </c>
      <c r="L4" s="155" t="s">
        <v>171</v>
      </c>
      <c r="M4" s="134" t="s">
        <v>172</v>
      </c>
      <c r="N4" s="156" t="s">
        <v>170</v>
      </c>
      <c r="O4" s="134" t="s">
        <v>171</v>
      </c>
      <c r="P4" s="157" t="s">
        <v>172</v>
      </c>
      <c r="Q4" s="167" t="s">
        <v>170</v>
      </c>
      <c r="R4" s="155" t="s">
        <v>171</v>
      </c>
      <c r="S4" s="153" t="s">
        <v>172</v>
      </c>
      <c r="T4" s="154" t="s">
        <v>170</v>
      </c>
      <c r="U4" s="532" t="s">
        <v>171</v>
      </c>
      <c r="V4" s="153" t="s">
        <v>172</v>
      </c>
      <c r="W4" s="168" t="s">
        <v>170</v>
      </c>
      <c r="X4" s="519" t="s">
        <v>171</v>
      </c>
      <c r="Y4" s="132" t="s">
        <v>172</v>
      </c>
      <c r="Z4" s="157" t="s">
        <v>170</v>
      </c>
      <c r="AA4" s="519" t="s">
        <v>171</v>
      </c>
      <c r="AB4" s="156" t="s">
        <v>172</v>
      </c>
      <c r="AC4" s="423" t="s">
        <v>170</v>
      </c>
      <c r="AD4" s="423" t="s">
        <v>171</v>
      </c>
      <c r="AE4" s="424" t="s">
        <v>172</v>
      </c>
      <c r="AF4" s="423" t="s">
        <v>170</v>
      </c>
      <c r="AG4" s="423" t="s">
        <v>171</v>
      </c>
      <c r="AH4" s="423" t="s">
        <v>172</v>
      </c>
      <c r="AI4" s="425" t="s">
        <v>170</v>
      </c>
      <c r="AJ4" s="423" t="s">
        <v>171</v>
      </c>
      <c r="AK4" s="426" t="s">
        <v>172</v>
      </c>
      <c r="AL4" s="175" t="s">
        <v>170</v>
      </c>
      <c r="AM4" s="132" t="s">
        <v>171</v>
      </c>
      <c r="AN4" s="176" t="s">
        <v>172</v>
      </c>
    </row>
    <row r="5" spans="1:41" s="108" customFormat="1" ht="15" customHeight="1">
      <c r="A5" s="135" t="s">
        <v>173</v>
      </c>
      <c r="B5" s="573" t="s">
        <v>174</v>
      </c>
      <c r="C5" s="136">
        <f>SUMIF('Che-Store'!A:A,Used_before_Trf!A5,'Che-Store'!AC:AC)+SUMIF('Che-Comp'!A:A,Used_before_Trf!A5,'Che-Comp'!AC:AC)</f>
        <v>0</v>
      </c>
      <c r="D5" s="137">
        <f t="shared" ref="D5" si="0">IFERROR(E5/C5,0)</f>
        <v>0</v>
      </c>
      <c r="E5" s="138">
        <f>SUMIF('Che-Store'!A:A,Used_before_Trf!A5,'Che-Store'!AE:AE)+SUMIF('Che-Comp'!A:A,Used_before_Trf!A5,'Che-Comp'!AE:AE)</f>
        <v>0</v>
      </c>
      <c r="F5" s="136">
        <f>SUMIFS('Che-Comp'!F:F,'Che-Comp'!$A:$A,Used_before_Trf!$A5)</f>
        <v>0</v>
      </c>
      <c r="G5" s="138">
        <f>SUMIFS('Che-Comp'!G:G,'Che-Comp'!$A:$A,Used_before_Trf!$A5)</f>
        <v>0</v>
      </c>
      <c r="H5" s="137">
        <f t="shared" ref="H5" si="1">C5-F5</f>
        <v>0</v>
      </c>
      <c r="I5" s="137">
        <f t="shared" ref="I5" si="2">IFERROR(J5/H5,0)</f>
        <v>0</v>
      </c>
      <c r="J5" s="137">
        <f t="shared" ref="J5" si="3">E5-G5</f>
        <v>0</v>
      </c>
      <c r="K5" s="158">
        <f>SUMIF('Che.-Prod'!A:A,Used_before_Trf!A5,'Che.-Prod'!D:D)</f>
        <v>0</v>
      </c>
      <c r="L5" s="137">
        <f t="shared" ref="L5" si="4">IFERROR(M5/K5,0)</f>
        <v>0</v>
      </c>
      <c r="M5" s="159">
        <f>SUMIF('Che.-Prod'!A:A,Used_before_Trf!A5,'Che.-Prod'!F:F)</f>
        <v>0</v>
      </c>
      <c r="N5" s="160">
        <f>SUMIF('Che.-Prod'!A:A,Used_before_Trf!A5,'Che.-Prod'!G:G)</f>
        <v>0</v>
      </c>
      <c r="O5" s="161">
        <f t="shared" ref="O5" si="5">IF(N5=0,0,P5/N5)</f>
        <v>0</v>
      </c>
      <c r="P5" s="162">
        <f>SUMIF('Che.-Prod'!A:A,Used_before_Trf!A5,'Che.-Prod'!H:H)</f>
        <v>0</v>
      </c>
      <c r="Q5" s="160">
        <f>SUMIF('Che.-Prod'!A:A,Used_before_Trf!A5,'Che.-Prod'!P:P)</f>
        <v>0</v>
      </c>
      <c r="R5" s="161">
        <f t="shared" ref="R5" si="6">IF(Q5=0,0,S5/Q5)</f>
        <v>0</v>
      </c>
      <c r="S5" s="159">
        <f>SUMIF('Che.-Prod'!A:A,Used_before_Trf!A5,'Che.-Prod'!R:R)</f>
        <v>0</v>
      </c>
      <c r="T5" s="169">
        <f t="shared" ref="T5" si="7">H5+K5+N5-Q5</f>
        <v>0</v>
      </c>
      <c r="U5" s="507">
        <f t="shared" ref="U5" si="8">IF(T5=0,0,V5/T5)</f>
        <v>0</v>
      </c>
      <c r="V5" s="170">
        <f t="shared" ref="V5" si="9">J5+M5+P5-S5</f>
        <v>0</v>
      </c>
      <c r="W5" s="158">
        <f>SUMIF('CHE-last month'!$A:$A,Used_before_Trf!A5,'CHE-last month'!C:C)</f>
        <v>0</v>
      </c>
      <c r="X5" s="520">
        <f t="shared" ref="X5" si="10">IF(W5=0,0,Y5/W5)</f>
        <v>0</v>
      </c>
      <c r="Y5" s="162">
        <f>SUMIF('CHE-last month'!$A:$A,Used_before_Trf!A5,'CHE-last month'!E:E)</f>
        <v>0</v>
      </c>
      <c r="Z5" s="159">
        <f t="shared" ref="Z5" si="11">+AC5+AF5+AI5</f>
        <v>0</v>
      </c>
      <c r="AA5" s="520">
        <f t="shared" ref="AA5" si="12">IF(Z5=0,0,AB5/Z5)</f>
        <v>0</v>
      </c>
      <c r="AB5" s="159">
        <f t="shared" ref="AB5" si="13">+AE5+AH5+AK5</f>
        <v>0</v>
      </c>
      <c r="AC5" s="160">
        <f>SUMIFS(BalCom!M:M,BalCom!N:N,Used_before_Trf!A5,BalCom!C:C,Used_before_Trf!$AC$1)</f>
        <v>0</v>
      </c>
      <c r="AD5" s="171">
        <f t="shared" ref="AD5" si="14">IF(AC5=0,0,AE5/AC5)</f>
        <v>0</v>
      </c>
      <c r="AE5" s="159">
        <f>SUMIFS(BalCom!P:P,BalCom!N:N,Used_before_Trf!A5,BalCom!C:C,Used_before_Trf!$AC$1)</f>
        <v>0</v>
      </c>
      <c r="AF5" s="160">
        <f>SUMIFS(BalDis!I:I,BalDis!J:J,Used_before_Trf!A5)</f>
        <v>0</v>
      </c>
      <c r="AG5" s="171">
        <f t="shared" ref="AG5" si="15">IF(AF5=0,0,AH5/AF5)</f>
        <v>0</v>
      </c>
      <c r="AH5" s="162">
        <f>SUMIFS(BalDis!L:L,BalDis!J:J,Used_before_Trf!A5)</f>
        <v>0</v>
      </c>
      <c r="AI5" s="159">
        <f>SUMIFS(BalDip!$N$49:$N$75,BalDip!$C$49:$C$75,Used_before_Trf!A5)+SUMIFS(BalDip!$N$134:$N$157,BalDip!$C$134:$C$157,Used_before_Trf!A5)</f>
        <v>0</v>
      </c>
      <c r="AJ5" s="171">
        <f t="shared" ref="AJ5" si="16">IF(AI5=0,0,AK5/AI5)</f>
        <v>0</v>
      </c>
      <c r="AK5" s="177">
        <f>SUMIFS(BalDip!$N$80:$N$106,BalDip!$C$80:$C$106,Used_before_Trf!A5)+SUMIFS(BalDip!$N$161:$N$184,BalDip!$C$161:$C$184,Used_before_Trf!A5)</f>
        <v>0</v>
      </c>
      <c r="AL5" s="178">
        <f t="shared" ref="AL5" si="17">+T5+W5-Z5</f>
        <v>0</v>
      </c>
      <c r="AM5" s="179">
        <f t="shared" ref="AM5" si="18">IF(AL5=0,0,AN5/AL5)</f>
        <v>0</v>
      </c>
      <c r="AN5" s="440">
        <f t="shared" ref="AN5" si="19">+V5+Y5-AB5</f>
        <v>0</v>
      </c>
    </row>
    <row r="6" spans="1:41" s="108" customFormat="1" ht="15" customHeight="1">
      <c r="A6" s="135" t="s">
        <v>175</v>
      </c>
      <c r="B6" s="573" t="s">
        <v>176</v>
      </c>
      <c r="C6" s="136">
        <f>SUMIF('Che-Store'!A:A,Used_before_Trf!A6,'Che-Store'!AC:AC)+SUMIF('Che-Comp'!A:A,Used_before_Trf!A6,'Che-Comp'!AC:AC)</f>
        <v>0</v>
      </c>
      <c r="D6" s="137">
        <f t="shared" ref="D6:D69" si="20">IFERROR(E6/C6,0)</f>
        <v>0</v>
      </c>
      <c r="E6" s="138">
        <f>SUMIF('Che-Store'!A:A,Used_before_Trf!A6,'Che-Store'!AE:AE)+SUMIF('Che-Comp'!A:A,Used_before_Trf!A6,'Che-Comp'!AE:AE)</f>
        <v>0</v>
      </c>
      <c r="F6" s="136">
        <f>SUMIFS('Che-Comp'!F:F,'Che-Comp'!$A:$A,Used_before_Trf!$A6)</f>
        <v>0</v>
      </c>
      <c r="G6" s="138">
        <f>SUMIFS('Che-Comp'!G:G,'Che-Comp'!$A:$A,Used_before_Trf!$A6)</f>
        <v>0</v>
      </c>
      <c r="H6" s="137">
        <f t="shared" ref="H6:H69" si="21">C6-F6</f>
        <v>0</v>
      </c>
      <c r="I6" s="137">
        <f t="shared" ref="I6:I69" si="22">IFERROR(J6/H6,0)</f>
        <v>0</v>
      </c>
      <c r="J6" s="137">
        <f t="shared" ref="J6:J69" si="23">E6-G6</f>
        <v>0</v>
      </c>
      <c r="K6" s="158">
        <f>SUMIF('Che.-Prod'!A:A,Used_before_Trf!A6,'Che.-Prod'!D:D)</f>
        <v>0</v>
      </c>
      <c r="L6" s="137">
        <f t="shared" ref="L6:L69" si="24">IFERROR(M6/K6,0)</f>
        <v>0</v>
      </c>
      <c r="M6" s="159">
        <f>SUMIF('Che.-Prod'!A:A,Used_before_Trf!A6,'Che.-Prod'!F:F)</f>
        <v>0</v>
      </c>
      <c r="N6" s="160">
        <f>SUMIF('Che.-Prod'!A:A,Used_before_Trf!A6,'Che.-Prod'!G:G)</f>
        <v>0</v>
      </c>
      <c r="O6" s="161">
        <f t="shared" ref="O6:O69" si="25">IF(N6=0,0,P6/N6)</f>
        <v>0</v>
      </c>
      <c r="P6" s="162">
        <f>SUMIF('Che.-Prod'!A:A,Used_before_Trf!A6,'Che.-Prod'!H:H)</f>
        <v>0</v>
      </c>
      <c r="Q6" s="160">
        <f>SUMIF('Che.-Prod'!A:A,Used_before_Trf!A6,'Che.-Prod'!P:P)</f>
        <v>0</v>
      </c>
      <c r="R6" s="161">
        <f t="shared" ref="R6:R69" si="26">IF(Q6=0,0,S6/Q6)</f>
        <v>0</v>
      </c>
      <c r="S6" s="159">
        <f>SUMIF('Che.-Prod'!A:A,Used_before_Trf!A6,'Che.-Prod'!R:R)</f>
        <v>0</v>
      </c>
      <c r="T6" s="169">
        <f t="shared" ref="T6:T69" si="27">H6+K6+N6-Q6</f>
        <v>0</v>
      </c>
      <c r="U6" s="507">
        <f t="shared" ref="U6:U69" si="28">IF(T6=0,0,V6/T6)</f>
        <v>0</v>
      </c>
      <c r="V6" s="170">
        <f t="shared" ref="V6:V69" si="29">J6+M6+P6-S6</f>
        <v>0</v>
      </c>
      <c r="W6" s="158">
        <f>SUMIF('CHE-last month'!$A:$A,Used_before_Trf!A6,'CHE-last month'!C:C)</f>
        <v>0</v>
      </c>
      <c r="X6" s="520">
        <f t="shared" ref="X6:X69" si="30">IF(W6=0,0,Y6/W6)</f>
        <v>0</v>
      </c>
      <c r="Y6" s="162">
        <f>SUMIF('CHE-last month'!$A:$A,Used_before_Trf!A6,'CHE-last month'!E:E)</f>
        <v>0</v>
      </c>
      <c r="Z6" s="159">
        <f t="shared" ref="Z6:Z69" si="31">+AC6+AF6+AI6</f>
        <v>0</v>
      </c>
      <c r="AA6" s="520">
        <f t="shared" ref="AA6:AA69" si="32">IF(Z6=0,0,AB6/Z6)</f>
        <v>0</v>
      </c>
      <c r="AB6" s="159">
        <f t="shared" ref="AB6:AB69" si="33">+AE6+AH6+AK6</f>
        <v>0</v>
      </c>
      <c r="AC6" s="160">
        <f>SUMIFS(BalCom!M:M,BalCom!N:N,Used_before_Trf!A6,BalCom!C:C,Used_before_Trf!$AC$1)</f>
        <v>0</v>
      </c>
      <c r="AD6" s="171">
        <f t="shared" ref="AD6:AD69" si="34">IF(AC6=0,0,AE6/AC6)</f>
        <v>0</v>
      </c>
      <c r="AE6" s="159">
        <f>SUMIFS(BalCom!P:P,BalCom!N:N,Used_before_Trf!A6,BalCom!C:C,Used_before_Trf!$AC$1)</f>
        <v>0</v>
      </c>
      <c r="AF6" s="160">
        <f>SUMIFS(BalDis!I:I,BalDis!J:J,Used_before_Trf!A6)</f>
        <v>0</v>
      </c>
      <c r="AG6" s="171">
        <f t="shared" ref="AG6:AG69" si="35">IF(AF6=0,0,AH6/AF6)</f>
        <v>0</v>
      </c>
      <c r="AH6" s="162">
        <f>SUMIFS(BalDis!L:L,BalDis!J:J,Used_before_Trf!A6)</f>
        <v>0</v>
      </c>
      <c r="AI6" s="159">
        <f>SUMIFS(BalDip!$N$49:$N$75,BalDip!$C$49:$C$75,Used_before_Trf!A6)+SUMIFS(BalDip!$N$134:$N$157,BalDip!$C$134:$C$157,Used_before_Trf!A6)</f>
        <v>0</v>
      </c>
      <c r="AJ6" s="171">
        <f t="shared" ref="AJ6:AJ69" si="36">IF(AI6=0,0,AK6/AI6)</f>
        <v>0</v>
      </c>
      <c r="AK6" s="177">
        <f>SUMIFS(BalDip!$N$80:$N$106,BalDip!$C$80:$C$106,Used_before_Trf!A6)+SUMIFS(BalDip!$N$161:$N$184,BalDip!$C$161:$C$184,Used_before_Trf!A6)</f>
        <v>0</v>
      </c>
      <c r="AL6" s="178">
        <f t="shared" ref="AL6:AL69" si="37">+T6+W6-Z6</f>
        <v>0</v>
      </c>
      <c r="AM6" s="179">
        <f t="shared" ref="AM6:AM69" si="38">IF(AL6=0,0,AN6/AL6)</f>
        <v>0</v>
      </c>
      <c r="AN6" s="440">
        <f t="shared" ref="AN6:AN69" si="39">+V6+Y6-AB6</f>
        <v>0</v>
      </c>
    </row>
    <row r="7" spans="1:41" s="108" customFormat="1" ht="15" customHeight="1">
      <c r="A7" s="135" t="s">
        <v>177</v>
      </c>
      <c r="B7" s="573" t="s">
        <v>178</v>
      </c>
      <c r="C7" s="136">
        <f>SUMIF('Che-Store'!A:A,Used_before_Trf!A7,'Che-Store'!AC:AC)+SUMIF('Che-Comp'!A:A,Used_before_Trf!A7,'Che-Comp'!AC:AC)</f>
        <v>0</v>
      </c>
      <c r="D7" s="137">
        <f t="shared" si="20"/>
        <v>0</v>
      </c>
      <c r="E7" s="138">
        <f>SUMIF('Che-Store'!A:A,Used_before_Trf!A7,'Che-Store'!AE:AE)+SUMIF('Che-Comp'!A:A,Used_before_Trf!A7,'Che-Comp'!AE:AE)</f>
        <v>0</v>
      </c>
      <c r="F7" s="136">
        <f>SUMIFS('Che-Comp'!F:F,'Che-Comp'!$A:$A,Used_before_Trf!$A7)</f>
        <v>0</v>
      </c>
      <c r="G7" s="138">
        <f>SUMIFS('Che-Comp'!G:G,'Che-Comp'!$A:$A,Used_before_Trf!$A7)</f>
        <v>0</v>
      </c>
      <c r="H7" s="137">
        <f t="shared" si="21"/>
        <v>0</v>
      </c>
      <c r="I7" s="137">
        <f t="shared" si="22"/>
        <v>0</v>
      </c>
      <c r="J7" s="137">
        <f t="shared" si="23"/>
        <v>0</v>
      </c>
      <c r="K7" s="158">
        <f>SUMIF('Che.-Prod'!A:A,Used_before_Trf!A7,'Che.-Prod'!D:D)</f>
        <v>0</v>
      </c>
      <c r="L7" s="137">
        <f t="shared" si="24"/>
        <v>0</v>
      </c>
      <c r="M7" s="159">
        <f>SUMIF('Che.-Prod'!A:A,Used_before_Trf!A7,'Che.-Prod'!F:F)</f>
        <v>0</v>
      </c>
      <c r="N7" s="160">
        <f>SUMIF('Che.-Prod'!A:A,Used_before_Trf!A7,'Che.-Prod'!G:G)</f>
        <v>0</v>
      </c>
      <c r="O7" s="161">
        <f t="shared" si="25"/>
        <v>0</v>
      </c>
      <c r="P7" s="162">
        <f>SUMIF('Che.-Prod'!A:A,Used_before_Trf!A7,'Che.-Prod'!H:H)</f>
        <v>0</v>
      </c>
      <c r="Q7" s="160">
        <f>SUMIF('Che.-Prod'!A:A,Used_before_Trf!A7,'Che.-Prod'!P:P)</f>
        <v>0</v>
      </c>
      <c r="R7" s="161">
        <f t="shared" si="26"/>
        <v>0</v>
      </c>
      <c r="S7" s="159">
        <f>SUMIF('Che.-Prod'!A:A,Used_before_Trf!A7,'Che.-Prod'!R:R)</f>
        <v>0</v>
      </c>
      <c r="T7" s="169">
        <f t="shared" si="27"/>
        <v>0</v>
      </c>
      <c r="U7" s="507">
        <f t="shared" si="28"/>
        <v>0</v>
      </c>
      <c r="V7" s="170">
        <f t="shared" si="29"/>
        <v>0</v>
      </c>
      <c r="W7" s="158">
        <f>SUMIF('CHE-last month'!$A:$A,Used_before_Trf!A7,'CHE-last month'!C:C)</f>
        <v>0</v>
      </c>
      <c r="X7" s="520">
        <f t="shared" si="30"/>
        <v>0</v>
      </c>
      <c r="Y7" s="162">
        <f>SUMIF('CHE-last month'!$A:$A,Used_before_Trf!A7,'CHE-last month'!E:E)</f>
        <v>0</v>
      </c>
      <c r="Z7" s="159">
        <f t="shared" si="31"/>
        <v>0</v>
      </c>
      <c r="AA7" s="520">
        <f t="shared" si="32"/>
        <v>0</v>
      </c>
      <c r="AB7" s="159">
        <f t="shared" si="33"/>
        <v>0</v>
      </c>
      <c r="AC7" s="160">
        <f>SUMIFS(BalCom!M:M,BalCom!N:N,Used_before_Trf!A7,BalCom!C:C,Used_before_Trf!$AC$1)</f>
        <v>0</v>
      </c>
      <c r="AD7" s="171">
        <f t="shared" si="34"/>
        <v>0</v>
      </c>
      <c r="AE7" s="159">
        <f>SUMIFS(BalCom!P:P,BalCom!N:N,Used_before_Trf!A7,BalCom!C:C,Used_before_Trf!$AC$1)</f>
        <v>0</v>
      </c>
      <c r="AF7" s="160">
        <f>SUMIFS(BalDis!I:I,BalDis!J:J,Used_before_Trf!A7)</f>
        <v>0</v>
      </c>
      <c r="AG7" s="171">
        <f t="shared" si="35"/>
        <v>0</v>
      </c>
      <c r="AH7" s="162">
        <f>SUMIFS(BalDis!L:L,BalDis!J:J,Used_before_Trf!A7)</f>
        <v>0</v>
      </c>
      <c r="AI7" s="159">
        <f>SUMIFS(BalDip!$N$49:$N$75,BalDip!$C$49:$C$75,Used_before_Trf!A7)+SUMIFS(BalDip!$N$134:$N$157,BalDip!$C$134:$C$157,Used_before_Trf!A7)</f>
        <v>0</v>
      </c>
      <c r="AJ7" s="171">
        <f t="shared" si="36"/>
        <v>0</v>
      </c>
      <c r="AK7" s="177">
        <f>SUMIFS(BalDip!$N$80:$N$106,BalDip!$C$80:$C$106,Used_before_Trf!A7)+SUMIFS(BalDip!$N$161:$N$184,BalDip!$C$161:$C$184,Used_before_Trf!A7)</f>
        <v>0</v>
      </c>
      <c r="AL7" s="178">
        <f t="shared" si="37"/>
        <v>0</v>
      </c>
      <c r="AM7" s="179">
        <f t="shared" si="38"/>
        <v>0</v>
      </c>
      <c r="AN7" s="440">
        <f t="shared" si="39"/>
        <v>0</v>
      </c>
      <c r="AO7" s="180">
        <f>AM7-U7</f>
        <v>0</v>
      </c>
    </row>
    <row r="8" spans="1:41" s="108" customFormat="1" ht="15" customHeight="1">
      <c r="A8" s="135" t="s">
        <v>179</v>
      </c>
      <c r="B8" s="573" t="s">
        <v>180</v>
      </c>
      <c r="C8" s="136">
        <f>SUMIF('Che-Store'!A:A,Used_before_Trf!A8,'Che-Store'!AC:AC)+SUMIF('Che-Comp'!A:A,Used_before_Trf!A8,'Che-Comp'!AC:AC)</f>
        <v>0</v>
      </c>
      <c r="D8" s="137">
        <f t="shared" si="20"/>
        <v>0</v>
      </c>
      <c r="E8" s="138">
        <f>SUMIF('Che-Store'!A:A,Used_before_Trf!A8,'Che-Store'!AE:AE)+SUMIF('Che-Comp'!A:A,Used_before_Trf!A8,'Che-Comp'!AE:AE)</f>
        <v>0</v>
      </c>
      <c r="F8" s="136">
        <f>SUMIFS('Che-Comp'!F:F,'Che-Comp'!$A:$A,Used_before_Trf!$A8)</f>
        <v>0</v>
      </c>
      <c r="G8" s="138">
        <f>SUMIFS('Che-Comp'!G:G,'Che-Comp'!$A:$A,Used_before_Trf!$A8)</f>
        <v>0</v>
      </c>
      <c r="H8" s="137">
        <f t="shared" si="21"/>
        <v>0</v>
      </c>
      <c r="I8" s="137">
        <f t="shared" si="22"/>
        <v>0</v>
      </c>
      <c r="J8" s="137">
        <f t="shared" si="23"/>
        <v>0</v>
      </c>
      <c r="K8" s="158">
        <f>SUMIF('Che.-Prod'!A:A,Used_before_Trf!A8,'Che.-Prod'!D:D)</f>
        <v>0</v>
      </c>
      <c r="L8" s="137">
        <f t="shared" si="24"/>
        <v>0</v>
      </c>
      <c r="M8" s="159">
        <f>SUMIF('Che.-Prod'!A:A,Used_before_Trf!A8,'Che.-Prod'!F:F)</f>
        <v>0</v>
      </c>
      <c r="N8" s="160">
        <f>SUMIF('Che.-Prod'!A:A,Used_before_Trf!A8,'Che.-Prod'!G:G)</f>
        <v>0</v>
      </c>
      <c r="O8" s="161">
        <f t="shared" si="25"/>
        <v>0</v>
      </c>
      <c r="P8" s="162">
        <f>SUMIF('Che.-Prod'!A:A,Used_before_Trf!A8,'Che.-Prod'!H:H)</f>
        <v>0</v>
      </c>
      <c r="Q8" s="160">
        <f>SUMIF('Che.-Prod'!A:A,Used_before_Trf!A8,'Che.-Prod'!P:P)</f>
        <v>0</v>
      </c>
      <c r="R8" s="161">
        <f t="shared" si="26"/>
        <v>0</v>
      </c>
      <c r="S8" s="159">
        <f>SUMIF('Che.-Prod'!A:A,Used_before_Trf!A8,'Che.-Prod'!R:R)</f>
        <v>0</v>
      </c>
      <c r="T8" s="169">
        <f t="shared" si="27"/>
        <v>0</v>
      </c>
      <c r="U8" s="507">
        <f t="shared" si="28"/>
        <v>0</v>
      </c>
      <c r="V8" s="170">
        <f t="shared" si="29"/>
        <v>0</v>
      </c>
      <c r="W8" s="158">
        <f>SUMIF('CHE-last month'!$A:$A,Used_before_Trf!A8,'CHE-last month'!C:C)</f>
        <v>0</v>
      </c>
      <c r="X8" s="520">
        <f t="shared" si="30"/>
        <v>0</v>
      </c>
      <c r="Y8" s="162">
        <f>SUMIF('CHE-last month'!$A:$A,Used_before_Trf!A8,'CHE-last month'!E:E)</f>
        <v>0</v>
      </c>
      <c r="Z8" s="159">
        <f t="shared" si="31"/>
        <v>0</v>
      </c>
      <c r="AA8" s="520">
        <f t="shared" si="32"/>
        <v>0</v>
      </c>
      <c r="AB8" s="159">
        <f t="shared" si="33"/>
        <v>0</v>
      </c>
      <c r="AC8" s="160">
        <f>SUMIFS(BalCom!M:M,BalCom!N:N,Used_before_Trf!A8,BalCom!C:C,Used_before_Trf!$AC$1)</f>
        <v>0</v>
      </c>
      <c r="AD8" s="171">
        <f t="shared" si="34"/>
        <v>0</v>
      </c>
      <c r="AE8" s="159">
        <f>SUMIFS(BalCom!P:P,BalCom!N:N,Used_before_Trf!A8,BalCom!C:C,Used_before_Trf!$AC$1)</f>
        <v>0</v>
      </c>
      <c r="AF8" s="160">
        <f>SUMIFS(BalDis!I:I,BalDis!J:J,Used_before_Trf!A8)</f>
        <v>0</v>
      </c>
      <c r="AG8" s="171">
        <f t="shared" si="35"/>
        <v>0</v>
      </c>
      <c r="AH8" s="162">
        <f>SUMIFS(BalDis!L:L,BalDis!J:J,Used_before_Trf!A8)</f>
        <v>0</v>
      </c>
      <c r="AI8" s="159">
        <f>SUMIFS(BalDip!$N$49:$N$75,BalDip!$C$49:$C$75,Used_before_Trf!A8)+SUMIFS(BalDip!$N$134:$N$157,BalDip!$C$134:$C$157,Used_before_Trf!A8)</f>
        <v>0</v>
      </c>
      <c r="AJ8" s="171">
        <f t="shared" si="36"/>
        <v>0</v>
      </c>
      <c r="AK8" s="177">
        <f>SUMIFS(BalDip!$N$80:$N$106,BalDip!$C$80:$C$106,Used_before_Trf!A8)+SUMIFS(BalDip!$N$161:$N$184,BalDip!$C$161:$C$184,Used_before_Trf!A8)</f>
        <v>0</v>
      </c>
      <c r="AL8" s="178">
        <f t="shared" si="37"/>
        <v>0</v>
      </c>
      <c r="AM8" s="179">
        <f t="shared" si="38"/>
        <v>0</v>
      </c>
      <c r="AN8" s="440">
        <f t="shared" si="39"/>
        <v>0</v>
      </c>
      <c r="AO8" s="180">
        <f t="shared" ref="AO8:AO71" si="40">AM8-U8</f>
        <v>0</v>
      </c>
    </row>
    <row r="9" spans="1:41" s="566" customFormat="1" ht="15" customHeight="1">
      <c r="A9" s="554" t="s">
        <v>181</v>
      </c>
      <c r="B9" s="574" t="s">
        <v>182</v>
      </c>
      <c r="C9" s="555">
        <f>SUMIF('Che-Store'!A:A,Used_before_Trf!A9,'Che-Store'!AC:AC)+SUMIF('Che-Comp'!A:A,Used_before_Trf!A9,'Che-Comp'!AC:AC)</f>
        <v>20.149999999999999</v>
      </c>
      <c r="D9" s="181">
        <f t="shared" si="20"/>
        <v>32.57468982630273</v>
      </c>
      <c r="E9" s="556">
        <f>SUMIF('Che-Store'!A:A,Used_before_Trf!A9,'Che-Store'!AE:AE)+SUMIF('Che-Comp'!A:A,Used_before_Trf!A9,'Che-Comp'!AE:AE)</f>
        <v>656.38</v>
      </c>
      <c r="F9" s="555">
        <f>SUMIFS('Che-Comp'!F:F,'Che-Comp'!$A:$A,Used_before_Trf!$A9)</f>
        <v>0</v>
      </c>
      <c r="G9" s="556">
        <f>SUMIFS('Che-Comp'!G:G,'Che-Comp'!$A:$A,Used_before_Trf!$A9)</f>
        <v>0</v>
      </c>
      <c r="H9" s="181">
        <f t="shared" si="21"/>
        <v>20.149999999999999</v>
      </c>
      <c r="I9" s="181">
        <f t="shared" si="22"/>
        <v>32.57468982630273</v>
      </c>
      <c r="J9" s="181">
        <f t="shared" si="23"/>
        <v>656.38</v>
      </c>
      <c r="K9" s="555">
        <f>SUMIF('Che.-Prod'!A:A,Used_before_Trf!A9,'Che.-Prod'!D:D)</f>
        <v>0</v>
      </c>
      <c r="L9" s="181">
        <f t="shared" si="24"/>
        <v>0</v>
      </c>
      <c r="M9" s="181">
        <f>SUMIF('Che.-Prod'!A:A,Used_before_Trf!A9,'Che.-Prod'!F:F)</f>
        <v>0</v>
      </c>
      <c r="N9" s="557">
        <f>SUMIF('Che.-Prod'!A:A,Used_before_Trf!A9,'Che.-Prod'!G:G)</f>
        <v>0</v>
      </c>
      <c r="O9" s="558">
        <f t="shared" si="25"/>
        <v>0</v>
      </c>
      <c r="P9" s="559">
        <f>SUMIF('Che.-Prod'!A:A,Used_before_Trf!A9,'Che.-Prod'!H:H)</f>
        <v>0</v>
      </c>
      <c r="Q9" s="557">
        <f>SUMIF('Che.-Prod'!A:A,Used_before_Trf!A9,'Che.-Prod'!P:P)</f>
        <v>0</v>
      </c>
      <c r="R9" s="558">
        <f t="shared" si="26"/>
        <v>0</v>
      </c>
      <c r="S9" s="181">
        <f>SUMIF('Che.-Prod'!A:A,Used_before_Trf!A9,'Che.-Prod'!R:R)</f>
        <v>0</v>
      </c>
      <c r="T9" s="560">
        <f t="shared" si="27"/>
        <v>20.149999999999999</v>
      </c>
      <c r="U9" s="507">
        <f t="shared" si="28"/>
        <v>32.57468982630273</v>
      </c>
      <c r="V9" s="561">
        <f t="shared" si="29"/>
        <v>656.38</v>
      </c>
      <c r="W9" s="555">
        <f>SUMIF('CHE-last month'!$A:$A,Used_before_Trf!A9,'CHE-last month'!C:C)</f>
        <v>24.103641697408854</v>
      </c>
      <c r="X9" s="507">
        <f t="shared" si="30"/>
        <v>25.550081092775454</v>
      </c>
      <c r="Y9" s="559">
        <f>SUMIF('CHE-last month'!$A:$A,Used_before_Trf!A9,'CHE-last month'!E:E)</f>
        <v>615.85</v>
      </c>
      <c r="Z9" s="181">
        <f t="shared" si="31"/>
        <v>38.489854750867579</v>
      </c>
      <c r="AA9" s="507">
        <f t="shared" si="32"/>
        <v>32.574557844278146</v>
      </c>
      <c r="AB9" s="181">
        <f t="shared" si="33"/>
        <v>1253.79</v>
      </c>
      <c r="AC9" s="557">
        <f>SUMIFS(BalCom!M:M,BalCom!N:N,Used_before_Trf!A9,BalCom!C:C,Used_before_Trf!$AC$1)</f>
        <v>38.489854750867579</v>
      </c>
      <c r="AD9" s="507">
        <f t="shared" si="34"/>
        <v>32.574557844278146</v>
      </c>
      <c r="AE9" s="181">
        <f>SUMIFS(BalCom!P:P,BalCom!N:N,Used_before_Trf!A9,BalCom!C:C,Used_before_Trf!$AC$1)</f>
        <v>1253.79</v>
      </c>
      <c r="AF9" s="557">
        <f>SUMIFS(BalDis!I:I,BalDis!J:J,Used_before_Trf!A9)</f>
        <v>0</v>
      </c>
      <c r="AG9" s="507">
        <f t="shared" si="35"/>
        <v>0</v>
      </c>
      <c r="AH9" s="559">
        <f>SUMIFS(BalDis!L:L,BalDis!J:J,Used_before_Trf!A9)</f>
        <v>0</v>
      </c>
      <c r="AI9" s="181">
        <f>SUMIFS(BalDip!$N$49:$N$75,BalDip!$C$49:$C$75,Used_before_Trf!A9)+SUMIFS(BalDip!$N$134:$N$157,BalDip!$C$134:$C$157,Used_before_Trf!A9)</f>
        <v>0</v>
      </c>
      <c r="AJ9" s="507">
        <f t="shared" si="36"/>
        <v>0</v>
      </c>
      <c r="AK9" s="556">
        <f>SUMIFS(BalDip!$N$80:$N$106,BalDip!$C$80:$C$106,Used_before_Trf!A9)+SUMIFS(BalDip!$N$161:$N$184,BalDip!$C$161:$C$184,Used_before_Trf!A9)</f>
        <v>0</v>
      </c>
      <c r="AL9" s="562">
        <f t="shared" si="37"/>
        <v>5.7637869465412734</v>
      </c>
      <c r="AM9" s="563">
        <f>U9</f>
        <v>32.57468982630273</v>
      </c>
      <c r="AN9" s="564">
        <f t="shared" si="39"/>
        <v>18.440000000000055</v>
      </c>
      <c r="AO9" s="565">
        <f t="shared" si="40"/>
        <v>0</v>
      </c>
    </row>
    <row r="10" spans="1:41" s="108" customFormat="1" ht="15" customHeight="1">
      <c r="A10" s="135" t="s">
        <v>183</v>
      </c>
      <c r="B10" s="573" t="s">
        <v>184</v>
      </c>
      <c r="C10" s="136">
        <f>SUMIF('Che-Store'!A:A,Used_before_Trf!A10,'Che-Store'!AC:AC)+SUMIF('Che-Comp'!A:A,Used_before_Trf!A10,'Che-Comp'!AC:AC)</f>
        <v>0</v>
      </c>
      <c r="D10" s="137">
        <f t="shared" si="20"/>
        <v>0</v>
      </c>
      <c r="E10" s="138">
        <f>SUMIF('Che-Store'!A:A,Used_before_Trf!A10,'Che-Store'!AE:AE)+SUMIF('Che-Comp'!A:A,Used_before_Trf!A10,'Che-Comp'!AE:AE)</f>
        <v>0</v>
      </c>
      <c r="F10" s="136">
        <f>SUMIFS('Che-Comp'!F:F,'Che-Comp'!$A:$A,Used_before_Trf!$A10)</f>
        <v>0</v>
      </c>
      <c r="G10" s="138">
        <f>SUMIFS('Che-Comp'!G:G,'Che-Comp'!$A:$A,Used_before_Trf!$A10)</f>
        <v>0</v>
      </c>
      <c r="H10" s="137">
        <f t="shared" si="21"/>
        <v>0</v>
      </c>
      <c r="I10" s="137">
        <f t="shared" si="22"/>
        <v>0</v>
      </c>
      <c r="J10" s="137">
        <f t="shared" si="23"/>
        <v>0</v>
      </c>
      <c r="K10" s="158">
        <f>SUMIF('Che.-Prod'!A:A,Used_before_Trf!A10,'Che.-Prod'!D:D)</f>
        <v>0</v>
      </c>
      <c r="L10" s="137">
        <f t="shared" si="24"/>
        <v>0</v>
      </c>
      <c r="M10" s="159">
        <f>SUMIF('Che.-Prod'!A:A,Used_before_Trf!A10,'Che.-Prod'!F:F)</f>
        <v>0</v>
      </c>
      <c r="N10" s="160">
        <f>SUMIF('Che.-Prod'!A:A,Used_before_Trf!A10,'Che.-Prod'!G:G)</f>
        <v>0</v>
      </c>
      <c r="O10" s="161">
        <f t="shared" si="25"/>
        <v>0</v>
      </c>
      <c r="P10" s="162">
        <f>SUMIF('Che.-Prod'!A:A,Used_before_Trf!A10,'Che.-Prod'!H:H)</f>
        <v>0</v>
      </c>
      <c r="Q10" s="160">
        <f>SUMIF('Che.-Prod'!A:A,Used_before_Trf!A10,'Che.-Prod'!P:P)</f>
        <v>0</v>
      </c>
      <c r="R10" s="161">
        <f t="shared" si="26"/>
        <v>0</v>
      </c>
      <c r="S10" s="159">
        <f>SUMIF('Che.-Prod'!A:A,Used_before_Trf!A10,'Che.-Prod'!R:R)</f>
        <v>0</v>
      </c>
      <c r="T10" s="169">
        <f t="shared" si="27"/>
        <v>0</v>
      </c>
      <c r="U10" s="507">
        <f t="shared" si="28"/>
        <v>0</v>
      </c>
      <c r="V10" s="170">
        <f t="shared" si="29"/>
        <v>0</v>
      </c>
      <c r="W10" s="158">
        <f>SUMIF('CHE-last month'!$A:$A,Used_before_Trf!A10,'CHE-last month'!C:C)</f>
        <v>0</v>
      </c>
      <c r="X10" s="520">
        <f t="shared" si="30"/>
        <v>0</v>
      </c>
      <c r="Y10" s="162">
        <f>SUMIF('CHE-last month'!$A:$A,Used_before_Trf!A10,'CHE-last month'!E:E)</f>
        <v>0</v>
      </c>
      <c r="Z10" s="159">
        <f t="shared" si="31"/>
        <v>0</v>
      </c>
      <c r="AA10" s="520">
        <f t="shared" si="32"/>
        <v>0</v>
      </c>
      <c r="AB10" s="159">
        <f t="shared" si="33"/>
        <v>0</v>
      </c>
      <c r="AC10" s="160">
        <f>SUMIFS(BalCom!M:M,BalCom!N:N,Used_before_Trf!A10,BalCom!C:C,Used_before_Trf!$AC$1)</f>
        <v>0</v>
      </c>
      <c r="AD10" s="171">
        <f t="shared" si="34"/>
        <v>0</v>
      </c>
      <c r="AE10" s="159">
        <f>SUMIFS(BalCom!P:P,BalCom!N:N,Used_before_Trf!A10,BalCom!C:C,Used_before_Trf!$AC$1)</f>
        <v>0</v>
      </c>
      <c r="AF10" s="160">
        <f>SUMIFS(BalDis!I:I,BalDis!J:J,Used_before_Trf!A10)</f>
        <v>0</v>
      </c>
      <c r="AG10" s="171">
        <f t="shared" si="35"/>
        <v>0</v>
      </c>
      <c r="AH10" s="162">
        <f>SUMIFS(BalDis!L:L,BalDis!J:J,Used_before_Trf!A10)</f>
        <v>0</v>
      </c>
      <c r="AI10" s="159">
        <f>SUMIFS(BalDip!$N$49:$N$75,BalDip!$C$49:$C$75,Used_before_Trf!A10)+SUMIFS(BalDip!$N$134:$N$157,BalDip!$C$134:$C$157,Used_before_Trf!A10)</f>
        <v>0</v>
      </c>
      <c r="AJ10" s="171">
        <f t="shared" si="36"/>
        <v>0</v>
      </c>
      <c r="AK10" s="177">
        <f>SUMIFS(BalDip!$N$80:$N$106,BalDip!$C$80:$C$106,Used_before_Trf!A10)+SUMIFS(BalDip!$N$161:$N$184,BalDip!$C$161:$C$184,Used_before_Trf!A10)</f>
        <v>0</v>
      </c>
      <c r="AL10" s="178">
        <f t="shared" si="37"/>
        <v>0</v>
      </c>
      <c r="AM10" s="179">
        <f t="shared" si="38"/>
        <v>0</v>
      </c>
      <c r="AN10" s="440">
        <f t="shared" si="39"/>
        <v>0</v>
      </c>
      <c r="AO10" s="180">
        <f t="shared" si="40"/>
        <v>0</v>
      </c>
    </row>
    <row r="11" spans="1:41" s="108" customFormat="1" ht="15" customHeight="1">
      <c r="A11" s="135" t="s">
        <v>185</v>
      </c>
      <c r="B11" s="573" t="s">
        <v>186</v>
      </c>
      <c r="C11" s="136">
        <f>SUMIF('Che-Store'!A:A,Used_before_Trf!A11,'Che-Store'!AC:AC)+SUMIF('Che-Comp'!A:A,Used_before_Trf!A11,'Che-Comp'!AC:AC)</f>
        <v>0</v>
      </c>
      <c r="D11" s="137">
        <f t="shared" si="20"/>
        <v>0</v>
      </c>
      <c r="E11" s="138">
        <f>SUMIF('Che-Store'!A:A,Used_before_Trf!A11,'Che-Store'!AE:AE)+SUMIF('Che-Comp'!A:A,Used_before_Trf!A11,'Che-Comp'!AE:AE)</f>
        <v>0</v>
      </c>
      <c r="F11" s="136">
        <f>SUMIFS('Che-Comp'!F:F,'Che-Comp'!$A:$A,Used_before_Trf!$A11)</f>
        <v>0</v>
      </c>
      <c r="G11" s="138">
        <f>SUMIFS('Che-Comp'!G:G,'Che-Comp'!$A:$A,Used_before_Trf!$A11)</f>
        <v>0</v>
      </c>
      <c r="H11" s="137">
        <f t="shared" si="21"/>
        <v>0</v>
      </c>
      <c r="I11" s="137">
        <f t="shared" si="22"/>
        <v>0</v>
      </c>
      <c r="J11" s="137">
        <f t="shared" si="23"/>
        <v>0</v>
      </c>
      <c r="K11" s="158">
        <f>SUMIF('Che.-Prod'!A:A,Used_before_Trf!A11,'Che.-Prod'!D:D)</f>
        <v>0</v>
      </c>
      <c r="L11" s="137">
        <f t="shared" si="24"/>
        <v>0</v>
      </c>
      <c r="M11" s="159">
        <f>SUMIF('Che.-Prod'!A:A,Used_before_Trf!A11,'Che.-Prod'!F:F)</f>
        <v>0</v>
      </c>
      <c r="N11" s="160">
        <f>SUMIF('Che.-Prod'!A:A,Used_before_Trf!A11,'Che.-Prod'!G:G)</f>
        <v>0</v>
      </c>
      <c r="O11" s="161">
        <f t="shared" si="25"/>
        <v>0</v>
      </c>
      <c r="P11" s="162">
        <f>SUMIF('Che.-Prod'!A:A,Used_before_Trf!A11,'Che.-Prod'!H:H)</f>
        <v>0</v>
      </c>
      <c r="Q11" s="160">
        <f>SUMIF('Che.-Prod'!A:A,Used_before_Trf!A11,'Che.-Prod'!P:P)</f>
        <v>0</v>
      </c>
      <c r="R11" s="161">
        <f t="shared" si="26"/>
        <v>0</v>
      </c>
      <c r="S11" s="159">
        <f>SUMIF('Che.-Prod'!A:A,Used_before_Trf!A11,'Che.-Prod'!R:R)</f>
        <v>0</v>
      </c>
      <c r="T11" s="169">
        <f t="shared" si="27"/>
        <v>0</v>
      </c>
      <c r="U11" s="507">
        <f t="shared" si="28"/>
        <v>0</v>
      </c>
      <c r="V11" s="170">
        <f t="shared" si="29"/>
        <v>0</v>
      </c>
      <c r="W11" s="158">
        <f>SUMIF('CHE-last month'!$A:$A,Used_before_Trf!A11,'CHE-last month'!C:C)</f>
        <v>0</v>
      </c>
      <c r="X11" s="520">
        <f t="shared" si="30"/>
        <v>0</v>
      </c>
      <c r="Y11" s="162">
        <f>SUMIF('CHE-last month'!$A:$A,Used_before_Trf!A11,'CHE-last month'!E:E)</f>
        <v>0</v>
      </c>
      <c r="Z11" s="159">
        <f t="shared" si="31"/>
        <v>0</v>
      </c>
      <c r="AA11" s="520">
        <f t="shared" si="32"/>
        <v>0</v>
      </c>
      <c r="AB11" s="159">
        <f t="shared" si="33"/>
        <v>0</v>
      </c>
      <c r="AC11" s="160">
        <f>SUMIFS(BalCom!M:M,BalCom!N:N,Used_before_Trf!A11,BalCom!C:C,Used_before_Trf!$AC$1)</f>
        <v>0</v>
      </c>
      <c r="AD11" s="171">
        <f t="shared" si="34"/>
        <v>0</v>
      </c>
      <c r="AE11" s="159">
        <f>SUMIFS(BalCom!P:P,BalCom!N:N,Used_before_Trf!A11,BalCom!C:C,Used_before_Trf!$AC$1)</f>
        <v>0</v>
      </c>
      <c r="AF11" s="160">
        <f>SUMIFS(BalDis!I:I,BalDis!J:J,Used_before_Trf!A11)</f>
        <v>0</v>
      </c>
      <c r="AG11" s="171">
        <f t="shared" si="35"/>
        <v>0</v>
      </c>
      <c r="AH11" s="162">
        <f>SUMIFS(BalDis!L:L,BalDis!J:J,Used_before_Trf!A11)</f>
        <v>0</v>
      </c>
      <c r="AI11" s="159">
        <f>SUMIFS(BalDip!$N$49:$N$75,BalDip!$C$49:$C$75,Used_before_Trf!A11)+SUMIFS(BalDip!$N$134:$N$157,BalDip!$C$134:$C$157,Used_before_Trf!A11)</f>
        <v>0</v>
      </c>
      <c r="AJ11" s="171">
        <f t="shared" si="36"/>
        <v>0</v>
      </c>
      <c r="AK11" s="177">
        <f>SUMIFS(BalDip!$N$80:$N$106,BalDip!$C$80:$C$106,Used_before_Trf!A11)+SUMIFS(BalDip!$N$161:$N$184,BalDip!$C$161:$C$184,Used_before_Trf!A11)</f>
        <v>0</v>
      </c>
      <c r="AL11" s="178">
        <f t="shared" si="37"/>
        <v>0</v>
      </c>
      <c r="AM11" s="179">
        <f t="shared" si="38"/>
        <v>0</v>
      </c>
      <c r="AN11" s="440">
        <f t="shared" si="39"/>
        <v>0</v>
      </c>
      <c r="AO11" s="180">
        <f t="shared" si="40"/>
        <v>0</v>
      </c>
    </row>
    <row r="12" spans="1:41" s="108" customFormat="1" ht="15" customHeight="1">
      <c r="A12" s="135" t="s">
        <v>187</v>
      </c>
      <c r="B12" s="573" t="s">
        <v>188</v>
      </c>
      <c r="C12" s="136">
        <f>SUMIF('Che-Store'!A:A,Used_before_Trf!A12,'Che-Store'!AC:AC)+SUMIF('Che-Comp'!A:A,Used_before_Trf!A12,'Che-Comp'!AC:AC)</f>
        <v>0</v>
      </c>
      <c r="D12" s="137">
        <f t="shared" si="20"/>
        <v>0</v>
      </c>
      <c r="E12" s="138">
        <f>SUMIF('Che-Store'!A:A,Used_before_Trf!A12,'Che-Store'!AE:AE)+SUMIF('Che-Comp'!A:A,Used_before_Trf!A12,'Che-Comp'!AE:AE)</f>
        <v>0</v>
      </c>
      <c r="F12" s="136">
        <f>SUMIFS('Che-Comp'!F:F,'Che-Comp'!$A:$A,Used_before_Trf!$A12)</f>
        <v>0</v>
      </c>
      <c r="G12" s="138">
        <f>SUMIFS('Che-Comp'!G:G,'Che-Comp'!$A:$A,Used_before_Trf!$A12)</f>
        <v>0</v>
      </c>
      <c r="H12" s="137">
        <f t="shared" si="21"/>
        <v>0</v>
      </c>
      <c r="I12" s="137">
        <f t="shared" si="22"/>
        <v>0</v>
      </c>
      <c r="J12" s="137">
        <f t="shared" si="23"/>
        <v>0</v>
      </c>
      <c r="K12" s="158">
        <f>SUMIF('Che.-Prod'!A:A,Used_before_Trf!A12,'Che.-Prod'!D:D)</f>
        <v>0</v>
      </c>
      <c r="L12" s="137">
        <f t="shared" si="24"/>
        <v>0</v>
      </c>
      <c r="M12" s="159">
        <f>SUMIF('Che.-Prod'!A:A,Used_before_Trf!A12,'Che.-Prod'!F:F)</f>
        <v>0</v>
      </c>
      <c r="N12" s="160">
        <f>SUMIF('Che.-Prod'!A:A,Used_before_Trf!A12,'Che.-Prod'!G:G)</f>
        <v>0</v>
      </c>
      <c r="O12" s="161">
        <f t="shared" si="25"/>
        <v>0</v>
      </c>
      <c r="P12" s="162">
        <f>SUMIF('Che.-Prod'!A:A,Used_before_Trf!A12,'Che.-Prod'!H:H)</f>
        <v>0</v>
      </c>
      <c r="Q12" s="160">
        <f>SUMIF('Che.-Prod'!A:A,Used_before_Trf!A12,'Che.-Prod'!P:P)</f>
        <v>0</v>
      </c>
      <c r="R12" s="161">
        <f t="shared" si="26"/>
        <v>0</v>
      </c>
      <c r="S12" s="159">
        <f>SUMIF('Che.-Prod'!A:A,Used_before_Trf!A12,'Che.-Prod'!R:R)</f>
        <v>0</v>
      </c>
      <c r="T12" s="169">
        <f t="shared" si="27"/>
        <v>0</v>
      </c>
      <c r="U12" s="507">
        <f t="shared" si="28"/>
        <v>0</v>
      </c>
      <c r="V12" s="170">
        <f t="shared" si="29"/>
        <v>0</v>
      </c>
      <c r="W12" s="158">
        <f>SUMIF('CHE-last month'!$A:$A,Used_before_Trf!A12,'CHE-last month'!C:C)</f>
        <v>0</v>
      </c>
      <c r="X12" s="520">
        <f t="shared" si="30"/>
        <v>0</v>
      </c>
      <c r="Y12" s="162">
        <f>SUMIF('CHE-last month'!$A:$A,Used_before_Trf!A12,'CHE-last month'!E:E)</f>
        <v>0</v>
      </c>
      <c r="Z12" s="159">
        <f t="shared" si="31"/>
        <v>0</v>
      </c>
      <c r="AA12" s="520">
        <f t="shared" si="32"/>
        <v>0</v>
      </c>
      <c r="AB12" s="159">
        <f t="shared" si="33"/>
        <v>0</v>
      </c>
      <c r="AC12" s="160">
        <f>SUMIFS(BalCom!M:M,BalCom!N:N,Used_before_Trf!A12,BalCom!C:C,Used_before_Trf!$AC$1)</f>
        <v>0</v>
      </c>
      <c r="AD12" s="171">
        <f t="shared" si="34"/>
        <v>0</v>
      </c>
      <c r="AE12" s="159">
        <f>SUMIFS(BalCom!P:P,BalCom!N:N,Used_before_Trf!A12,BalCom!C:C,Used_before_Trf!$AC$1)</f>
        <v>0</v>
      </c>
      <c r="AF12" s="160">
        <f>SUMIFS(BalDis!I:I,BalDis!J:J,Used_before_Trf!A12)</f>
        <v>0</v>
      </c>
      <c r="AG12" s="171">
        <f t="shared" si="35"/>
        <v>0</v>
      </c>
      <c r="AH12" s="162">
        <f>SUMIFS(BalDis!L:L,BalDis!J:J,Used_before_Trf!A12)</f>
        <v>0</v>
      </c>
      <c r="AI12" s="159">
        <f>SUMIFS(BalDip!$N$49:$N$75,BalDip!$C$49:$C$75,Used_before_Trf!A12)+SUMIFS(BalDip!$N$134:$N$157,BalDip!$C$134:$C$157,Used_before_Trf!A12)</f>
        <v>0</v>
      </c>
      <c r="AJ12" s="171">
        <f t="shared" si="36"/>
        <v>0</v>
      </c>
      <c r="AK12" s="177">
        <f>SUMIFS(BalDip!$N$80:$N$106,BalDip!$C$80:$C$106,Used_before_Trf!A12)+SUMIFS(BalDip!$N$161:$N$184,BalDip!$C$161:$C$184,Used_before_Trf!A12)</f>
        <v>0</v>
      </c>
      <c r="AL12" s="178">
        <f t="shared" si="37"/>
        <v>0</v>
      </c>
      <c r="AM12" s="179">
        <f t="shared" si="38"/>
        <v>0</v>
      </c>
      <c r="AN12" s="440">
        <f t="shared" si="39"/>
        <v>0</v>
      </c>
      <c r="AO12" s="180">
        <f t="shared" si="40"/>
        <v>0</v>
      </c>
    </row>
    <row r="13" spans="1:41" s="108" customFormat="1" ht="15" customHeight="1">
      <c r="A13" s="135" t="s">
        <v>189</v>
      </c>
      <c r="B13" s="573" t="s">
        <v>190</v>
      </c>
      <c r="C13" s="136">
        <f>SUMIF('Che-Store'!A:A,Used_before_Trf!A13,'Che-Store'!AC:AC)+SUMIF('Che-Comp'!A:A,Used_before_Trf!A13,'Che-Comp'!AC:AC)</f>
        <v>0</v>
      </c>
      <c r="D13" s="137">
        <f t="shared" si="20"/>
        <v>0</v>
      </c>
      <c r="E13" s="138">
        <f>SUMIF('Che-Store'!A:A,Used_before_Trf!A13,'Che-Store'!AE:AE)+SUMIF('Che-Comp'!A:A,Used_before_Trf!A13,'Che-Comp'!AE:AE)</f>
        <v>0</v>
      </c>
      <c r="F13" s="136">
        <f>SUMIFS('Che-Comp'!F:F,'Che-Comp'!$A:$A,Used_before_Trf!$A13)</f>
        <v>0</v>
      </c>
      <c r="G13" s="138">
        <f>SUMIFS('Che-Comp'!G:G,'Che-Comp'!$A:$A,Used_before_Trf!$A13)</f>
        <v>0</v>
      </c>
      <c r="H13" s="137">
        <f t="shared" si="21"/>
        <v>0</v>
      </c>
      <c r="I13" s="137">
        <f t="shared" si="22"/>
        <v>0</v>
      </c>
      <c r="J13" s="137">
        <f t="shared" si="23"/>
        <v>0</v>
      </c>
      <c r="K13" s="158">
        <f>SUMIF('Che.-Prod'!A:A,Used_before_Trf!A13,'Che.-Prod'!D:D)</f>
        <v>0</v>
      </c>
      <c r="L13" s="137">
        <f t="shared" si="24"/>
        <v>0</v>
      </c>
      <c r="M13" s="159">
        <f>SUMIF('Che.-Prod'!A:A,Used_before_Trf!A13,'Che.-Prod'!F:F)</f>
        <v>0</v>
      </c>
      <c r="N13" s="160">
        <f>SUMIF('Che.-Prod'!A:A,Used_before_Trf!A13,'Che.-Prod'!G:G)</f>
        <v>0</v>
      </c>
      <c r="O13" s="161">
        <f t="shared" si="25"/>
        <v>0</v>
      </c>
      <c r="P13" s="162">
        <f>SUMIF('Che.-Prod'!A:A,Used_before_Trf!A13,'Che.-Prod'!H:H)</f>
        <v>0</v>
      </c>
      <c r="Q13" s="160">
        <f>SUMIF('Che.-Prod'!A:A,Used_before_Trf!A13,'Che.-Prod'!P:P)</f>
        <v>0</v>
      </c>
      <c r="R13" s="161">
        <f t="shared" si="26"/>
        <v>0</v>
      </c>
      <c r="S13" s="159">
        <f>SUMIF('Che.-Prod'!A:A,Used_before_Trf!A13,'Che.-Prod'!R:R)</f>
        <v>0</v>
      </c>
      <c r="T13" s="169">
        <f t="shared" si="27"/>
        <v>0</v>
      </c>
      <c r="U13" s="507">
        <f t="shared" si="28"/>
        <v>0</v>
      </c>
      <c r="V13" s="170">
        <f t="shared" si="29"/>
        <v>0</v>
      </c>
      <c r="W13" s="158">
        <f>SUMIF('CHE-last month'!$A:$A,Used_before_Trf!A13,'CHE-last month'!C:C)</f>
        <v>0</v>
      </c>
      <c r="X13" s="520">
        <f t="shared" si="30"/>
        <v>0</v>
      </c>
      <c r="Y13" s="162">
        <f>SUMIF('CHE-last month'!$A:$A,Used_before_Trf!A13,'CHE-last month'!E:E)</f>
        <v>0</v>
      </c>
      <c r="Z13" s="159">
        <f t="shared" si="31"/>
        <v>0</v>
      </c>
      <c r="AA13" s="520">
        <f t="shared" si="32"/>
        <v>0</v>
      </c>
      <c r="AB13" s="159">
        <f t="shared" si="33"/>
        <v>0</v>
      </c>
      <c r="AC13" s="160">
        <f>SUMIFS(BalCom!M:M,BalCom!N:N,Used_before_Trf!A13,BalCom!C:C,Used_before_Trf!$AC$1)</f>
        <v>0</v>
      </c>
      <c r="AD13" s="171">
        <f t="shared" si="34"/>
        <v>0</v>
      </c>
      <c r="AE13" s="159">
        <f>SUMIFS(BalCom!P:P,BalCom!N:N,Used_before_Trf!A13,BalCom!C:C,Used_before_Trf!$AC$1)</f>
        <v>0</v>
      </c>
      <c r="AF13" s="160">
        <f>SUMIFS(BalDis!I:I,BalDis!J:J,Used_before_Trf!A13)</f>
        <v>0</v>
      </c>
      <c r="AG13" s="171">
        <f t="shared" si="35"/>
        <v>0</v>
      </c>
      <c r="AH13" s="162">
        <f>SUMIFS(BalDis!L:L,BalDis!J:J,Used_before_Trf!A13)</f>
        <v>0</v>
      </c>
      <c r="AI13" s="159">
        <f>SUMIFS(BalDip!$N$49:$N$75,BalDip!$C$49:$C$75,Used_before_Trf!A13)+SUMIFS(BalDip!$N$134:$N$157,BalDip!$C$134:$C$157,Used_before_Trf!A13)</f>
        <v>0</v>
      </c>
      <c r="AJ13" s="171">
        <f t="shared" si="36"/>
        <v>0</v>
      </c>
      <c r="AK13" s="177">
        <f>SUMIFS(BalDip!$N$80:$N$106,BalDip!$C$80:$C$106,Used_before_Trf!A13)+SUMIFS(BalDip!$N$161:$N$184,BalDip!$C$161:$C$184,Used_before_Trf!A13)</f>
        <v>0</v>
      </c>
      <c r="AL13" s="178">
        <f t="shared" si="37"/>
        <v>0</v>
      </c>
      <c r="AM13" s="179">
        <f t="shared" si="38"/>
        <v>0</v>
      </c>
      <c r="AN13" s="440">
        <f t="shared" si="39"/>
        <v>0</v>
      </c>
      <c r="AO13" s="180">
        <f t="shared" si="40"/>
        <v>0</v>
      </c>
    </row>
    <row r="14" spans="1:41" s="108" customFormat="1" ht="15" customHeight="1">
      <c r="A14" s="135" t="s">
        <v>191</v>
      </c>
      <c r="B14" s="573" t="s">
        <v>192</v>
      </c>
      <c r="C14" s="136">
        <f>SUMIF('Che-Store'!A:A,Used_before_Trf!A14,'Che-Store'!AC:AC)+SUMIF('Che-Comp'!A:A,Used_before_Trf!A14,'Che-Comp'!AC:AC)</f>
        <v>0</v>
      </c>
      <c r="D14" s="137">
        <f t="shared" si="20"/>
        <v>0</v>
      </c>
      <c r="E14" s="138">
        <f>SUMIF('Che-Store'!A:A,Used_before_Trf!A14,'Che-Store'!AE:AE)+SUMIF('Che-Comp'!A:A,Used_before_Trf!A14,'Che-Comp'!AE:AE)</f>
        <v>0</v>
      </c>
      <c r="F14" s="136">
        <f>SUMIFS('Che-Comp'!F:F,'Che-Comp'!$A:$A,Used_before_Trf!$A14)</f>
        <v>0</v>
      </c>
      <c r="G14" s="138">
        <f>SUMIFS('Che-Comp'!G:G,'Che-Comp'!$A:$A,Used_before_Trf!$A14)</f>
        <v>0</v>
      </c>
      <c r="H14" s="137">
        <f t="shared" si="21"/>
        <v>0</v>
      </c>
      <c r="I14" s="137">
        <f t="shared" si="22"/>
        <v>0</v>
      </c>
      <c r="J14" s="137">
        <f t="shared" si="23"/>
        <v>0</v>
      </c>
      <c r="K14" s="158">
        <f>SUMIF('Che.-Prod'!A:A,Used_before_Trf!A14,'Che.-Prod'!D:D)</f>
        <v>0</v>
      </c>
      <c r="L14" s="137">
        <f t="shared" si="24"/>
        <v>0</v>
      </c>
      <c r="M14" s="159">
        <f>SUMIF('Che.-Prod'!A:A,Used_before_Trf!A14,'Che.-Prod'!F:F)</f>
        <v>0</v>
      </c>
      <c r="N14" s="160">
        <f>SUMIF('Che.-Prod'!A:A,Used_before_Trf!A14,'Che.-Prod'!G:G)</f>
        <v>0</v>
      </c>
      <c r="O14" s="161">
        <f t="shared" si="25"/>
        <v>0</v>
      </c>
      <c r="P14" s="162">
        <f>SUMIF('Che.-Prod'!A:A,Used_before_Trf!A14,'Che.-Prod'!H:H)</f>
        <v>0</v>
      </c>
      <c r="Q14" s="160">
        <f>SUMIF('Che.-Prod'!A:A,Used_before_Trf!A14,'Che.-Prod'!P:P)</f>
        <v>0</v>
      </c>
      <c r="R14" s="161">
        <f t="shared" si="26"/>
        <v>0</v>
      </c>
      <c r="S14" s="159">
        <f>SUMIF('Che.-Prod'!A:A,Used_before_Trf!A14,'Che.-Prod'!R:R)</f>
        <v>0</v>
      </c>
      <c r="T14" s="169">
        <f t="shared" si="27"/>
        <v>0</v>
      </c>
      <c r="U14" s="507">
        <f t="shared" si="28"/>
        <v>0</v>
      </c>
      <c r="V14" s="170">
        <f t="shared" si="29"/>
        <v>0</v>
      </c>
      <c r="W14" s="158">
        <f>SUMIF('CHE-last month'!$A:$A,Used_before_Trf!A14,'CHE-last month'!C:C)</f>
        <v>0</v>
      </c>
      <c r="X14" s="520">
        <f t="shared" si="30"/>
        <v>0</v>
      </c>
      <c r="Y14" s="162">
        <f>SUMIF('CHE-last month'!$A:$A,Used_before_Trf!A14,'CHE-last month'!E:E)</f>
        <v>0</v>
      </c>
      <c r="Z14" s="159">
        <f t="shared" si="31"/>
        <v>0</v>
      </c>
      <c r="AA14" s="520">
        <f t="shared" si="32"/>
        <v>0</v>
      </c>
      <c r="AB14" s="159">
        <f t="shared" si="33"/>
        <v>0</v>
      </c>
      <c r="AC14" s="160">
        <f>SUMIFS(BalCom!M:M,BalCom!N:N,Used_before_Trf!A14,BalCom!C:C,Used_before_Trf!$AC$1)</f>
        <v>0</v>
      </c>
      <c r="AD14" s="171">
        <f t="shared" si="34"/>
        <v>0</v>
      </c>
      <c r="AE14" s="159">
        <f>SUMIFS(BalCom!P:P,BalCom!N:N,Used_before_Trf!A14,BalCom!C:C,Used_before_Trf!$AC$1)</f>
        <v>0</v>
      </c>
      <c r="AF14" s="160">
        <f>SUMIFS(BalDis!I:I,BalDis!J:J,Used_before_Trf!A14)</f>
        <v>0</v>
      </c>
      <c r="AG14" s="171">
        <f t="shared" si="35"/>
        <v>0</v>
      </c>
      <c r="AH14" s="162">
        <f>SUMIFS(BalDis!L:L,BalDis!J:J,Used_before_Trf!A14)</f>
        <v>0</v>
      </c>
      <c r="AI14" s="159">
        <f>SUMIFS(BalDip!$N$49:$N$75,BalDip!$C$49:$C$75,Used_before_Trf!A14)+SUMIFS(BalDip!$N$134:$N$157,BalDip!$C$134:$C$157,Used_before_Trf!A14)</f>
        <v>0</v>
      </c>
      <c r="AJ14" s="171">
        <f t="shared" si="36"/>
        <v>0</v>
      </c>
      <c r="AK14" s="177">
        <f>SUMIFS(BalDip!$N$80:$N$106,BalDip!$C$80:$C$106,Used_before_Trf!A14)+SUMIFS(BalDip!$N$161:$N$184,BalDip!$C$161:$C$184,Used_before_Trf!A14)</f>
        <v>0</v>
      </c>
      <c r="AL14" s="178">
        <f t="shared" si="37"/>
        <v>0</v>
      </c>
      <c r="AM14" s="179">
        <f t="shared" si="38"/>
        <v>0</v>
      </c>
      <c r="AN14" s="440">
        <f t="shared" si="39"/>
        <v>0</v>
      </c>
      <c r="AO14" s="180">
        <f t="shared" si="40"/>
        <v>0</v>
      </c>
    </row>
    <row r="15" spans="1:41" s="108" customFormat="1" ht="15" customHeight="1">
      <c r="A15" s="135" t="s">
        <v>193</v>
      </c>
      <c r="B15" s="573" t="s">
        <v>194</v>
      </c>
      <c r="C15" s="136">
        <f>SUMIF('Che-Store'!A:A,Used_before_Trf!A15,'Che-Store'!AC:AC)+SUMIF('Che-Comp'!A:A,Used_before_Trf!A15,'Che-Comp'!AC:AC)</f>
        <v>0</v>
      </c>
      <c r="D15" s="137">
        <f t="shared" si="20"/>
        <v>0</v>
      </c>
      <c r="E15" s="138">
        <f>SUMIF('Che-Store'!A:A,Used_before_Trf!A15,'Che-Store'!AE:AE)+SUMIF('Che-Comp'!A:A,Used_before_Trf!A15,'Che-Comp'!AE:AE)</f>
        <v>0</v>
      </c>
      <c r="F15" s="136">
        <f>SUMIFS('Che-Comp'!F:F,'Che-Comp'!$A:$A,Used_before_Trf!$A15)</f>
        <v>0</v>
      </c>
      <c r="G15" s="138">
        <f>SUMIFS('Che-Comp'!G:G,'Che-Comp'!$A:$A,Used_before_Trf!$A15)</f>
        <v>0</v>
      </c>
      <c r="H15" s="137">
        <f t="shared" si="21"/>
        <v>0</v>
      </c>
      <c r="I15" s="137">
        <f t="shared" si="22"/>
        <v>0</v>
      </c>
      <c r="J15" s="137">
        <f t="shared" si="23"/>
        <v>0</v>
      </c>
      <c r="K15" s="158">
        <f>SUMIF('Che.-Prod'!A:A,Used_before_Trf!A15,'Che.-Prod'!D:D)</f>
        <v>0</v>
      </c>
      <c r="L15" s="137">
        <f t="shared" si="24"/>
        <v>0</v>
      </c>
      <c r="M15" s="159">
        <f>SUMIF('Che.-Prod'!A:A,Used_before_Trf!A15,'Che.-Prod'!F:F)</f>
        <v>0</v>
      </c>
      <c r="N15" s="160">
        <f>SUMIF('Che.-Prod'!A:A,Used_before_Trf!A15,'Che.-Prod'!G:G)</f>
        <v>0</v>
      </c>
      <c r="O15" s="161">
        <f t="shared" si="25"/>
        <v>0</v>
      </c>
      <c r="P15" s="162">
        <f>SUMIF('Che.-Prod'!A:A,Used_before_Trf!A15,'Che.-Prod'!H:H)</f>
        <v>0</v>
      </c>
      <c r="Q15" s="160">
        <f>SUMIF('Che.-Prod'!A:A,Used_before_Trf!A15,'Che.-Prod'!P:P)</f>
        <v>0</v>
      </c>
      <c r="R15" s="161">
        <f t="shared" si="26"/>
        <v>0</v>
      </c>
      <c r="S15" s="159">
        <f>SUMIF('Che.-Prod'!A:A,Used_before_Trf!A15,'Che.-Prod'!R:R)</f>
        <v>0</v>
      </c>
      <c r="T15" s="169">
        <f t="shared" si="27"/>
        <v>0</v>
      </c>
      <c r="U15" s="507">
        <f t="shared" si="28"/>
        <v>0</v>
      </c>
      <c r="V15" s="170">
        <f t="shared" si="29"/>
        <v>0</v>
      </c>
      <c r="W15" s="158">
        <f>SUMIF('CHE-last month'!$A:$A,Used_before_Trf!A15,'CHE-last month'!C:C)</f>
        <v>0</v>
      </c>
      <c r="X15" s="520">
        <f t="shared" si="30"/>
        <v>0</v>
      </c>
      <c r="Y15" s="162">
        <f>SUMIF('CHE-last month'!$A:$A,Used_before_Trf!A15,'CHE-last month'!E:E)</f>
        <v>0</v>
      </c>
      <c r="Z15" s="159">
        <f t="shared" si="31"/>
        <v>0</v>
      </c>
      <c r="AA15" s="520">
        <f t="shared" si="32"/>
        <v>0</v>
      </c>
      <c r="AB15" s="159">
        <f t="shared" si="33"/>
        <v>0</v>
      </c>
      <c r="AC15" s="160">
        <f>SUMIFS(BalCom!M:M,BalCom!N:N,Used_before_Trf!A15,BalCom!C:C,Used_before_Trf!$AC$1)</f>
        <v>0</v>
      </c>
      <c r="AD15" s="171">
        <f t="shared" si="34"/>
        <v>0</v>
      </c>
      <c r="AE15" s="159">
        <f>SUMIFS(BalCom!P:P,BalCom!N:N,Used_before_Trf!A15,BalCom!C:C,Used_before_Trf!$AC$1)</f>
        <v>0</v>
      </c>
      <c r="AF15" s="160">
        <f>SUMIFS(BalDis!I:I,BalDis!J:J,Used_before_Trf!A15)</f>
        <v>0</v>
      </c>
      <c r="AG15" s="171">
        <f t="shared" si="35"/>
        <v>0</v>
      </c>
      <c r="AH15" s="162">
        <f>SUMIFS(BalDis!L:L,BalDis!J:J,Used_before_Trf!A15)</f>
        <v>0</v>
      </c>
      <c r="AI15" s="159">
        <f>SUMIFS(BalDip!$N$49:$N$75,BalDip!$C$49:$C$75,Used_before_Trf!A15)+SUMIFS(BalDip!$N$134:$N$157,BalDip!$C$134:$C$157,Used_before_Trf!A15)</f>
        <v>0</v>
      </c>
      <c r="AJ15" s="171">
        <f t="shared" si="36"/>
        <v>0</v>
      </c>
      <c r="AK15" s="177">
        <f>SUMIFS(BalDip!$N$80:$N$106,BalDip!$C$80:$C$106,Used_before_Trf!A15)+SUMIFS(BalDip!$N$161:$N$184,BalDip!$C$161:$C$184,Used_before_Trf!A15)</f>
        <v>0</v>
      </c>
      <c r="AL15" s="178">
        <f t="shared" si="37"/>
        <v>0</v>
      </c>
      <c r="AM15" s="179">
        <f t="shared" si="38"/>
        <v>0</v>
      </c>
      <c r="AN15" s="440">
        <f t="shared" si="39"/>
        <v>0</v>
      </c>
      <c r="AO15" s="180">
        <f t="shared" si="40"/>
        <v>0</v>
      </c>
    </row>
    <row r="16" spans="1:41" s="108" customFormat="1" ht="15" customHeight="1">
      <c r="A16" s="135" t="s">
        <v>195</v>
      </c>
      <c r="B16" s="573" t="s">
        <v>196</v>
      </c>
      <c r="C16" s="136">
        <f>SUMIF('Che-Store'!A:A,Used_before_Trf!A16,'Che-Store'!AC:AC)+SUMIF('Che-Comp'!A:A,Used_before_Trf!A16,'Che-Comp'!AC:AC)</f>
        <v>0</v>
      </c>
      <c r="D16" s="137">
        <f t="shared" si="20"/>
        <v>0</v>
      </c>
      <c r="E16" s="138">
        <f>SUMIF('Che-Store'!A:A,Used_before_Trf!A16,'Che-Store'!AE:AE)+SUMIF('Che-Comp'!A:A,Used_before_Trf!A16,'Che-Comp'!AE:AE)</f>
        <v>0</v>
      </c>
      <c r="F16" s="136">
        <f>SUMIFS('Che-Comp'!F:F,'Che-Comp'!$A:$A,Used_before_Trf!$A16)</f>
        <v>0</v>
      </c>
      <c r="G16" s="138">
        <f>SUMIFS('Che-Comp'!G:G,'Che-Comp'!$A:$A,Used_before_Trf!$A16)</f>
        <v>0</v>
      </c>
      <c r="H16" s="137">
        <f t="shared" si="21"/>
        <v>0</v>
      </c>
      <c r="I16" s="137">
        <f t="shared" si="22"/>
        <v>0</v>
      </c>
      <c r="J16" s="137">
        <f t="shared" si="23"/>
        <v>0</v>
      </c>
      <c r="K16" s="158">
        <f>SUMIF('Che.-Prod'!A:A,Used_before_Trf!A16,'Che.-Prod'!D:D)</f>
        <v>0</v>
      </c>
      <c r="L16" s="137">
        <f t="shared" si="24"/>
        <v>0</v>
      </c>
      <c r="M16" s="159">
        <f>SUMIF('Che.-Prod'!A:A,Used_before_Trf!A16,'Che.-Prod'!F:F)</f>
        <v>0</v>
      </c>
      <c r="N16" s="160">
        <f>SUMIF('Che.-Prod'!A:A,Used_before_Trf!A16,'Che.-Prod'!G:G)</f>
        <v>0</v>
      </c>
      <c r="O16" s="161">
        <f t="shared" si="25"/>
        <v>0</v>
      </c>
      <c r="P16" s="162">
        <f>SUMIF('Che.-Prod'!A:A,Used_before_Trf!A16,'Che.-Prod'!H:H)</f>
        <v>0</v>
      </c>
      <c r="Q16" s="160">
        <f>SUMIF('Che.-Prod'!A:A,Used_before_Trf!A16,'Che.-Prod'!P:P)</f>
        <v>0</v>
      </c>
      <c r="R16" s="161">
        <f t="shared" si="26"/>
        <v>0</v>
      </c>
      <c r="S16" s="159">
        <f>SUMIF('Che.-Prod'!A:A,Used_before_Trf!A16,'Che.-Prod'!R:R)</f>
        <v>0</v>
      </c>
      <c r="T16" s="169">
        <f t="shared" si="27"/>
        <v>0</v>
      </c>
      <c r="U16" s="507">
        <f t="shared" si="28"/>
        <v>0</v>
      </c>
      <c r="V16" s="170">
        <f t="shared" si="29"/>
        <v>0</v>
      </c>
      <c r="W16" s="158">
        <f>SUMIF('CHE-last month'!$A:$A,Used_before_Trf!A16,'CHE-last month'!C:C)</f>
        <v>0</v>
      </c>
      <c r="X16" s="520">
        <f t="shared" si="30"/>
        <v>0</v>
      </c>
      <c r="Y16" s="162">
        <f>SUMIF('CHE-last month'!$A:$A,Used_before_Trf!A16,'CHE-last month'!E:E)</f>
        <v>0</v>
      </c>
      <c r="Z16" s="159">
        <f t="shared" si="31"/>
        <v>0</v>
      </c>
      <c r="AA16" s="520">
        <f t="shared" si="32"/>
        <v>0</v>
      </c>
      <c r="AB16" s="159">
        <f t="shared" si="33"/>
        <v>0</v>
      </c>
      <c r="AC16" s="160">
        <f>SUMIFS(BalCom!M:M,BalCom!N:N,Used_before_Trf!A16,BalCom!C:C,Used_before_Trf!$AC$1)</f>
        <v>0</v>
      </c>
      <c r="AD16" s="171">
        <f t="shared" si="34"/>
        <v>0</v>
      </c>
      <c r="AE16" s="159">
        <f>SUMIFS(BalCom!P:P,BalCom!N:N,Used_before_Trf!A16,BalCom!C:C,Used_before_Trf!$AC$1)</f>
        <v>0</v>
      </c>
      <c r="AF16" s="160">
        <f>SUMIFS(BalDis!I:I,BalDis!J:J,Used_before_Trf!A16)</f>
        <v>0</v>
      </c>
      <c r="AG16" s="171">
        <f t="shared" si="35"/>
        <v>0</v>
      </c>
      <c r="AH16" s="162">
        <f>SUMIFS(BalDis!L:L,BalDis!J:J,Used_before_Trf!A16)</f>
        <v>0</v>
      </c>
      <c r="AI16" s="159">
        <f>SUMIFS(BalDip!$N$49:$N$75,BalDip!$C$49:$C$75,Used_before_Trf!A16)+SUMIFS(BalDip!$N$134:$N$157,BalDip!$C$134:$C$157,Used_before_Trf!A16)</f>
        <v>0</v>
      </c>
      <c r="AJ16" s="171">
        <f t="shared" si="36"/>
        <v>0</v>
      </c>
      <c r="AK16" s="177">
        <f>SUMIFS(BalDip!$N$80:$N$106,BalDip!$C$80:$C$106,Used_before_Trf!A16)+SUMIFS(BalDip!$N$161:$N$184,BalDip!$C$161:$C$184,Used_before_Trf!A16)</f>
        <v>0</v>
      </c>
      <c r="AL16" s="178">
        <f t="shared" si="37"/>
        <v>0</v>
      </c>
      <c r="AM16" s="179">
        <f t="shared" si="38"/>
        <v>0</v>
      </c>
      <c r="AN16" s="440">
        <f t="shared" si="39"/>
        <v>0</v>
      </c>
      <c r="AO16" s="180">
        <f t="shared" si="40"/>
        <v>0</v>
      </c>
    </row>
    <row r="17" spans="1:41" s="108" customFormat="1" ht="15" customHeight="1">
      <c r="A17" s="135" t="s">
        <v>197</v>
      </c>
      <c r="B17" s="573" t="s">
        <v>198</v>
      </c>
      <c r="C17" s="136">
        <f>SUMIF('Che-Store'!A:A,Used_before_Trf!A17,'Che-Store'!AC:AC)+SUMIF('Che-Comp'!A:A,Used_before_Trf!A17,'Che-Comp'!AC:AC)</f>
        <v>0</v>
      </c>
      <c r="D17" s="137">
        <f t="shared" si="20"/>
        <v>0</v>
      </c>
      <c r="E17" s="138">
        <f>SUMIF('Che-Store'!A:A,Used_before_Trf!A17,'Che-Store'!AE:AE)+SUMIF('Che-Comp'!A:A,Used_before_Trf!A17,'Che-Comp'!AE:AE)</f>
        <v>0</v>
      </c>
      <c r="F17" s="136">
        <f>SUMIFS('Che-Comp'!F:F,'Che-Comp'!$A:$A,Used_before_Trf!$A17)</f>
        <v>0</v>
      </c>
      <c r="G17" s="138">
        <f>SUMIFS('Che-Comp'!G:G,'Che-Comp'!$A:$A,Used_before_Trf!$A17)</f>
        <v>0</v>
      </c>
      <c r="H17" s="137">
        <f t="shared" si="21"/>
        <v>0</v>
      </c>
      <c r="I17" s="137">
        <f t="shared" si="22"/>
        <v>0</v>
      </c>
      <c r="J17" s="137">
        <f t="shared" si="23"/>
        <v>0</v>
      </c>
      <c r="K17" s="158">
        <f>SUMIF('Che.-Prod'!A:A,Used_before_Trf!A17,'Che.-Prod'!D:D)</f>
        <v>0</v>
      </c>
      <c r="L17" s="137">
        <f t="shared" si="24"/>
        <v>0</v>
      </c>
      <c r="M17" s="159">
        <f>SUMIF('Che.-Prod'!A:A,Used_before_Trf!A17,'Che.-Prod'!F:F)</f>
        <v>0</v>
      </c>
      <c r="N17" s="160">
        <f>SUMIF('Che.-Prod'!A:A,Used_before_Trf!A17,'Che.-Prod'!G:G)</f>
        <v>0</v>
      </c>
      <c r="O17" s="161">
        <f t="shared" si="25"/>
        <v>0</v>
      </c>
      <c r="P17" s="162">
        <f>SUMIF('Che.-Prod'!A:A,Used_before_Trf!A17,'Che.-Prod'!H:H)</f>
        <v>0</v>
      </c>
      <c r="Q17" s="160">
        <f>SUMIF('Che.-Prod'!A:A,Used_before_Trf!A17,'Che.-Prod'!P:P)</f>
        <v>0</v>
      </c>
      <c r="R17" s="161">
        <f t="shared" si="26"/>
        <v>0</v>
      </c>
      <c r="S17" s="159">
        <f>SUMIF('Che.-Prod'!A:A,Used_before_Trf!A17,'Che.-Prod'!R:R)</f>
        <v>0</v>
      </c>
      <c r="T17" s="169">
        <f t="shared" si="27"/>
        <v>0</v>
      </c>
      <c r="U17" s="507">
        <f t="shared" si="28"/>
        <v>0</v>
      </c>
      <c r="V17" s="170">
        <f t="shared" si="29"/>
        <v>0</v>
      </c>
      <c r="W17" s="158">
        <f>SUMIF('CHE-last month'!$A:$A,Used_before_Trf!A17,'CHE-last month'!C:C)</f>
        <v>0</v>
      </c>
      <c r="X17" s="520">
        <f t="shared" si="30"/>
        <v>0</v>
      </c>
      <c r="Y17" s="162">
        <f>SUMIF('CHE-last month'!$A:$A,Used_before_Trf!A17,'CHE-last month'!E:E)</f>
        <v>0</v>
      </c>
      <c r="Z17" s="159">
        <f t="shared" si="31"/>
        <v>0</v>
      </c>
      <c r="AA17" s="520">
        <f t="shared" si="32"/>
        <v>0</v>
      </c>
      <c r="AB17" s="159">
        <f t="shared" si="33"/>
        <v>0</v>
      </c>
      <c r="AC17" s="160">
        <f>SUMIFS(BalCom!M:M,BalCom!N:N,Used_before_Trf!A17,BalCom!C:C,Used_before_Trf!$AC$1)</f>
        <v>0</v>
      </c>
      <c r="AD17" s="171">
        <f t="shared" si="34"/>
        <v>0</v>
      </c>
      <c r="AE17" s="159">
        <f>SUMIFS(BalCom!P:P,BalCom!N:N,Used_before_Trf!A17,BalCom!C:C,Used_before_Trf!$AC$1)</f>
        <v>0</v>
      </c>
      <c r="AF17" s="160">
        <f>SUMIFS(BalDis!I:I,BalDis!J:J,Used_before_Trf!A17)</f>
        <v>0</v>
      </c>
      <c r="AG17" s="171">
        <f t="shared" si="35"/>
        <v>0</v>
      </c>
      <c r="AH17" s="162">
        <f>SUMIFS(BalDis!L:L,BalDis!J:J,Used_before_Trf!A17)</f>
        <v>0</v>
      </c>
      <c r="AI17" s="159">
        <f>SUMIFS(BalDip!$N$49:$N$75,BalDip!$C$49:$C$75,Used_before_Trf!A17)+SUMIFS(BalDip!$N$134:$N$157,BalDip!$C$134:$C$157,Used_before_Trf!A17)</f>
        <v>0</v>
      </c>
      <c r="AJ17" s="171">
        <f t="shared" si="36"/>
        <v>0</v>
      </c>
      <c r="AK17" s="177">
        <f>SUMIFS(BalDip!$N$80:$N$106,BalDip!$C$80:$C$106,Used_before_Trf!A17)+SUMIFS(BalDip!$N$161:$N$184,BalDip!$C$161:$C$184,Used_before_Trf!A17)</f>
        <v>0</v>
      </c>
      <c r="AL17" s="178">
        <f t="shared" si="37"/>
        <v>0</v>
      </c>
      <c r="AM17" s="179">
        <f t="shared" si="38"/>
        <v>0</v>
      </c>
      <c r="AN17" s="440">
        <f t="shared" si="39"/>
        <v>0</v>
      </c>
      <c r="AO17" s="180">
        <f t="shared" si="40"/>
        <v>0</v>
      </c>
    </row>
    <row r="18" spans="1:41" s="108" customFormat="1" ht="15" customHeight="1">
      <c r="A18" s="135" t="s">
        <v>199</v>
      </c>
      <c r="B18" s="573" t="s">
        <v>200</v>
      </c>
      <c r="C18" s="136">
        <f>SUMIF('Che-Store'!A:A,Used_before_Trf!A18,'Che-Store'!AC:AC)+SUMIF('Che-Comp'!A:A,Used_before_Trf!A18,'Che-Comp'!AC:AC)</f>
        <v>0</v>
      </c>
      <c r="D18" s="137">
        <f t="shared" si="20"/>
        <v>0</v>
      </c>
      <c r="E18" s="138">
        <f>SUMIF('Che-Store'!A:A,Used_before_Trf!A18,'Che-Store'!AE:AE)+SUMIF('Che-Comp'!A:A,Used_before_Trf!A18,'Che-Comp'!AE:AE)</f>
        <v>0</v>
      </c>
      <c r="F18" s="136">
        <f>SUMIFS('Che-Comp'!F:F,'Che-Comp'!$A:$A,Used_before_Trf!$A18)</f>
        <v>0</v>
      </c>
      <c r="G18" s="138">
        <f>SUMIFS('Che-Comp'!G:G,'Che-Comp'!$A:$A,Used_before_Trf!$A18)</f>
        <v>0</v>
      </c>
      <c r="H18" s="137">
        <f t="shared" si="21"/>
        <v>0</v>
      </c>
      <c r="I18" s="137">
        <f t="shared" si="22"/>
        <v>0</v>
      </c>
      <c r="J18" s="137">
        <f t="shared" si="23"/>
        <v>0</v>
      </c>
      <c r="K18" s="158">
        <f>SUMIF('Che.-Prod'!A:A,Used_before_Trf!A18,'Che.-Prod'!D:D)</f>
        <v>0</v>
      </c>
      <c r="L18" s="137">
        <f t="shared" si="24"/>
        <v>0</v>
      </c>
      <c r="M18" s="159">
        <f>SUMIF('Che.-Prod'!A:A,Used_before_Trf!A18,'Che.-Prod'!F:F)</f>
        <v>0</v>
      </c>
      <c r="N18" s="160">
        <f>SUMIF('Che.-Prod'!A:A,Used_before_Trf!A18,'Che.-Prod'!G:G)</f>
        <v>0</v>
      </c>
      <c r="O18" s="161">
        <f t="shared" si="25"/>
        <v>0</v>
      </c>
      <c r="P18" s="162">
        <f>SUMIF('Che.-Prod'!A:A,Used_before_Trf!A18,'Che.-Prod'!H:H)</f>
        <v>0</v>
      </c>
      <c r="Q18" s="160">
        <f>SUMIF('Che.-Prod'!A:A,Used_before_Trf!A18,'Che.-Prod'!P:P)</f>
        <v>0</v>
      </c>
      <c r="R18" s="161">
        <f t="shared" si="26"/>
        <v>0</v>
      </c>
      <c r="S18" s="159">
        <f>SUMIF('Che.-Prod'!A:A,Used_before_Trf!A18,'Che.-Prod'!R:R)</f>
        <v>0</v>
      </c>
      <c r="T18" s="169">
        <f t="shared" si="27"/>
        <v>0</v>
      </c>
      <c r="U18" s="507">
        <f t="shared" si="28"/>
        <v>0</v>
      </c>
      <c r="V18" s="170">
        <f t="shared" si="29"/>
        <v>0</v>
      </c>
      <c r="W18" s="158">
        <f>SUMIF('CHE-last month'!$A:$A,Used_before_Trf!A18,'CHE-last month'!C:C)</f>
        <v>0</v>
      </c>
      <c r="X18" s="520">
        <f t="shared" si="30"/>
        <v>0</v>
      </c>
      <c r="Y18" s="162">
        <f>SUMIF('CHE-last month'!$A:$A,Used_before_Trf!A18,'CHE-last month'!E:E)</f>
        <v>0</v>
      </c>
      <c r="Z18" s="159">
        <f t="shared" si="31"/>
        <v>0</v>
      </c>
      <c r="AA18" s="520">
        <f t="shared" si="32"/>
        <v>0</v>
      </c>
      <c r="AB18" s="159">
        <f t="shared" si="33"/>
        <v>0</v>
      </c>
      <c r="AC18" s="160">
        <f>SUMIFS(BalCom!M:M,BalCom!N:N,Used_before_Trf!A18,BalCom!C:C,Used_before_Trf!$AC$1)</f>
        <v>0</v>
      </c>
      <c r="AD18" s="171">
        <f t="shared" si="34"/>
        <v>0</v>
      </c>
      <c r="AE18" s="159">
        <f>SUMIFS(BalCom!P:P,BalCom!N:N,Used_before_Trf!A18,BalCom!C:C,Used_before_Trf!$AC$1)</f>
        <v>0</v>
      </c>
      <c r="AF18" s="160">
        <f>SUMIFS(BalDis!I:I,BalDis!J:J,Used_before_Trf!A18)</f>
        <v>0</v>
      </c>
      <c r="AG18" s="171">
        <f t="shared" si="35"/>
        <v>0</v>
      </c>
      <c r="AH18" s="162">
        <f>SUMIFS(BalDis!L:L,BalDis!J:J,Used_before_Trf!A18)</f>
        <v>0</v>
      </c>
      <c r="AI18" s="159">
        <f>SUMIFS(BalDip!$N$49:$N$75,BalDip!$C$49:$C$75,Used_before_Trf!A18)+SUMIFS(BalDip!$N$134:$N$157,BalDip!$C$134:$C$157,Used_before_Trf!A18)</f>
        <v>0</v>
      </c>
      <c r="AJ18" s="171">
        <f t="shared" si="36"/>
        <v>0</v>
      </c>
      <c r="AK18" s="177">
        <f>SUMIFS(BalDip!$N$80:$N$106,BalDip!$C$80:$C$106,Used_before_Trf!A18)+SUMIFS(BalDip!$N$161:$N$184,BalDip!$C$161:$C$184,Used_before_Trf!A18)</f>
        <v>0</v>
      </c>
      <c r="AL18" s="178">
        <f t="shared" si="37"/>
        <v>0</v>
      </c>
      <c r="AM18" s="179">
        <f t="shared" si="38"/>
        <v>0</v>
      </c>
      <c r="AN18" s="440">
        <f t="shared" si="39"/>
        <v>0</v>
      </c>
      <c r="AO18" s="180">
        <f t="shared" si="40"/>
        <v>0</v>
      </c>
    </row>
    <row r="19" spans="1:41" s="108" customFormat="1" ht="15" customHeight="1">
      <c r="A19" s="139" t="s">
        <v>201</v>
      </c>
      <c r="B19" s="573" t="s">
        <v>202</v>
      </c>
      <c r="C19" s="136">
        <f>SUMIF('Che-Store'!A:A,Used_before_Trf!A19,'Che-Store'!AC:AC)+SUMIF('Che-Comp'!A:A,Used_before_Trf!A19,'Che-Comp'!AC:AC)</f>
        <v>0</v>
      </c>
      <c r="D19" s="137">
        <f t="shared" si="20"/>
        <v>0</v>
      </c>
      <c r="E19" s="138">
        <f>SUMIF('Che-Store'!A:A,Used_before_Trf!A19,'Che-Store'!AE:AE)+SUMIF('Che-Comp'!A:A,Used_before_Trf!A19,'Che-Comp'!AE:AE)</f>
        <v>0</v>
      </c>
      <c r="F19" s="136">
        <f>SUMIFS('Che-Comp'!F:F,'Che-Comp'!$A:$A,Used_before_Trf!$A19)</f>
        <v>0</v>
      </c>
      <c r="G19" s="138">
        <f>SUMIFS('Che-Comp'!G:G,'Che-Comp'!$A:$A,Used_before_Trf!$A19)</f>
        <v>0</v>
      </c>
      <c r="H19" s="137">
        <f t="shared" si="21"/>
        <v>0</v>
      </c>
      <c r="I19" s="137">
        <f t="shared" si="22"/>
        <v>0</v>
      </c>
      <c r="J19" s="137">
        <f t="shared" si="23"/>
        <v>0</v>
      </c>
      <c r="K19" s="158">
        <f>SUMIF('Che.-Prod'!A:A,Used_before_Trf!A19,'Che.-Prod'!D:D)</f>
        <v>0</v>
      </c>
      <c r="L19" s="137">
        <f t="shared" si="24"/>
        <v>0</v>
      </c>
      <c r="M19" s="159">
        <f>SUMIF('Che.-Prod'!A:A,Used_before_Trf!A19,'Che.-Prod'!F:F)</f>
        <v>0</v>
      </c>
      <c r="N19" s="160">
        <f>SUMIF('Che.-Prod'!A:A,Used_before_Trf!A19,'Che.-Prod'!G:G)</f>
        <v>0</v>
      </c>
      <c r="O19" s="161">
        <f t="shared" si="25"/>
        <v>0</v>
      </c>
      <c r="P19" s="162">
        <f>SUMIF('Che.-Prod'!A:A,Used_before_Trf!A19,'Che.-Prod'!H:H)</f>
        <v>0</v>
      </c>
      <c r="Q19" s="160">
        <f>SUMIF('Che.-Prod'!A:A,Used_before_Trf!A19,'Che.-Prod'!P:P)</f>
        <v>0</v>
      </c>
      <c r="R19" s="161">
        <f t="shared" si="26"/>
        <v>0</v>
      </c>
      <c r="S19" s="159">
        <f>SUMIF('Che.-Prod'!A:A,Used_before_Trf!A19,'Che.-Prod'!R:R)</f>
        <v>0</v>
      </c>
      <c r="T19" s="169">
        <f t="shared" si="27"/>
        <v>0</v>
      </c>
      <c r="U19" s="507">
        <f t="shared" si="28"/>
        <v>0</v>
      </c>
      <c r="V19" s="170">
        <f t="shared" si="29"/>
        <v>0</v>
      </c>
      <c r="W19" s="158">
        <f>SUMIF('CHE-last month'!$A:$A,Used_before_Trf!A19,'CHE-last month'!C:C)</f>
        <v>0</v>
      </c>
      <c r="X19" s="520">
        <f t="shared" si="30"/>
        <v>0</v>
      </c>
      <c r="Y19" s="162">
        <f>SUMIF('CHE-last month'!$A:$A,Used_before_Trf!A19,'CHE-last month'!E:E)</f>
        <v>0</v>
      </c>
      <c r="Z19" s="159">
        <f t="shared" si="31"/>
        <v>0</v>
      </c>
      <c r="AA19" s="520">
        <f t="shared" si="32"/>
        <v>0</v>
      </c>
      <c r="AB19" s="159">
        <f t="shared" si="33"/>
        <v>0</v>
      </c>
      <c r="AC19" s="160">
        <f>SUMIFS(BalCom!M:M,BalCom!N:N,Used_before_Trf!A19,BalCom!C:C,Used_before_Trf!$AC$1)</f>
        <v>0</v>
      </c>
      <c r="AD19" s="171">
        <f t="shared" si="34"/>
        <v>0</v>
      </c>
      <c r="AE19" s="159">
        <f>SUMIFS(BalCom!P:P,BalCom!N:N,Used_before_Trf!A19,BalCom!C:C,Used_before_Trf!$AC$1)</f>
        <v>0</v>
      </c>
      <c r="AF19" s="160">
        <f>SUMIFS(BalDis!I:I,BalDis!J:J,Used_before_Trf!A19)</f>
        <v>0</v>
      </c>
      <c r="AG19" s="171">
        <f t="shared" si="35"/>
        <v>0</v>
      </c>
      <c r="AH19" s="162">
        <f>SUMIFS(BalDis!L:L,BalDis!J:J,Used_before_Trf!A19)</f>
        <v>0</v>
      </c>
      <c r="AI19" s="159">
        <f>SUMIFS(BalDip!$N$49:$N$75,BalDip!$C$49:$C$75,Used_before_Trf!A19)+SUMIFS(BalDip!$N$134:$N$157,BalDip!$C$134:$C$157,Used_before_Trf!A19)</f>
        <v>0</v>
      </c>
      <c r="AJ19" s="171">
        <f t="shared" si="36"/>
        <v>0</v>
      </c>
      <c r="AK19" s="177">
        <f>SUMIFS(BalDip!$N$80:$N$106,BalDip!$C$80:$C$106,Used_before_Trf!A19)+SUMIFS(BalDip!$N$161:$N$184,BalDip!$C$161:$C$184,Used_before_Trf!A19)</f>
        <v>0</v>
      </c>
      <c r="AL19" s="178">
        <f t="shared" si="37"/>
        <v>0</v>
      </c>
      <c r="AM19" s="179">
        <f t="shared" si="38"/>
        <v>0</v>
      </c>
      <c r="AN19" s="440">
        <f t="shared" si="39"/>
        <v>0</v>
      </c>
      <c r="AO19" s="180">
        <f t="shared" si="40"/>
        <v>0</v>
      </c>
    </row>
    <row r="20" spans="1:41" s="108" customFormat="1" ht="15" customHeight="1">
      <c r="A20" s="139" t="s">
        <v>203</v>
      </c>
      <c r="B20" s="573" t="s">
        <v>204</v>
      </c>
      <c r="C20" s="136">
        <f>SUMIF('Che-Store'!A:A,Used_before_Trf!A20,'Che-Store'!AC:AC)+SUMIF('Che-Comp'!A:A,Used_before_Trf!A20,'Che-Comp'!AC:AC)</f>
        <v>77.739999999999995</v>
      </c>
      <c r="D20" s="137">
        <f t="shared" si="20"/>
        <v>216.34126575765373</v>
      </c>
      <c r="E20" s="138">
        <f>SUMIF('Che-Store'!A:A,Used_before_Trf!A20,'Che-Store'!AE:AE)+SUMIF('Che-Comp'!A:A,Used_before_Trf!A20,'Che-Comp'!AE:AE)</f>
        <v>16818.37</v>
      </c>
      <c r="F20" s="136">
        <f>SUMIFS('Che-Comp'!F:F,'Che-Comp'!$A:$A,Used_before_Trf!$A20)</f>
        <v>0</v>
      </c>
      <c r="G20" s="138">
        <f>SUMIFS('Che-Comp'!G:G,'Che-Comp'!$A:$A,Used_before_Trf!$A20)</f>
        <v>0</v>
      </c>
      <c r="H20" s="137">
        <f t="shared" si="21"/>
        <v>77.739999999999995</v>
      </c>
      <c r="I20" s="137">
        <f t="shared" si="22"/>
        <v>216.34126575765373</v>
      </c>
      <c r="J20" s="137">
        <f t="shared" si="23"/>
        <v>16818.37</v>
      </c>
      <c r="K20" s="158">
        <f>SUMIF('Che.-Prod'!A:A,Used_before_Trf!A20,'Che.-Prod'!D:D)</f>
        <v>0</v>
      </c>
      <c r="L20" s="137">
        <f t="shared" si="24"/>
        <v>0</v>
      </c>
      <c r="M20" s="159">
        <f>SUMIF('Che.-Prod'!A:A,Used_before_Trf!A20,'Che.-Prod'!F:F)</f>
        <v>0</v>
      </c>
      <c r="N20" s="160">
        <f>SUMIF('Che.-Prod'!A:A,Used_before_Trf!A20,'Che.-Prod'!G:G)</f>
        <v>0</v>
      </c>
      <c r="O20" s="161">
        <f t="shared" si="25"/>
        <v>0</v>
      </c>
      <c r="P20" s="162">
        <f>SUMIF('Che.-Prod'!A:A,Used_before_Trf!A20,'Che.-Prod'!H:H)</f>
        <v>0</v>
      </c>
      <c r="Q20" s="160">
        <f>SUMIF('Che.-Prod'!A:A,Used_before_Trf!A20,'Che.-Prod'!P:P)</f>
        <v>0</v>
      </c>
      <c r="R20" s="161">
        <f t="shared" si="26"/>
        <v>0</v>
      </c>
      <c r="S20" s="159">
        <f>SUMIF('Che.-Prod'!A:A,Used_before_Trf!A20,'Che.-Prod'!R:R)</f>
        <v>0</v>
      </c>
      <c r="T20" s="169">
        <f t="shared" si="27"/>
        <v>77.739999999999995</v>
      </c>
      <c r="U20" s="507">
        <f t="shared" si="28"/>
        <v>216.34126575765373</v>
      </c>
      <c r="V20" s="170">
        <f t="shared" si="29"/>
        <v>16818.37</v>
      </c>
      <c r="W20" s="158">
        <f>SUMIF('CHE-last month'!$A:$A,Used_before_Trf!A20,'CHE-last month'!C:C)</f>
        <v>45.374651835901759</v>
      </c>
      <c r="X20" s="520">
        <f t="shared" si="30"/>
        <v>214.79062881290557</v>
      </c>
      <c r="Y20" s="162">
        <f>SUMIF('CHE-last month'!$A:$A,Used_before_Trf!A20,'CHE-last month'!E:E)</f>
        <v>9746.0499999999993</v>
      </c>
      <c r="Z20" s="159">
        <f t="shared" si="31"/>
        <v>6.5014367698596418</v>
      </c>
      <c r="AA20" s="520">
        <f t="shared" si="32"/>
        <v>216.34294845727854</v>
      </c>
      <c r="AB20" s="159">
        <f t="shared" si="33"/>
        <v>1406.54</v>
      </c>
      <c r="AC20" s="160">
        <f>SUMIFS(BalCom!M:M,BalCom!N:N,Used_before_Trf!A20,BalCom!C:C,Used_before_Trf!$AC$1)</f>
        <v>6.5014367698596418</v>
      </c>
      <c r="AD20" s="171">
        <f t="shared" si="34"/>
        <v>216.34294845727854</v>
      </c>
      <c r="AE20" s="159">
        <f>SUMIFS(BalCom!P:P,BalCom!N:N,Used_before_Trf!A20,BalCom!C:C,Used_before_Trf!$AC$1)</f>
        <v>1406.54</v>
      </c>
      <c r="AF20" s="160">
        <f>SUMIFS(BalDis!I:I,BalDis!J:J,Used_before_Trf!A20)</f>
        <v>0</v>
      </c>
      <c r="AG20" s="171">
        <f t="shared" si="35"/>
        <v>0</v>
      </c>
      <c r="AH20" s="162">
        <f>SUMIFS(BalDis!L:L,BalDis!J:J,Used_before_Trf!A20)</f>
        <v>0</v>
      </c>
      <c r="AI20" s="159">
        <f>SUMIFS(BalDip!$N$49:$N$75,BalDip!$C$49:$C$75,Used_before_Trf!A20)+SUMIFS(BalDip!$N$134:$N$157,BalDip!$C$134:$C$157,Used_before_Trf!A20)</f>
        <v>0</v>
      </c>
      <c r="AJ20" s="171">
        <f t="shared" si="36"/>
        <v>0</v>
      </c>
      <c r="AK20" s="177">
        <f>SUMIFS(BalDip!$N$80:$N$106,BalDip!$C$80:$C$106,Used_before_Trf!A20)+SUMIFS(BalDip!$N$161:$N$184,BalDip!$C$161:$C$184,Used_before_Trf!A20)</f>
        <v>0</v>
      </c>
      <c r="AL20" s="178">
        <f t="shared" si="37"/>
        <v>116.61321506604212</v>
      </c>
      <c r="AM20" s="179">
        <f t="shared" si="38"/>
        <v>215.73781312651585</v>
      </c>
      <c r="AN20" s="440">
        <f t="shared" si="39"/>
        <v>25157.879999999997</v>
      </c>
      <c r="AO20" s="180">
        <f t="shared" si="40"/>
        <v>-0.60345263113788405</v>
      </c>
    </row>
    <row r="21" spans="1:41" s="108" customFormat="1" ht="15" customHeight="1">
      <c r="A21" s="139" t="s">
        <v>205</v>
      </c>
      <c r="B21" s="573" t="s">
        <v>206</v>
      </c>
      <c r="C21" s="136">
        <f>SUMIF('Che-Store'!A:A,Used_before_Trf!A21,'Che-Store'!AC:AC)+SUMIF('Che-Comp'!A:A,Used_before_Trf!A21,'Che-Comp'!AC:AC)</f>
        <v>0</v>
      </c>
      <c r="D21" s="137">
        <f t="shared" si="20"/>
        <v>0</v>
      </c>
      <c r="E21" s="138">
        <f>SUMIF('Che-Store'!A:A,Used_before_Trf!A21,'Che-Store'!AE:AE)+SUMIF('Che-Comp'!A:A,Used_before_Trf!A21,'Che-Comp'!AE:AE)</f>
        <v>0</v>
      </c>
      <c r="F21" s="136">
        <f>SUMIFS('Che-Comp'!F:F,'Che-Comp'!$A:$A,Used_before_Trf!$A21)</f>
        <v>0</v>
      </c>
      <c r="G21" s="138">
        <f>SUMIFS('Che-Comp'!G:G,'Che-Comp'!$A:$A,Used_before_Trf!$A21)</f>
        <v>0</v>
      </c>
      <c r="H21" s="137">
        <f t="shared" si="21"/>
        <v>0</v>
      </c>
      <c r="I21" s="137">
        <f t="shared" si="22"/>
        <v>0</v>
      </c>
      <c r="J21" s="137">
        <f t="shared" si="23"/>
        <v>0</v>
      </c>
      <c r="K21" s="158">
        <f>SUMIF('Che.-Prod'!A:A,Used_before_Trf!A21,'Che.-Prod'!D:D)</f>
        <v>0</v>
      </c>
      <c r="L21" s="137">
        <f t="shared" si="24"/>
        <v>0</v>
      </c>
      <c r="M21" s="159">
        <f>SUMIF('Che.-Prod'!A:A,Used_before_Trf!A21,'Che.-Prod'!F:F)</f>
        <v>0</v>
      </c>
      <c r="N21" s="160">
        <f>SUMIF('Che.-Prod'!A:A,Used_before_Trf!A21,'Che.-Prod'!G:G)</f>
        <v>0</v>
      </c>
      <c r="O21" s="161">
        <f t="shared" si="25"/>
        <v>0</v>
      </c>
      <c r="P21" s="162">
        <f>SUMIF('Che.-Prod'!A:A,Used_before_Trf!A21,'Che.-Prod'!H:H)</f>
        <v>0</v>
      </c>
      <c r="Q21" s="160">
        <f>SUMIF('Che.-Prod'!A:A,Used_before_Trf!A21,'Che.-Prod'!P:P)</f>
        <v>0</v>
      </c>
      <c r="R21" s="161">
        <f t="shared" si="26"/>
        <v>0</v>
      </c>
      <c r="S21" s="159">
        <f>SUMIF('Che.-Prod'!A:A,Used_before_Trf!A21,'Che.-Prod'!R:R)</f>
        <v>0</v>
      </c>
      <c r="T21" s="169">
        <f t="shared" si="27"/>
        <v>0</v>
      </c>
      <c r="U21" s="507">
        <f t="shared" si="28"/>
        <v>0</v>
      </c>
      <c r="V21" s="170">
        <f t="shared" si="29"/>
        <v>0</v>
      </c>
      <c r="W21" s="158">
        <f>SUMIF('CHE-last month'!$A:$A,Used_before_Trf!A21,'CHE-last month'!C:C)</f>
        <v>0</v>
      </c>
      <c r="X21" s="520">
        <f t="shared" si="30"/>
        <v>0</v>
      </c>
      <c r="Y21" s="162">
        <f>SUMIF('CHE-last month'!$A:$A,Used_before_Trf!A21,'CHE-last month'!E:E)</f>
        <v>0</v>
      </c>
      <c r="Z21" s="159">
        <f t="shared" si="31"/>
        <v>0</v>
      </c>
      <c r="AA21" s="520">
        <f t="shared" si="32"/>
        <v>0</v>
      </c>
      <c r="AB21" s="159">
        <f t="shared" si="33"/>
        <v>0</v>
      </c>
      <c r="AC21" s="160">
        <f>SUMIFS(BalCom!M:M,BalCom!N:N,Used_before_Trf!A21,BalCom!C:C,Used_before_Trf!$AC$1)</f>
        <v>0</v>
      </c>
      <c r="AD21" s="171">
        <f t="shared" si="34"/>
        <v>0</v>
      </c>
      <c r="AE21" s="159">
        <f>SUMIFS(BalCom!P:P,BalCom!N:N,Used_before_Trf!A21,BalCom!C:C,Used_before_Trf!$AC$1)</f>
        <v>0</v>
      </c>
      <c r="AF21" s="160">
        <f>SUMIFS(BalDis!I:I,BalDis!J:J,Used_before_Trf!A21)</f>
        <v>0</v>
      </c>
      <c r="AG21" s="171">
        <f t="shared" si="35"/>
        <v>0</v>
      </c>
      <c r="AH21" s="162">
        <f>SUMIFS(BalDis!L:L,BalDis!J:J,Used_before_Trf!A21)</f>
        <v>0</v>
      </c>
      <c r="AI21" s="159">
        <f>SUMIFS(BalDip!$N$49:$N$75,BalDip!$C$49:$C$75,Used_before_Trf!A21)+SUMIFS(BalDip!$N$134:$N$157,BalDip!$C$134:$C$157,Used_before_Trf!A21)</f>
        <v>0</v>
      </c>
      <c r="AJ21" s="171">
        <f t="shared" si="36"/>
        <v>0</v>
      </c>
      <c r="AK21" s="177">
        <f>SUMIFS(BalDip!$N$80:$N$106,BalDip!$C$80:$C$106,Used_before_Trf!A21)+SUMIFS(BalDip!$N$161:$N$184,BalDip!$C$161:$C$184,Used_before_Trf!A21)</f>
        <v>0</v>
      </c>
      <c r="AL21" s="178">
        <f t="shared" si="37"/>
        <v>0</v>
      </c>
      <c r="AM21" s="179">
        <f t="shared" si="38"/>
        <v>0</v>
      </c>
      <c r="AN21" s="440">
        <f t="shared" si="39"/>
        <v>0</v>
      </c>
      <c r="AO21" s="180">
        <f t="shared" si="40"/>
        <v>0</v>
      </c>
    </row>
    <row r="22" spans="1:41" s="108" customFormat="1" ht="15" customHeight="1">
      <c r="A22" s="135" t="s">
        <v>207</v>
      </c>
      <c r="B22" s="573" t="s">
        <v>208</v>
      </c>
      <c r="C22" s="136">
        <f>SUMIF('Che-Store'!A:A,Used_before_Trf!A22,'Che-Store'!AC:AC)+SUMIF('Che-Comp'!A:A,Used_before_Trf!A22,'Che-Comp'!AC:AC)</f>
        <v>0</v>
      </c>
      <c r="D22" s="137">
        <f t="shared" si="20"/>
        <v>0</v>
      </c>
      <c r="E22" s="138">
        <f>SUMIF('Che-Store'!A:A,Used_before_Trf!A22,'Che-Store'!AE:AE)+SUMIF('Che-Comp'!A:A,Used_before_Trf!A22,'Che-Comp'!AE:AE)</f>
        <v>0</v>
      </c>
      <c r="F22" s="136">
        <f>SUMIFS('Che-Comp'!F:F,'Che-Comp'!$A:$A,Used_before_Trf!$A22)</f>
        <v>0</v>
      </c>
      <c r="G22" s="138">
        <f>SUMIFS('Che-Comp'!G:G,'Che-Comp'!$A:$A,Used_before_Trf!$A22)</f>
        <v>0</v>
      </c>
      <c r="H22" s="137">
        <f t="shared" si="21"/>
        <v>0</v>
      </c>
      <c r="I22" s="137">
        <f t="shared" si="22"/>
        <v>0</v>
      </c>
      <c r="J22" s="137">
        <f t="shared" si="23"/>
        <v>0</v>
      </c>
      <c r="K22" s="158">
        <f>SUMIF('Che.-Prod'!A:A,Used_before_Trf!A22,'Che.-Prod'!D:D)</f>
        <v>0</v>
      </c>
      <c r="L22" s="137">
        <f t="shared" si="24"/>
        <v>0</v>
      </c>
      <c r="M22" s="159">
        <f>SUMIF('Che.-Prod'!A:A,Used_before_Trf!A22,'Che.-Prod'!F:F)</f>
        <v>0</v>
      </c>
      <c r="N22" s="160">
        <f>SUMIF('Che.-Prod'!A:A,Used_before_Trf!A22,'Che.-Prod'!G:G)</f>
        <v>0</v>
      </c>
      <c r="O22" s="161">
        <f t="shared" si="25"/>
        <v>0</v>
      </c>
      <c r="P22" s="162">
        <f>SUMIF('Che.-Prod'!A:A,Used_before_Trf!A22,'Che.-Prod'!H:H)</f>
        <v>0</v>
      </c>
      <c r="Q22" s="160">
        <f>SUMIF('Che.-Prod'!A:A,Used_before_Trf!A22,'Che.-Prod'!P:P)</f>
        <v>0</v>
      </c>
      <c r="R22" s="161">
        <f t="shared" si="26"/>
        <v>0</v>
      </c>
      <c r="S22" s="159">
        <f>SUMIF('Che.-Prod'!A:A,Used_before_Trf!A22,'Che.-Prod'!R:R)</f>
        <v>0</v>
      </c>
      <c r="T22" s="169">
        <f t="shared" si="27"/>
        <v>0</v>
      </c>
      <c r="U22" s="507">
        <f t="shared" si="28"/>
        <v>0</v>
      </c>
      <c r="V22" s="170">
        <f t="shared" si="29"/>
        <v>0</v>
      </c>
      <c r="W22" s="158">
        <f>SUMIF('CHE-last month'!$A:$A,Used_before_Trf!A22,'CHE-last month'!C:C)</f>
        <v>0</v>
      </c>
      <c r="X22" s="520">
        <f t="shared" si="30"/>
        <v>0</v>
      </c>
      <c r="Y22" s="162">
        <f>SUMIF('CHE-last month'!$A:$A,Used_before_Trf!A22,'CHE-last month'!E:E)</f>
        <v>0</v>
      </c>
      <c r="Z22" s="159">
        <f t="shared" si="31"/>
        <v>0</v>
      </c>
      <c r="AA22" s="520">
        <f t="shared" si="32"/>
        <v>0</v>
      </c>
      <c r="AB22" s="159">
        <f t="shared" si="33"/>
        <v>0</v>
      </c>
      <c r="AC22" s="160">
        <f>SUMIFS(BalCom!M:M,BalCom!N:N,Used_before_Trf!A22,BalCom!C:C,Used_before_Trf!$AC$1)</f>
        <v>0</v>
      </c>
      <c r="AD22" s="171">
        <f t="shared" si="34"/>
        <v>0</v>
      </c>
      <c r="AE22" s="159">
        <f>SUMIFS(BalCom!P:P,BalCom!N:N,Used_before_Trf!A22,BalCom!C:C,Used_before_Trf!$AC$1)</f>
        <v>0</v>
      </c>
      <c r="AF22" s="160">
        <f>SUMIFS(BalDis!I:I,BalDis!J:J,Used_before_Trf!A22)</f>
        <v>0</v>
      </c>
      <c r="AG22" s="171">
        <f t="shared" si="35"/>
        <v>0</v>
      </c>
      <c r="AH22" s="162">
        <f>SUMIFS(BalDis!L:L,BalDis!J:J,Used_before_Trf!A22)</f>
        <v>0</v>
      </c>
      <c r="AI22" s="159">
        <f>SUMIFS(BalDip!$N$49:$N$75,BalDip!$C$49:$C$75,Used_before_Trf!A22)+SUMIFS(BalDip!$N$134:$N$157,BalDip!$C$134:$C$157,Used_before_Trf!A22)</f>
        <v>0</v>
      </c>
      <c r="AJ22" s="171">
        <f t="shared" si="36"/>
        <v>0</v>
      </c>
      <c r="AK22" s="177">
        <f>SUMIFS(BalDip!$N$80:$N$106,BalDip!$C$80:$C$106,Used_before_Trf!A22)+SUMIFS(BalDip!$N$161:$N$184,BalDip!$C$161:$C$184,Used_before_Trf!A22)</f>
        <v>0</v>
      </c>
      <c r="AL22" s="178">
        <f t="shared" si="37"/>
        <v>0</v>
      </c>
      <c r="AM22" s="179">
        <f t="shared" si="38"/>
        <v>0</v>
      </c>
      <c r="AN22" s="440">
        <f t="shared" si="39"/>
        <v>0</v>
      </c>
      <c r="AO22" s="180">
        <f t="shared" si="40"/>
        <v>0</v>
      </c>
    </row>
    <row r="23" spans="1:41" s="108" customFormat="1" ht="15" customHeight="1">
      <c r="A23" s="135" t="s">
        <v>209</v>
      </c>
      <c r="B23" s="511" t="s">
        <v>210</v>
      </c>
      <c r="C23" s="136">
        <f>SUMIF('Che-Store'!A:A,Used_before_Trf!A23,'Che-Store'!AC:AC)+SUMIF('Che-Comp'!A:A,Used_before_Trf!A23,'Che-Comp'!AC:AC)</f>
        <v>0</v>
      </c>
      <c r="D23" s="137">
        <f t="shared" si="20"/>
        <v>0</v>
      </c>
      <c r="E23" s="138">
        <f>SUMIF('Che-Store'!A:A,Used_before_Trf!A23,'Che-Store'!AE:AE)+SUMIF('Che-Comp'!A:A,Used_before_Trf!A23,'Che-Comp'!AE:AE)</f>
        <v>0</v>
      </c>
      <c r="F23" s="136">
        <f>SUMIFS('Che-Comp'!F:F,'Che-Comp'!$A:$A,Used_before_Trf!$A23)</f>
        <v>0</v>
      </c>
      <c r="G23" s="138">
        <f>SUMIFS('Che-Comp'!G:G,'Che-Comp'!$A:$A,Used_before_Trf!$A23)</f>
        <v>0</v>
      </c>
      <c r="H23" s="137">
        <f t="shared" si="21"/>
        <v>0</v>
      </c>
      <c r="I23" s="137">
        <f t="shared" si="22"/>
        <v>0</v>
      </c>
      <c r="J23" s="137">
        <f t="shared" si="23"/>
        <v>0</v>
      </c>
      <c r="K23" s="158">
        <f>SUMIF('Che.-Prod'!A:A,Used_before_Trf!A23,'Che.-Prod'!D:D)</f>
        <v>0</v>
      </c>
      <c r="L23" s="137">
        <f t="shared" si="24"/>
        <v>0</v>
      </c>
      <c r="M23" s="159">
        <f>SUMIF('Che.-Prod'!A:A,Used_before_Trf!A23,'Che.-Prod'!F:F)</f>
        <v>0</v>
      </c>
      <c r="N23" s="160">
        <f>SUMIF('Che.-Prod'!A:A,Used_before_Trf!A23,'Che.-Prod'!G:G)</f>
        <v>0</v>
      </c>
      <c r="O23" s="161">
        <f t="shared" si="25"/>
        <v>0</v>
      </c>
      <c r="P23" s="162">
        <f>SUMIF('Che.-Prod'!A:A,Used_before_Trf!A23,'Che.-Prod'!H:H)</f>
        <v>0</v>
      </c>
      <c r="Q23" s="160">
        <f>SUMIF('Che.-Prod'!A:A,Used_before_Trf!A23,'Che.-Prod'!P:P)</f>
        <v>0</v>
      </c>
      <c r="R23" s="161">
        <f t="shared" si="26"/>
        <v>0</v>
      </c>
      <c r="S23" s="159">
        <f>SUMIF('Che.-Prod'!A:A,Used_before_Trf!A23,'Che.-Prod'!R:R)</f>
        <v>0</v>
      </c>
      <c r="T23" s="169">
        <f t="shared" si="27"/>
        <v>0</v>
      </c>
      <c r="U23" s="507">
        <f t="shared" si="28"/>
        <v>0</v>
      </c>
      <c r="V23" s="170">
        <f t="shared" si="29"/>
        <v>0</v>
      </c>
      <c r="W23" s="158">
        <f>SUMIF('CHE-last month'!$A:$A,Used_before_Trf!A23,'CHE-last month'!C:C)</f>
        <v>0</v>
      </c>
      <c r="X23" s="520">
        <f t="shared" si="30"/>
        <v>0</v>
      </c>
      <c r="Y23" s="162">
        <f>SUMIF('CHE-last month'!$A:$A,Used_before_Trf!A23,'CHE-last month'!E:E)</f>
        <v>0</v>
      </c>
      <c r="Z23" s="159">
        <f t="shared" si="31"/>
        <v>0</v>
      </c>
      <c r="AA23" s="520">
        <f t="shared" si="32"/>
        <v>0</v>
      </c>
      <c r="AB23" s="159">
        <f t="shared" si="33"/>
        <v>0</v>
      </c>
      <c r="AC23" s="160">
        <f>SUMIFS(BalCom!M:M,BalCom!N:N,Used_before_Trf!A23,BalCom!C:C,Used_before_Trf!$AC$1)</f>
        <v>0</v>
      </c>
      <c r="AD23" s="171">
        <f t="shared" si="34"/>
        <v>0</v>
      </c>
      <c r="AE23" s="159">
        <f>SUMIFS(BalCom!P:P,BalCom!N:N,Used_before_Trf!A23,BalCom!C:C,Used_before_Trf!$AC$1)</f>
        <v>0</v>
      </c>
      <c r="AF23" s="160">
        <f>SUMIFS(BalDis!I:I,BalDis!J:J,Used_before_Trf!A23)</f>
        <v>0</v>
      </c>
      <c r="AG23" s="171">
        <f t="shared" si="35"/>
        <v>0</v>
      </c>
      <c r="AH23" s="162">
        <f>SUMIFS(BalDis!L:L,BalDis!J:J,Used_before_Trf!A23)</f>
        <v>0</v>
      </c>
      <c r="AI23" s="159">
        <f>SUMIFS(BalDip!$N$49:$N$75,BalDip!$C$49:$C$75,Used_before_Trf!A23)+SUMIFS(BalDip!$N$134:$N$157,BalDip!$C$134:$C$157,Used_before_Trf!A23)</f>
        <v>0</v>
      </c>
      <c r="AJ23" s="171">
        <f t="shared" si="36"/>
        <v>0</v>
      </c>
      <c r="AK23" s="177">
        <f>SUMIFS(BalDip!$N$80:$N$106,BalDip!$C$80:$C$106,Used_before_Trf!A23)+SUMIFS(BalDip!$N$161:$N$184,BalDip!$C$161:$C$184,Used_before_Trf!A23)</f>
        <v>0</v>
      </c>
      <c r="AL23" s="178">
        <f t="shared" si="37"/>
        <v>0</v>
      </c>
      <c r="AM23" s="179">
        <f t="shared" si="38"/>
        <v>0</v>
      </c>
      <c r="AN23" s="440">
        <f t="shared" si="39"/>
        <v>0</v>
      </c>
      <c r="AO23" s="180">
        <f t="shared" si="40"/>
        <v>0</v>
      </c>
    </row>
    <row r="24" spans="1:41" s="108" customFormat="1" ht="15" customHeight="1">
      <c r="A24" s="135" t="s">
        <v>211</v>
      </c>
      <c r="B24" s="573" t="s">
        <v>212</v>
      </c>
      <c r="C24" s="136">
        <f>SUMIF('Che-Store'!A:A,Used_before_Trf!A24,'Che-Store'!AC:AC)+SUMIF('Che-Comp'!A:A,Used_before_Trf!A24,'Che-Comp'!AC:AC)</f>
        <v>2090</v>
      </c>
      <c r="D24" s="137">
        <f t="shared" si="20"/>
        <v>57.918555023923446</v>
      </c>
      <c r="E24" s="138">
        <f>SUMIF('Che-Store'!A:A,Used_before_Trf!A24,'Che-Store'!AE:AE)+SUMIF('Che-Comp'!A:A,Used_before_Trf!A24,'Che-Comp'!AE:AE)</f>
        <v>121049.78</v>
      </c>
      <c r="F24" s="136">
        <f>SUMIFS('Che-Comp'!F:F,'Che-Comp'!$A:$A,Used_before_Trf!$A24)</f>
        <v>0</v>
      </c>
      <c r="G24" s="138">
        <f>SUMIFS('Che-Comp'!G:G,'Che-Comp'!$A:$A,Used_before_Trf!$A24)</f>
        <v>0</v>
      </c>
      <c r="H24" s="137">
        <f t="shared" si="21"/>
        <v>2090</v>
      </c>
      <c r="I24" s="137">
        <f t="shared" si="22"/>
        <v>57.918555023923446</v>
      </c>
      <c r="J24" s="137">
        <f t="shared" si="23"/>
        <v>121049.78</v>
      </c>
      <c r="K24" s="158">
        <f>SUMIF('Che.-Prod'!A:A,Used_before_Trf!A24,'Che.-Prod'!D:D)</f>
        <v>0</v>
      </c>
      <c r="L24" s="137">
        <f t="shared" si="24"/>
        <v>0</v>
      </c>
      <c r="M24" s="159">
        <f>SUMIF('Che.-Prod'!A:A,Used_before_Trf!A24,'Che.-Prod'!F:F)</f>
        <v>0</v>
      </c>
      <c r="N24" s="160">
        <f>SUMIF('Che.-Prod'!A:A,Used_before_Trf!A24,'Che.-Prod'!G:G)</f>
        <v>0</v>
      </c>
      <c r="O24" s="161">
        <f t="shared" si="25"/>
        <v>0</v>
      </c>
      <c r="P24" s="162">
        <f>SUMIF('Che.-Prod'!A:A,Used_before_Trf!A24,'Che.-Prod'!H:H)</f>
        <v>0</v>
      </c>
      <c r="Q24" s="160">
        <f>SUMIF('Che.-Prod'!A:A,Used_before_Trf!A24,'Che.-Prod'!P:P)</f>
        <v>0</v>
      </c>
      <c r="R24" s="161">
        <f t="shared" si="26"/>
        <v>0</v>
      </c>
      <c r="S24" s="159">
        <f>SUMIF('Che.-Prod'!A:A,Used_before_Trf!A24,'Che.-Prod'!R:R)</f>
        <v>0</v>
      </c>
      <c r="T24" s="169">
        <f t="shared" si="27"/>
        <v>2090</v>
      </c>
      <c r="U24" s="507">
        <f t="shared" si="28"/>
        <v>57.918555023923446</v>
      </c>
      <c r="V24" s="170">
        <f t="shared" si="29"/>
        <v>121049.78</v>
      </c>
      <c r="W24" s="158">
        <f>SUMIF('CHE-last month'!$A:$A,Used_before_Trf!A24,'CHE-last month'!C:C)</f>
        <v>92.06660157855319</v>
      </c>
      <c r="X24" s="520">
        <f t="shared" si="30"/>
        <v>57.482408487561841</v>
      </c>
      <c r="Y24" s="162">
        <f>SUMIF('CHE-last month'!$A:$A,Used_before_Trf!A24,'CHE-last month'!E:E)</f>
        <v>5292.21</v>
      </c>
      <c r="Z24" s="159">
        <f t="shared" si="31"/>
        <v>370.56423836870226</v>
      </c>
      <c r="AA24" s="520">
        <f t="shared" si="32"/>
        <v>57.918540910699818</v>
      </c>
      <c r="AB24" s="159">
        <f t="shared" si="33"/>
        <v>21462.54</v>
      </c>
      <c r="AC24" s="160">
        <f>SUMIFS(BalCom!M:M,BalCom!N:N,Used_before_Trf!A24,BalCom!C:C,Used_before_Trf!$AC$1)</f>
        <v>304.51309214946309</v>
      </c>
      <c r="AD24" s="171">
        <f t="shared" si="34"/>
        <v>57.918527822584778</v>
      </c>
      <c r="AE24" s="159">
        <f>SUMIFS(BalCom!P:P,BalCom!N:N,Used_before_Trf!A24,BalCom!C:C,Used_before_Trf!$AC$1)</f>
        <v>17636.95</v>
      </c>
      <c r="AF24" s="160">
        <f>SUMIFS(BalDis!I:I,BalDis!J:J,Used_before_Trf!A24)</f>
        <v>0</v>
      </c>
      <c r="AG24" s="171">
        <f t="shared" si="35"/>
        <v>0</v>
      </c>
      <c r="AH24" s="162">
        <f>SUMIFS(BalDis!L:L,BalDis!J:J,Used_before_Trf!A24)</f>
        <v>0</v>
      </c>
      <c r="AI24" s="159">
        <f>SUMIFS(BalDip!$N$49:$N$75,BalDip!$C$49:$C$75,Used_before_Trf!A24)+SUMIFS(BalDip!$N$134:$N$157,BalDip!$C$134:$C$157,Used_before_Trf!A24)</f>
        <v>66.0511462192392</v>
      </c>
      <c r="AJ24" s="171">
        <f t="shared" si="36"/>
        <v>57.918601250339734</v>
      </c>
      <c r="AK24" s="177">
        <f>SUMIFS(BalDip!$N$80:$N$106,BalDip!$C$80:$C$106,Used_before_Trf!A24)+SUMIFS(BalDip!$N$161:$N$184,BalDip!$C$161:$C$184,Used_before_Trf!A24)</f>
        <v>3825.59</v>
      </c>
      <c r="AL24" s="178">
        <f t="shared" si="37"/>
        <v>1811.502363209851</v>
      </c>
      <c r="AM24" s="179">
        <f t="shared" si="38"/>
        <v>57.896391486987199</v>
      </c>
      <c r="AN24" s="440">
        <f t="shared" si="39"/>
        <v>104879.45000000001</v>
      </c>
      <c r="AO24" s="180">
        <f t="shared" si="40"/>
        <v>-2.2163536936247397E-2</v>
      </c>
    </row>
    <row r="25" spans="1:41" s="108" customFormat="1" ht="15" customHeight="1">
      <c r="A25" s="135" t="s">
        <v>213</v>
      </c>
      <c r="B25" s="573" t="s">
        <v>214</v>
      </c>
      <c r="C25" s="136">
        <f>SUMIF('Che-Store'!A:A,Used_before_Trf!A25,'Che-Store'!AC:AC)+SUMIF('Che-Comp'!A:A,Used_before_Trf!A25,'Che-Comp'!AC:AC)</f>
        <v>108.8</v>
      </c>
      <c r="D25" s="137">
        <f t="shared" si="20"/>
        <v>134.83382352941177</v>
      </c>
      <c r="E25" s="138">
        <f>SUMIF('Che-Store'!A:A,Used_before_Trf!A25,'Che-Store'!AE:AE)+SUMIF('Che-Comp'!A:A,Used_before_Trf!A25,'Che-Comp'!AE:AE)</f>
        <v>14669.92</v>
      </c>
      <c r="F25" s="136">
        <f>SUMIFS('Che-Comp'!F:F,'Che-Comp'!$A:$A,Used_before_Trf!$A25)</f>
        <v>5.8</v>
      </c>
      <c r="G25" s="138">
        <f>SUMIFS('Che-Comp'!G:G,'Che-Comp'!$A:$A,Used_before_Trf!$A25)</f>
        <v>781.78</v>
      </c>
      <c r="H25" s="137">
        <f t="shared" si="21"/>
        <v>103</v>
      </c>
      <c r="I25" s="137">
        <f t="shared" si="22"/>
        <v>134.83631067961164</v>
      </c>
      <c r="J25" s="137">
        <f t="shared" si="23"/>
        <v>13888.14</v>
      </c>
      <c r="K25" s="158">
        <f>SUMIF('Che.-Prod'!A:A,Used_before_Trf!A25,'Che.-Prod'!D:D)</f>
        <v>0</v>
      </c>
      <c r="L25" s="137">
        <f t="shared" si="24"/>
        <v>0</v>
      </c>
      <c r="M25" s="159">
        <f>SUMIF('Che.-Prod'!A:A,Used_before_Trf!A25,'Che.-Prod'!F:F)</f>
        <v>0</v>
      </c>
      <c r="N25" s="160">
        <f>SUMIF('Che.-Prod'!A:A,Used_before_Trf!A25,'Che.-Prod'!G:G)</f>
        <v>0</v>
      </c>
      <c r="O25" s="161">
        <f t="shared" si="25"/>
        <v>0</v>
      </c>
      <c r="P25" s="162">
        <f>SUMIF('Che.-Prod'!A:A,Used_before_Trf!A25,'Che.-Prod'!H:H)</f>
        <v>0</v>
      </c>
      <c r="Q25" s="160">
        <f>SUMIF('Che.-Prod'!A:A,Used_before_Trf!A25,'Che.-Prod'!P:P)</f>
        <v>0</v>
      </c>
      <c r="R25" s="161">
        <f t="shared" si="26"/>
        <v>0</v>
      </c>
      <c r="S25" s="159">
        <f>SUMIF('Che.-Prod'!A:A,Used_before_Trf!A25,'Che.-Prod'!R:R)</f>
        <v>0</v>
      </c>
      <c r="T25" s="169">
        <f t="shared" si="27"/>
        <v>103</v>
      </c>
      <c r="U25" s="507">
        <f t="shared" si="28"/>
        <v>134.83631067961164</v>
      </c>
      <c r="V25" s="170">
        <f t="shared" si="29"/>
        <v>13888.14</v>
      </c>
      <c r="W25" s="158">
        <f>SUMIF('CHE-last month'!$A:$A,Used_before_Trf!A25,'CHE-last month'!C:C)</f>
        <v>9.5695999999999994</v>
      </c>
      <c r="X25" s="520">
        <f t="shared" si="30"/>
        <v>133.47266343420833</v>
      </c>
      <c r="Y25" s="162">
        <f>SUMIF('CHE-last month'!$A:$A,Used_before_Trf!A25,'CHE-last month'!E:E)</f>
        <v>1277.28</v>
      </c>
      <c r="Z25" s="159">
        <f t="shared" si="31"/>
        <v>4.7935999999999996</v>
      </c>
      <c r="AA25" s="520">
        <f t="shared" si="32"/>
        <v>134.8360313751669</v>
      </c>
      <c r="AB25" s="159">
        <f t="shared" si="33"/>
        <v>646.35</v>
      </c>
      <c r="AC25" s="160">
        <f>SUMIFS(BalCom!M:M,BalCom!N:N,Used_before_Trf!A25,BalCom!C:C,Used_before_Trf!$AC$1)</f>
        <v>0</v>
      </c>
      <c r="AD25" s="171">
        <f t="shared" si="34"/>
        <v>0</v>
      </c>
      <c r="AE25" s="159">
        <f>SUMIFS(BalCom!P:P,BalCom!N:N,Used_before_Trf!A25,BalCom!C:C,Used_before_Trf!$AC$1)</f>
        <v>0</v>
      </c>
      <c r="AF25" s="160">
        <f>SUMIFS(BalDis!I:I,BalDis!J:J,Used_before_Trf!A25)</f>
        <v>4.7935999999999996</v>
      </c>
      <c r="AG25" s="171">
        <f t="shared" si="35"/>
        <v>134.8360313751669</v>
      </c>
      <c r="AH25" s="162">
        <f>SUMIFS(BalDis!L:L,BalDis!J:J,Used_before_Trf!A25)</f>
        <v>646.35</v>
      </c>
      <c r="AI25" s="159">
        <f>SUMIFS(BalDip!$N$49:$N$75,BalDip!$C$49:$C$75,Used_before_Trf!A25)+SUMIFS(BalDip!$N$134:$N$157,BalDip!$C$134:$C$157,Used_before_Trf!A25)</f>
        <v>0</v>
      </c>
      <c r="AJ25" s="171">
        <f t="shared" si="36"/>
        <v>0</v>
      </c>
      <c r="AK25" s="177">
        <f>SUMIFS(BalDip!$N$80:$N$106,BalDip!$C$80:$C$106,Used_before_Trf!A25)+SUMIFS(BalDip!$N$161:$N$184,BalDip!$C$161:$C$184,Used_before_Trf!A25)</f>
        <v>0</v>
      </c>
      <c r="AL25" s="178">
        <f t="shared" si="37"/>
        <v>107.776</v>
      </c>
      <c r="AM25" s="179">
        <f t="shared" si="38"/>
        <v>134.71524272565321</v>
      </c>
      <c r="AN25" s="440">
        <f t="shared" si="39"/>
        <v>14519.07</v>
      </c>
      <c r="AO25" s="180">
        <f t="shared" si="40"/>
        <v>-0.12106795395843051</v>
      </c>
    </row>
    <row r="26" spans="1:41" s="108" customFormat="1" ht="15" customHeight="1">
      <c r="A26" s="135" t="s">
        <v>215</v>
      </c>
      <c r="B26" s="573" t="s">
        <v>216</v>
      </c>
      <c r="C26" s="136">
        <f>SUMIF('Che-Store'!A:A,Used_before_Trf!A26,'Che-Store'!AC:AC)+SUMIF('Che-Comp'!A:A,Used_before_Trf!A26,'Che-Comp'!AC:AC)</f>
        <v>0</v>
      </c>
      <c r="D26" s="137">
        <f t="shared" si="20"/>
        <v>0</v>
      </c>
      <c r="E26" s="138">
        <f>SUMIF('Che-Store'!A:A,Used_before_Trf!A26,'Che-Store'!AE:AE)+SUMIF('Che-Comp'!A:A,Used_before_Trf!A26,'Che-Comp'!AE:AE)</f>
        <v>0</v>
      </c>
      <c r="F26" s="136">
        <f>SUMIFS('Che-Comp'!F:F,'Che-Comp'!$A:$A,Used_before_Trf!$A26)</f>
        <v>0</v>
      </c>
      <c r="G26" s="138">
        <f>SUMIFS('Che-Comp'!G:G,'Che-Comp'!$A:$A,Used_before_Trf!$A26)</f>
        <v>0</v>
      </c>
      <c r="H26" s="137">
        <f t="shared" si="21"/>
        <v>0</v>
      </c>
      <c r="I26" s="137">
        <f t="shared" si="22"/>
        <v>0</v>
      </c>
      <c r="J26" s="137">
        <f t="shared" si="23"/>
        <v>0</v>
      </c>
      <c r="K26" s="158">
        <f>SUMIF('Che.-Prod'!A:A,Used_before_Trf!A26,'Che.-Prod'!D:D)</f>
        <v>0</v>
      </c>
      <c r="L26" s="137">
        <f t="shared" si="24"/>
        <v>0</v>
      </c>
      <c r="M26" s="159">
        <f>SUMIF('Che.-Prod'!A:A,Used_before_Trf!A26,'Che.-Prod'!F:F)</f>
        <v>0</v>
      </c>
      <c r="N26" s="160">
        <f>SUMIF('Che.-Prod'!A:A,Used_before_Trf!A26,'Che.-Prod'!G:G)</f>
        <v>0</v>
      </c>
      <c r="O26" s="161">
        <f t="shared" si="25"/>
        <v>0</v>
      </c>
      <c r="P26" s="162">
        <f>SUMIF('Che.-Prod'!A:A,Used_before_Trf!A26,'Che.-Prod'!H:H)</f>
        <v>0</v>
      </c>
      <c r="Q26" s="160">
        <f>SUMIF('Che.-Prod'!A:A,Used_before_Trf!A26,'Che.-Prod'!P:P)</f>
        <v>0</v>
      </c>
      <c r="R26" s="161">
        <f t="shared" si="26"/>
        <v>0</v>
      </c>
      <c r="S26" s="159">
        <f>SUMIF('Che.-Prod'!A:A,Used_before_Trf!A26,'Che.-Prod'!R:R)</f>
        <v>0</v>
      </c>
      <c r="T26" s="169">
        <f t="shared" si="27"/>
        <v>0</v>
      </c>
      <c r="U26" s="507">
        <f t="shared" si="28"/>
        <v>0</v>
      </c>
      <c r="V26" s="170">
        <f t="shared" si="29"/>
        <v>0</v>
      </c>
      <c r="W26" s="158">
        <f>SUMIF('CHE-last month'!$A:$A,Used_before_Trf!A26,'CHE-last month'!C:C)</f>
        <v>0</v>
      </c>
      <c r="X26" s="520">
        <f t="shared" si="30"/>
        <v>0</v>
      </c>
      <c r="Y26" s="162">
        <f>SUMIF('CHE-last month'!$A:$A,Used_before_Trf!A26,'CHE-last month'!E:E)</f>
        <v>0</v>
      </c>
      <c r="Z26" s="159">
        <f t="shared" si="31"/>
        <v>0</v>
      </c>
      <c r="AA26" s="520">
        <f t="shared" si="32"/>
        <v>0</v>
      </c>
      <c r="AB26" s="159">
        <f t="shared" si="33"/>
        <v>0</v>
      </c>
      <c r="AC26" s="160">
        <f>SUMIFS(BalCom!M:M,BalCom!N:N,Used_before_Trf!A26,BalCom!C:C,Used_before_Trf!$AC$1)</f>
        <v>0</v>
      </c>
      <c r="AD26" s="171">
        <f t="shared" si="34"/>
        <v>0</v>
      </c>
      <c r="AE26" s="159">
        <f>SUMIFS(BalCom!P:P,BalCom!N:N,Used_before_Trf!A26,BalCom!C:C,Used_before_Trf!$AC$1)</f>
        <v>0</v>
      </c>
      <c r="AF26" s="160">
        <f>SUMIFS(BalDis!I:I,BalDis!J:J,Used_before_Trf!A26)</f>
        <v>0</v>
      </c>
      <c r="AG26" s="171">
        <f t="shared" si="35"/>
        <v>0</v>
      </c>
      <c r="AH26" s="162">
        <f>SUMIFS(BalDis!L:L,BalDis!J:J,Used_before_Trf!A26)</f>
        <v>0</v>
      </c>
      <c r="AI26" s="159">
        <f>SUMIFS(BalDip!$N$49:$N$75,BalDip!$C$49:$C$75,Used_before_Trf!A26)+SUMIFS(BalDip!$N$134:$N$157,BalDip!$C$134:$C$157,Used_before_Trf!A26)</f>
        <v>0</v>
      </c>
      <c r="AJ26" s="171">
        <f t="shared" si="36"/>
        <v>0</v>
      </c>
      <c r="AK26" s="177">
        <f>SUMIFS(BalDip!$N$80:$N$106,BalDip!$C$80:$C$106,Used_before_Trf!A26)+SUMIFS(BalDip!$N$161:$N$184,BalDip!$C$161:$C$184,Used_before_Trf!A26)</f>
        <v>0</v>
      </c>
      <c r="AL26" s="178">
        <f t="shared" si="37"/>
        <v>0</v>
      </c>
      <c r="AM26" s="179">
        <f t="shared" si="38"/>
        <v>0</v>
      </c>
      <c r="AN26" s="440">
        <f t="shared" si="39"/>
        <v>0</v>
      </c>
      <c r="AO26" s="180">
        <f t="shared" si="40"/>
        <v>0</v>
      </c>
    </row>
    <row r="27" spans="1:41" s="108" customFormat="1" ht="15" customHeight="1">
      <c r="A27" s="135" t="s">
        <v>217</v>
      </c>
      <c r="B27" s="573" t="s">
        <v>218</v>
      </c>
      <c r="C27" s="136">
        <f>SUMIF('Che-Store'!A:A,Used_before_Trf!A27,'Che-Store'!AC:AC)+SUMIF('Che-Comp'!A:A,Used_before_Trf!A27,'Che-Comp'!AC:AC)</f>
        <v>0</v>
      </c>
      <c r="D27" s="137">
        <f t="shared" si="20"/>
        <v>0</v>
      </c>
      <c r="E27" s="138">
        <f>SUMIF('Che-Store'!A:A,Used_before_Trf!A27,'Che-Store'!AE:AE)+SUMIF('Che-Comp'!A:A,Used_before_Trf!A27,'Che-Comp'!AE:AE)</f>
        <v>0</v>
      </c>
      <c r="F27" s="136">
        <f>SUMIFS('Che-Comp'!F:F,'Che-Comp'!$A:$A,Used_before_Trf!$A27)</f>
        <v>0</v>
      </c>
      <c r="G27" s="138">
        <f>SUMIFS('Che-Comp'!G:G,'Che-Comp'!$A:$A,Used_before_Trf!$A27)</f>
        <v>0</v>
      </c>
      <c r="H27" s="137">
        <f t="shared" si="21"/>
        <v>0</v>
      </c>
      <c r="I27" s="137">
        <f t="shared" si="22"/>
        <v>0</v>
      </c>
      <c r="J27" s="137">
        <f t="shared" si="23"/>
        <v>0</v>
      </c>
      <c r="K27" s="158">
        <f>SUMIF('Che.-Prod'!A:A,Used_before_Trf!A27,'Che.-Prod'!D:D)</f>
        <v>0</v>
      </c>
      <c r="L27" s="137">
        <f t="shared" si="24"/>
        <v>0</v>
      </c>
      <c r="M27" s="159">
        <f>SUMIF('Che.-Prod'!A:A,Used_before_Trf!A27,'Che.-Prod'!F:F)</f>
        <v>0</v>
      </c>
      <c r="N27" s="160">
        <f>SUMIF('Che.-Prod'!A:A,Used_before_Trf!A27,'Che.-Prod'!G:G)</f>
        <v>0</v>
      </c>
      <c r="O27" s="161">
        <f t="shared" si="25"/>
        <v>0</v>
      </c>
      <c r="P27" s="162">
        <f>SUMIF('Che.-Prod'!A:A,Used_before_Trf!A27,'Che.-Prod'!H:H)</f>
        <v>0</v>
      </c>
      <c r="Q27" s="160">
        <f>SUMIF('Che.-Prod'!A:A,Used_before_Trf!A27,'Che.-Prod'!P:P)</f>
        <v>0</v>
      </c>
      <c r="R27" s="161">
        <f t="shared" si="26"/>
        <v>0</v>
      </c>
      <c r="S27" s="159">
        <f>SUMIF('Che.-Prod'!A:A,Used_before_Trf!A27,'Che.-Prod'!R:R)</f>
        <v>0</v>
      </c>
      <c r="T27" s="169">
        <f t="shared" si="27"/>
        <v>0</v>
      </c>
      <c r="U27" s="507">
        <f t="shared" si="28"/>
        <v>0</v>
      </c>
      <c r="V27" s="170">
        <f t="shared" si="29"/>
        <v>0</v>
      </c>
      <c r="W27" s="158">
        <f>SUMIF('CHE-last month'!$A:$A,Used_before_Trf!A27,'CHE-last month'!C:C)</f>
        <v>0</v>
      </c>
      <c r="X27" s="520">
        <f t="shared" si="30"/>
        <v>0</v>
      </c>
      <c r="Y27" s="162">
        <f>SUMIF('CHE-last month'!$A:$A,Used_before_Trf!A27,'CHE-last month'!E:E)</f>
        <v>0</v>
      </c>
      <c r="Z27" s="159">
        <f t="shared" si="31"/>
        <v>0</v>
      </c>
      <c r="AA27" s="520">
        <f t="shared" si="32"/>
        <v>0</v>
      </c>
      <c r="AB27" s="159">
        <f t="shared" si="33"/>
        <v>0</v>
      </c>
      <c r="AC27" s="160">
        <f>SUMIFS(BalCom!M:M,BalCom!N:N,Used_before_Trf!A27,BalCom!C:C,Used_before_Trf!$AC$1)</f>
        <v>0</v>
      </c>
      <c r="AD27" s="171">
        <f t="shared" si="34"/>
        <v>0</v>
      </c>
      <c r="AE27" s="159">
        <f>SUMIFS(BalCom!P:P,BalCom!N:N,Used_before_Trf!A27,BalCom!C:C,Used_before_Trf!$AC$1)</f>
        <v>0</v>
      </c>
      <c r="AF27" s="160">
        <f>SUMIFS(BalDis!I:I,BalDis!J:J,Used_before_Trf!A27)</f>
        <v>0</v>
      </c>
      <c r="AG27" s="171">
        <f t="shared" si="35"/>
        <v>0</v>
      </c>
      <c r="AH27" s="162">
        <f>SUMIFS(BalDis!L:L,BalDis!J:J,Used_before_Trf!A27)</f>
        <v>0</v>
      </c>
      <c r="AI27" s="159">
        <f>SUMIFS(BalDip!$N$49:$N$75,BalDip!$C$49:$C$75,Used_before_Trf!A27)+SUMIFS(BalDip!$N$134:$N$157,BalDip!$C$134:$C$157,Used_before_Trf!A27)</f>
        <v>0</v>
      </c>
      <c r="AJ27" s="171">
        <f t="shared" si="36"/>
        <v>0</v>
      </c>
      <c r="AK27" s="177">
        <f>SUMIFS(BalDip!$N$80:$N$106,BalDip!$C$80:$C$106,Used_before_Trf!A27)+SUMIFS(BalDip!$N$161:$N$184,BalDip!$C$161:$C$184,Used_before_Trf!A27)</f>
        <v>0</v>
      </c>
      <c r="AL27" s="178">
        <f t="shared" si="37"/>
        <v>0</v>
      </c>
      <c r="AM27" s="179">
        <f t="shared" si="38"/>
        <v>0</v>
      </c>
      <c r="AN27" s="440">
        <f t="shared" si="39"/>
        <v>0</v>
      </c>
      <c r="AO27" s="180">
        <f t="shared" si="40"/>
        <v>0</v>
      </c>
    </row>
    <row r="28" spans="1:41" s="108" customFormat="1" ht="15" customHeight="1">
      <c r="A28" s="135" t="s">
        <v>219</v>
      </c>
      <c r="B28" s="573" t="s">
        <v>220</v>
      </c>
      <c r="C28" s="136">
        <f>SUMIF('Che-Store'!A:A,Used_before_Trf!A28,'Che-Store'!AC:AC)+SUMIF('Che-Comp'!A:A,Used_before_Trf!A28,'Che-Comp'!AC:AC)</f>
        <v>0</v>
      </c>
      <c r="D28" s="137">
        <f t="shared" si="20"/>
        <v>0</v>
      </c>
      <c r="E28" s="138">
        <f>SUMIF('Che-Store'!A:A,Used_before_Trf!A28,'Che-Store'!AE:AE)+SUMIF('Che-Comp'!A:A,Used_before_Trf!A28,'Che-Comp'!AE:AE)</f>
        <v>0</v>
      </c>
      <c r="F28" s="136">
        <f>SUMIFS('Che-Comp'!F:F,'Che-Comp'!$A:$A,Used_before_Trf!$A28)</f>
        <v>0</v>
      </c>
      <c r="G28" s="138">
        <f>SUMIFS('Che-Comp'!G:G,'Che-Comp'!$A:$A,Used_before_Trf!$A28)</f>
        <v>0</v>
      </c>
      <c r="H28" s="137">
        <f t="shared" si="21"/>
        <v>0</v>
      </c>
      <c r="I28" s="137">
        <f t="shared" si="22"/>
        <v>0</v>
      </c>
      <c r="J28" s="137">
        <f t="shared" si="23"/>
        <v>0</v>
      </c>
      <c r="K28" s="158">
        <f>SUMIF('Che.-Prod'!A:A,Used_before_Trf!A28,'Che.-Prod'!D:D)</f>
        <v>0</v>
      </c>
      <c r="L28" s="137">
        <f t="shared" si="24"/>
        <v>0</v>
      </c>
      <c r="M28" s="159">
        <f>SUMIF('Che.-Prod'!A:A,Used_before_Trf!A28,'Che.-Prod'!F:F)</f>
        <v>0</v>
      </c>
      <c r="N28" s="160">
        <f>SUMIF('Che.-Prod'!A:A,Used_before_Trf!A28,'Che.-Prod'!G:G)</f>
        <v>0</v>
      </c>
      <c r="O28" s="161">
        <f t="shared" si="25"/>
        <v>0</v>
      </c>
      <c r="P28" s="162">
        <f>SUMIF('Che.-Prod'!A:A,Used_before_Trf!A28,'Che.-Prod'!H:H)</f>
        <v>0</v>
      </c>
      <c r="Q28" s="160">
        <f>SUMIF('Che.-Prod'!A:A,Used_before_Trf!A28,'Che.-Prod'!P:P)</f>
        <v>0</v>
      </c>
      <c r="R28" s="161">
        <f t="shared" si="26"/>
        <v>0</v>
      </c>
      <c r="S28" s="159">
        <f>SUMIF('Che.-Prod'!A:A,Used_before_Trf!A28,'Che.-Prod'!R:R)</f>
        <v>0</v>
      </c>
      <c r="T28" s="169">
        <f t="shared" si="27"/>
        <v>0</v>
      </c>
      <c r="U28" s="507">
        <f t="shared" si="28"/>
        <v>0</v>
      </c>
      <c r="V28" s="170">
        <f t="shared" si="29"/>
        <v>0</v>
      </c>
      <c r="W28" s="158">
        <f>SUMIF('CHE-last month'!$A:$A,Used_before_Trf!A28,'CHE-last month'!C:C)</f>
        <v>0</v>
      </c>
      <c r="X28" s="520">
        <f t="shared" si="30"/>
        <v>0</v>
      </c>
      <c r="Y28" s="162">
        <f>SUMIF('CHE-last month'!$A:$A,Used_before_Trf!A28,'CHE-last month'!E:E)</f>
        <v>0</v>
      </c>
      <c r="Z28" s="159">
        <f t="shared" si="31"/>
        <v>0</v>
      </c>
      <c r="AA28" s="520">
        <f t="shared" si="32"/>
        <v>0</v>
      </c>
      <c r="AB28" s="159">
        <f t="shared" si="33"/>
        <v>0</v>
      </c>
      <c r="AC28" s="160">
        <f>SUMIFS(BalCom!M:M,BalCom!N:N,Used_before_Trf!A28,BalCom!C:C,Used_before_Trf!$AC$1)</f>
        <v>0</v>
      </c>
      <c r="AD28" s="171">
        <f t="shared" si="34"/>
        <v>0</v>
      </c>
      <c r="AE28" s="159">
        <f>SUMIFS(BalCom!P:P,BalCom!N:N,Used_before_Trf!A28,BalCom!C:C,Used_before_Trf!$AC$1)</f>
        <v>0</v>
      </c>
      <c r="AF28" s="160">
        <f>SUMIFS(BalDis!I:I,BalDis!J:J,Used_before_Trf!A28)</f>
        <v>0</v>
      </c>
      <c r="AG28" s="171">
        <f t="shared" si="35"/>
        <v>0</v>
      </c>
      <c r="AH28" s="162">
        <f>SUMIFS(BalDis!L:L,BalDis!J:J,Used_before_Trf!A28)</f>
        <v>0</v>
      </c>
      <c r="AI28" s="159">
        <f>SUMIFS(BalDip!$N$49:$N$75,BalDip!$C$49:$C$75,Used_before_Trf!A28)+SUMIFS(BalDip!$N$134:$N$157,BalDip!$C$134:$C$157,Used_before_Trf!A28)</f>
        <v>0</v>
      </c>
      <c r="AJ28" s="171">
        <f t="shared" si="36"/>
        <v>0</v>
      </c>
      <c r="AK28" s="177">
        <f>SUMIFS(BalDip!$N$80:$N$106,BalDip!$C$80:$C$106,Used_before_Trf!A28)+SUMIFS(BalDip!$N$161:$N$184,BalDip!$C$161:$C$184,Used_before_Trf!A28)</f>
        <v>0</v>
      </c>
      <c r="AL28" s="178">
        <f t="shared" si="37"/>
        <v>0</v>
      </c>
      <c r="AM28" s="179">
        <f t="shared" si="38"/>
        <v>0</v>
      </c>
      <c r="AN28" s="440">
        <f t="shared" si="39"/>
        <v>0</v>
      </c>
      <c r="AO28" s="180">
        <f t="shared" si="40"/>
        <v>0</v>
      </c>
    </row>
    <row r="29" spans="1:41" s="108" customFormat="1" ht="15" customHeight="1">
      <c r="A29" s="135" t="s">
        <v>221</v>
      </c>
      <c r="B29" s="511" t="s">
        <v>222</v>
      </c>
      <c r="C29" s="136">
        <f>SUMIF('Che-Store'!A:A,Used_before_Trf!A29,'Che-Store'!AC:AC)+SUMIF('Che-Comp'!A:A,Used_before_Trf!A29,'Che-Comp'!AC:AC)</f>
        <v>0</v>
      </c>
      <c r="D29" s="137">
        <f t="shared" si="20"/>
        <v>0</v>
      </c>
      <c r="E29" s="138">
        <f>SUMIF('Che-Store'!A:A,Used_before_Trf!A29,'Che-Store'!AE:AE)+SUMIF('Che-Comp'!A:A,Used_before_Trf!A29,'Che-Comp'!AE:AE)</f>
        <v>0</v>
      </c>
      <c r="F29" s="136">
        <f>SUMIFS('Che-Comp'!F:F,'Che-Comp'!$A:$A,Used_before_Trf!$A29)</f>
        <v>0</v>
      </c>
      <c r="G29" s="138">
        <f>SUMIFS('Che-Comp'!G:G,'Che-Comp'!$A:$A,Used_before_Trf!$A29)</f>
        <v>0</v>
      </c>
      <c r="H29" s="137">
        <f t="shared" si="21"/>
        <v>0</v>
      </c>
      <c r="I29" s="137">
        <f t="shared" si="22"/>
        <v>0</v>
      </c>
      <c r="J29" s="137">
        <f t="shared" si="23"/>
        <v>0</v>
      </c>
      <c r="K29" s="158">
        <f>SUMIF('Che.-Prod'!A:A,Used_before_Trf!A29,'Che.-Prod'!D:D)</f>
        <v>0</v>
      </c>
      <c r="L29" s="137">
        <f t="shared" si="24"/>
        <v>0</v>
      </c>
      <c r="M29" s="159">
        <f>SUMIF('Che.-Prod'!A:A,Used_before_Trf!A29,'Che.-Prod'!F:F)</f>
        <v>0</v>
      </c>
      <c r="N29" s="160">
        <f>SUMIF('Che.-Prod'!A:A,Used_before_Trf!A29,'Che.-Prod'!G:G)</f>
        <v>0</v>
      </c>
      <c r="O29" s="161">
        <f t="shared" si="25"/>
        <v>0</v>
      </c>
      <c r="P29" s="162">
        <f>SUMIF('Che.-Prod'!A:A,Used_before_Trf!A29,'Che.-Prod'!H:H)</f>
        <v>0</v>
      </c>
      <c r="Q29" s="160">
        <f>SUMIF('Che.-Prod'!A:A,Used_before_Trf!A29,'Che.-Prod'!P:P)</f>
        <v>0</v>
      </c>
      <c r="R29" s="161">
        <f t="shared" si="26"/>
        <v>0</v>
      </c>
      <c r="S29" s="159">
        <f>SUMIF('Che.-Prod'!A:A,Used_before_Trf!A29,'Che.-Prod'!R:R)</f>
        <v>0</v>
      </c>
      <c r="T29" s="169">
        <f t="shared" si="27"/>
        <v>0</v>
      </c>
      <c r="U29" s="507">
        <f t="shared" si="28"/>
        <v>0</v>
      </c>
      <c r="V29" s="170">
        <f t="shared" si="29"/>
        <v>0</v>
      </c>
      <c r="W29" s="158">
        <f>SUMIF('CHE-last month'!$A:$A,Used_before_Trf!A29,'CHE-last month'!C:C)</f>
        <v>0</v>
      </c>
      <c r="X29" s="520">
        <f t="shared" si="30"/>
        <v>0</v>
      </c>
      <c r="Y29" s="162">
        <f>SUMIF('CHE-last month'!$A:$A,Used_before_Trf!A29,'CHE-last month'!E:E)</f>
        <v>0</v>
      </c>
      <c r="Z29" s="159">
        <f t="shared" si="31"/>
        <v>0</v>
      </c>
      <c r="AA29" s="520">
        <f t="shared" si="32"/>
        <v>0</v>
      </c>
      <c r="AB29" s="159">
        <f t="shared" si="33"/>
        <v>0</v>
      </c>
      <c r="AC29" s="160">
        <f>SUMIFS(BalCom!M:M,BalCom!N:N,Used_before_Trf!A29,BalCom!C:C,Used_before_Trf!$AC$1)</f>
        <v>0</v>
      </c>
      <c r="AD29" s="171">
        <f t="shared" si="34"/>
        <v>0</v>
      </c>
      <c r="AE29" s="159">
        <f>SUMIFS(BalCom!P:P,BalCom!N:N,Used_before_Trf!A29,BalCom!C:C,Used_before_Trf!$AC$1)</f>
        <v>0</v>
      </c>
      <c r="AF29" s="160">
        <f>SUMIFS(BalDis!I:I,BalDis!J:J,Used_before_Trf!A29)</f>
        <v>0</v>
      </c>
      <c r="AG29" s="171">
        <f t="shared" si="35"/>
        <v>0</v>
      </c>
      <c r="AH29" s="162">
        <f>SUMIFS(BalDis!L:L,BalDis!J:J,Used_before_Trf!A29)</f>
        <v>0</v>
      </c>
      <c r="AI29" s="159">
        <f>SUMIFS(BalDip!$N$49:$N$75,BalDip!$C$49:$C$75,Used_before_Trf!A29)+SUMIFS(BalDip!$N$134:$N$157,BalDip!$C$134:$C$157,Used_before_Trf!A29)</f>
        <v>0</v>
      </c>
      <c r="AJ29" s="171">
        <f t="shared" si="36"/>
        <v>0</v>
      </c>
      <c r="AK29" s="177">
        <f>SUMIFS(BalDip!$N$80:$N$106,BalDip!$C$80:$C$106,Used_before_Trf!A29)+SUMIFS(BalDip!$N$161:$N$184,BalDip!$C$161:$C$184,Used_before_Trf!A29)</f>
        <v>0</v>
      </c>
      <c r="AL29" s="178">
        <f t="shared" si="37"/>
        <v>0</v>
      </c>
      <c r="AM29" s="179">
        <f t="shared" si="38"/>
        <v>0</v>
      </c>
      <c r="AN29" s="440">
        <f t="shared" si="39"/>
        <v>0</v>
      </c>
      <c r="AO29" s="180">
        <f t="shared" si="40"/>
        <v>0</v>
      </c>
    </row>
    <row r="30" spans="1:41" s="108" customFormat="1" ht="15" customHeight="1">
      <c r="A30" s="135" t="s">
        <v>223</v>
      </c>
      <c r="B30" s="573" t="s">
        <v>224</v>
      </c>
      <c r="C30" s="136">
        <f>SUMIF('Che-Store'!A:A,Used_before_Trf!A30,'Che-Store'!AC:AC)+SUMIF('Che-Comp'!A:A,Used_before_Trf!A30,'Che-Comp'!AC:AC)</f>
        <v>0</v>
      </c>
      <c r="D30" s="137">
        <f t="shared" si="20"/>
        <v>0</v>
      </c>
      <c r="E30" s="138">
        <f>SUMIF('Che-Store'!A:A,Used_before_Trf!A30,'Che-Store'!AE:AE)+SUMIF('Che-Comp'!A:A,Used_before_Trf!A30,'Che-Comp'!AE:AE)</f>
        <v>0</v>
      </c>
      <c r="F30" s="136">
        <f>SUMIFS('Che-Comp'!F:F,'Che-Comp'!$A:$A,Used_before_Trf!$A30)</f>
        <v>0</v>
      </c>
      <c r="G30" s="138">
        <f>SUMIFS('Che-Comp'!G:G,'Che-Comp'!$A:$A,Used_before_Trf!$A30)</f>
        <v>0</v>
      </c>
      <c r="H30" s="137">
        <f t="shared" si="21"/>
        <v>0</v>
      </c>
      <c r="I30" s="137">
        <f t="shared" si="22"/>
        <v>0</v>
      </c>
      <c r="J30" s="137">
        <f t="shared" si="23"/>
        <v>0</v>
      </c>
      <c r="K30" s="158">
        <f>SUMIF('Che.-Prod'!A:A,Used_before_Trf!A30,'Che.-Prod'!D:D)</f>
        <v>0</v>
      </c>
      <c r="L30" s="137">
        <f t="shared" si="24"/>
        <v>0</v>
      </c>
      <c r="M30" s="159">
        <f>SUMIF('Che.-Prod'!A:A,Used_before_Trf!A30,'Che.-Prod'!F:F)</f>
        <v>0</v>
      </c>
      <c r="N30" s="160">
        <f>SUMIF('Che.-Prod'!A:A,Used_before_Trf!A30,'Che.-Prod'!G:G)</f>
        <v>0</v>
      </c>
      <c r="O30" s="161">
        <f t="shared" si="25"/>
        <v>0</v>
      </c>
      <c r="P30" s="162">
        <f>SUMIF('Che.-Prod'!A:A,Used_before_Trf!A30,'Che.-Prod'!H:H)</f>
        <v>0</v>
      </c>
      <c r="Q30" s="160">
        <f>SUMIF('Che.-Prod'!A:A,Used_before_Trf!A30,'Che.-Prod'!P:P)</f>
        <v>0</v>
      </c>
      <c r="R30" s="161">
        <f t="shared" si="26"/>
        <v>0</v>
      </c>
      <c r="S30" s="159">
        <f>SUMIF('Che.-Prod'!A:A,Used_before_Trf!A30,'Che.-Prod'!R:R)</f>
        <v>0</v>
      </c>
      <c r="T30" s="169">
        <f t="shared" si="27"/>
        <v>0</v>
      </c>
      <c r="U30" s="507">
        <f t="shared" si="28"/>
        <v>0</v>
      </c>
      <c r="V30" s="170">
        <f t="shared" si="29"/>
        <v>0</v>
      </c>
      <c r="W30" s="158">
        <f>SUMIF('CHE-last month'!$A:$A,Used_before_Trf!A30,'CHE-last month'!C:C)</f>
        <v>0</v>
      </c>
      <c r="X30" s="520">
        <f t="shared" si="30"/>
        <v>0</v>
      </c>
      <c r="Y30" s="162">
        <f>SUMIF('CHE-last month'!$A:$A,Used_before_Trf!A30,'CHE-last month'!E:E)</f>
        <v>0</v>
      </c>
      <c r="Z30" s="159">
        <f t="shared" si="31"/>
        <v>0</v>
      </c>
      <c r="AA30" s="520">
        <f t="shared" si="32"/>
        <v>0</v>
      </c>
      <c r="AB30" s="159">
        <f t="shared" si="33"/>
        <v>0</v>
      </c>
      <c r="AC30" s="160">
        <f>SUMIFS(BalCom!M:M,BalCom!N:N,Used_before_Trf!A30,BalCom!C:C,Used_before_Trf!$AC$1)</f>
        <v>0</v>
      </c>
      <c r="AD30" s="171">
        <f t="shared" si="34"/>
        <v>0</v>
      </c>
      <c r="AE30" s="159">
        <f>SUMIFS(BalCom!P:P,BalCom!N:N,Used_before_Trf!A30,BalCom!C:C,Used_before_Trf!$AC$1)</f>
        <v>0</v>
      </c>
      <c r="AF30" s="160">
        <f>SUMIFS(BalDis!I:I,BalDis!J:J,Used_before_Trf!A30)</f>
        <v>0</v>
      </c>
      <c r="AG30" s="171">
        <f t="shared" si="35"/>
        <v>0</v>
      </c>
      <c r="AH30" s="162">
        <f>SUMIFS(BalDis!L:L,BalDis!J:J,Used_before_Trf!A30)</f>
        <v>0</v>
      </c>
      <c r="AI30" s="159">
        <f>SUMIFS(BalDip!$N$49:$N$75,BalDip!$C$49:$C$75,Used_before_Trf!A30)+SUMIFS(BalDip!$N$134:$N$157,BalDip!$C$134:$C$157,Used_before_Trf!A30)</f>
        <v>0</v>
      </c>
      <c r="AJ30" s="171">
        <f t="shared" si="36"/>
        <v>0</v>
      </c>
      <c r="AK30" s="177">
        <f>SUMIFS(BalDip!$N$80:$N$106,BalDip!$C$80:$C$106,Used_before_Trf!A30)+SUMIFS(BalDip!$N$161:$N$184,BalDip!$C$161:$C$184,Used_before_Trf!A30)</f>
        <v>0</v>
      </c>
      <c r="AL30" s="178">
        <f t="shared" si="37"/>
        <v>0</v>
      </c>
      <c r="AM30" s="179">
        <f t="shared" si="38"/>
        <v>0</v>
      </c>
      <c r="AN30" s="440">
        <f t="shared" si="39"/>
        <v>0</v>
      </c>
      <c r="AO30" s="180">
        <f t="shared" si="40"/>
        <v>0</v>
      </c>
    </row>
    <row r="31" spans="1:41" s="108" customFormat="1" ht="15" customHeight="1">
      <c r="A31" s="135" t="s">
        <v>225</v>
      </c>
      <c r="B31" s="511" t="s">
        <v>226</v>
      </c>
      <c r="C31" s="136">
        <f>SUMIF('Che-Store'!A:A,Used_before_Trf!A31,'Che-Store'!AC:AC)+SUMIF('Che-Comp'!A:A,Used_before_Trf!A31,'Che-Comp'!AC:AC)</f>
        <v>0</v>
      </c>
      <c r="D31" s="137">
        <f t="shared" si="20"/>
        <v>0</v>
      </c>
      <c r="E31" s="138">
        <f>SUMIF('Che-Store'!A:A,Used_before_Trf!A31,'Che-Store'!AE:AE)+SUMIF('Che-Comp'!A:A,Used_before_Trf!A31,'Che-Comp'!AE:AE)</f>
        <v>0</v>
      </c>
      <c r="F31" s="136">
        <f>SUMIFS('Che-Comp'!F:F,'Che-Comp'!$A:$A,Used_before_Trf!$A31)</f>
        <v>0</v>
      </c>
      <c r="G31" s="138">
        <f>SUMIFS('Che-Comp'!G:G,'Che-Comp'!$A:$A,Used_before_Trf!$A31)</f>
        <v>0</v>
      </c>
      <c r="H31" s="137">
        <f t="shared" si="21"/>
        <v>0</v>
      </c>
      <c r="I31" s="137">
        <f t="shared" si="22"/>
        <v>0</v>
      </c>
      <c r="J31" s="137">
        <f t="shared" si="23"/>
        <v>0</v>
      </c>
      <c r="K31" s="158">
        <f>SUMIF('Che.-Prod'!A:A,Used_before_Trf!A31,'Che.-Prod'!D:D)</f>
        <v>0</v>
      </c>
      <c r="L31" s="137">
        <f t="shared" si="24"/>
        <v>0</v>
      </c>
      <c r="M31" s="159">
        <f>SUMIF('Che.-Prod'!A:A,Used_before_Trf!A31,'Che.-Prod'!F:F)</f>
        <v>0</v>
      </c>
      <c r="N31" s="160">
        <f>SUMIF('Che.-Prod'!A:A,Used_before_Trf!A31,'Che.-Prod'!G:G)</f>
        <v>0</v>
      </c>
      <c r="O31" s="161">
        <f t="shared" si="25"/>
        <v>0</v>
      </c>
      <c r="P31" s="162">
        <f>SUMIF('Che.-Prod'!A:A,Used_before_Trf!A31,'Che.-Prod'!H:H)</f>
        <v>0</v>
      </c>
      <c r="Q31" s="160">
        <f>SUMIF('Che.-Prod'!A:A,Used_before_Trf!A31,'Che.-Prod'!P:P)</f>
        <v>0</v>
      </c>
      <c r="R31" s="161">
        <f t="shared" si="26"/>
        <v>0</v>
      </c>
      <c r="S31" s="159">
        <f>SUMIF('Che.-Prod'!A:A,Used_before_Trf!A31,'Che.-Prod'!R:R)</f>
        <v>0</v>
      </c>
      <c r="T31" s="169">
        <f t="shared" si="27"/>
        <v>0</v>
      </c>
      <c r="U31" s="507">
        <f t="shared" si="28"/>
        <v>0</v>
      </c>
      <c r="V31" s="170">
        <f t="shared" si="29"/>
        <v>0</v>
      </c>
      <c r="W31" s="158">
        <f>SUMIF('CHE-last month'!$A:$A,Used_before_Trf!A31,'CHE-last month'!C:C)</f>
        <v>0</v>
      </c>
      <c r="X31" s="520">
        <f t="shared" si="30"/>
        <v>0</v>
      </c>
      <c r="Y31" s="162">
        <f>SUMIF('CHE-last month'!$A:$A,Used_before_Trf!A31,'CHE-last month'!E:E)</f>
        <v>0</v>
      </c>
      <c r="Z31" s="159">
        <f t="shared" si="31"/>
        <v>0</v>
      </c>
      <c r="AA31" s="520">
        <f t="shared" si="32"/>
        <v>0</v>
      </c>
      <c r="AB31" s="159">
        <f t="shared" si="33"/>
        <v>0</v>
      </c>
      <c r="AC31" s="160">
        <f>SUMIFS(BalCom!M:M,BalCom!N:N,Used_before_Trf!A31,BalCom!C:C,Used_before_Trf!$AC$1)</f>
        <v>0</v>
      </c>
      <c r="AD31" s="171">
        <f t="shared" si="34"/>
        <v>0</v>
      </c>
      <c r="AE31" s="159">
        <f>SUMIFS(BalCom!P:P,BalCom!N:N,Used_before_Trf!A31,BalCom!C:C,Used_before_Trf!$AC$1)</f>
        <v>0</v>
      </c>
      <c r="AF31" s="160">
        <f>SUMIFS(BalDis!I:I,BalDis!J:J,Used_before_Trf!A31)</f>
        <v>0</v>
      </c>
      <c r="AG31" s="171">
        <f t="shared" si="35"/>
        <v>0</v>
      </c>
      <c r="AH31" s="162">
        <f>SUMIFS(BalDis!L:L,BalDis!J:J,Used_before_Trf!A31)</f>
        <v>0</v>
      </c>
      <c r="AI31" s="159">
        <f>SUMIFS(BalDip!$N$49:$N$75,BalDip!$C$49:$C$75,Used_before_Trf!A31)+SUMIFS(BalDip!$N$134:$N$157,BalDip!$C$134:$C$157,Used_before_Trf!A31)</f>
        <v>0</v>
      </c>
      <c r="AJ31" s="171">
        <f t="shared" si="36"/>
        <v>0</v>
      </c>
      <c r="AK31" s="177">
        <f>SUMIFS(BalDip!$N$80:$N$106,BalDip!$C$80:$C$106,Used_before_Trf!A31)+SUMIFS(BalDip!$N$161:$N$184,BalDip!$C$161:$C$184,Used_before_Trf!A31)</f>
        <v>0</v>
      </c>
      <c r="AL31" s="178">
        <f t="shared" si="37"/>
        <v>0</v>
      </c>
      <c r="AM31" s="179">
        <f t="shared" si="38"/>
        <v>0</v>
      </c>
      <c r="AN31" s="440">
        <f t="shared" si="39"/>
        <v>0</v>
      </c>
      <c r="AO31" s="180">
        <f t="shared" si="40"/>
        <v>0</v>
      </c>
    </row>
    <row r="32" spans="1:41" s="108" customFormat="1" ht="15" customHeight="1">
      <c r="A32" s="135" t="s">
        <v>227</v>
      </c>
      <c r="B32" s="573" t="s">
        <v>228</v>
      </c>
      <c r="C32" s="136">
        <f>SUMIF('Che-Store'!A:A,Used_before_Trf!A32,'Che-Store'!AC:AC)+SUMIF('Che-Comp'!A:A,Used_before_Trf!A32,'Che-Comp'!AC:AC)</f>
        <v>0</v>
      </c>
      <c r="D32" s="137">
        <f t="shared" si="20"/>
        <v>0</v>
      </c>
      <c r="E32" s="138">
        <f>SUMIF('Che-Store'!A:A,Used_before_Trf!A32,'Che-Store'!AE:AE)+SUMIF('Che-Comp'!A:A,Used_before_Trf!A32,'Che-Comp'!AE:AE)</f>
        <v>0</v>
      </c>
      <c r="F32" s="136">
        <f>SUMIFS('Che-Comp'!F:F,'Che-Comp'!$A:$A,Used_before_Trf!$A32)</f>
        <v>0</v>
      </c>
      <c r="G32" s="138">
        <f>SUMIFS('Che-Comp'!G:G,'Che-Comp'!$A:$A,Used_before_Trf!$A32)</f>
        <v>0</v>
      </c>
      <c r="H32" s="137">
        <f t="shared" si="21"/>
        <v>0</v>
      </c>
      <c r="I32" s="137">
        <f t="shared" si="22"/>
        <v>0</v>
      </c>
      <c r="J32" s="137">
        <f t="shared" si="23"/>
        <v>0</v>
      </c>
      <c r="K32" s="158">
        <f>SUMIF('Che.-Prod'!A:A,Used_before_Trf!A32,'Che.-Prod'!D:D)</f>
        <v>0</v>
      </c>
      <c r="L32" s="137">
        <f t="shared" si="24"/>
        <v>0</v>
      </c>
      <c r="M32" s="159">
        <f>SUMIF('Che.-Prod'!A:A,Used_before_Trf!A32,'Che.-Prod'!F:F)</f>
        <v>0</v>
      </c>
      <c r="N32" s="160">
        <f>SUMIF('Che.-Prod'!A:A,Used_before_Trf!A32,'Che.-Prod'!G:G)</f>
        <v>0</v>
      </c>
      <c r="O32" s="161">
        <f t="shared" si="25"/>
        <v>0</v>
      </c>
      <c r="P32" s="162">
        <f>SUMIF('Che.-Prod'!A:A,Used_before_Trf!A32,'Che.-Prod'!H:H)</f>
        <v>0</v>
      </c>
      <c r="Q32" s="160">
        <f>SUMIF('Che.-Prod'!A:A,Used_before_Trf!A32,'Che.-Prod'!P:P)</f>
        <v>0</v>
      </c>
      <c r="R32" s="161">
        <f t="shared" si="26"/>
        <v>0</v>
      </c>
      <c r="S32" s="159">
        <f>SUMIF('Che.-Prod'!A:A,Used_before_Trf!A32,'Che.-Prod'!R:R)</f>
        <v>0</v>
      </c>
      <c r="T32" s="169">
        <f t="shared" si="27"/>
        <v>0</v>
      </c>
      <c r="U32" s="507">
        <f t="shared" si="28"/>
        <v>0</v>
      </c>
      <c r="V32" s="170">
        <f t="shared" si="29"/>
        <v>0</v>
      </c>
      <c r="W32" s="158">
        <f>SUMIF('CHE-last month'!$A:$A,Used_before_Trf!A32,'CHE-last month'!C:C)</f>
        <v>0</v>
      </c>
      <c r="X32" s="520">
        <f t="shared" si="30"/>
        <v>0</v>
      </c>
      <c r="Y32" s="162">
        <f>SUMIF('CHE-last month'!$A:$A,Used_before_Trf!A32,'CHE-last month'!E:E)</f>
        <v>0</v>
      </c>
      <c r="Z32" s="159">
        <f t="shared" si="31"/>
        <v>0</v>
      </c>
      <c r="AA32" s="520">
        <f t="shared" si="32"/>
        <v>0</v>
      </c>
      <c r="AB32" s="159">
        <f t="shared" si="33"/>
        <v>0</v>
      </c>
      <c r="AC32" s="160">
        <f>SUMIFS(BalCom!M:M,BalCom!N:N,Used_before_Trf!A32,BalCom!C:C,Used_before_Trf!$AC$1)</f>
        <v>0</v>
      </c>
      <c r="AD32" s="171">
        <f t="shared" si="34"/>
        <v>0</v>
      </c>
      <c r="AE32" s="159">
        <f>SUMIFS(BalCom!P:P,BalCom!N:N,Used_before_Trf!A32,BalCom!C:C,Used_before_Trf!$AC$1)</f>
        <v>0</v>
      </c>
      <c r="AF32" s="160">
        <f>SUMIFS(BalDis!I:I,BalDis!J:J,Used_before_Trf!A32)</f>
        <v>0</v>
      </c>
      <c r="AG32" s="171">
        <f t="shared" si="35"/>
        <v>0</v>
      </c>
      <c r="AH32" s="162">
        <f>SUMIFS(BalDis!L:L,BalDis!J:J,Used_before_Trf!A32)</f>
        <v>0</v>
      </c>
      <c r="AI32" s="159">
        <f>SUMIFS(BalDip!$N$49:$N$75,BalDip!$C$49:$C$75,Used_before_Trf!A32)+SUMIFS(BalDip!$N$134:$N$157,BalDip!$C$134:$C$157,Used_before_Trf!A32)</f>
        <v>0</v>
      </c>
      <c r="AJ32" s="171">
        <f t="shared" si="36"/>
        <v>0</v>
      </c>
      <c r="AK32" s="177">
        <f>SUMIFS(BalDip!$N$80:$N$106,BalDip!$C$80:$C$106,Used_before_Trf!A32)+SUMIFS(BalDip!$N$161:$N$184,BalDip!$C$161:$C$184,Used_before_Trf!A32)</f>
        <v>0</v>
      </c>
      <c r="AL32" s="178">
        <f t="shared" si="37"/>
        <v>0</v>
      </c>
      <c r="AM32" s="179">
        <f t="shared" si="38"/>
        <v>0</v>
      </c>
      <c r="AN32" s="440">
        <f t="shared" si="39"/>
        <v>0</v>
      </c>
      <c r="AO32" s="180">
        <f t="shared" si="40"/>
        <v>0</v>
      </c>
    </row>
    <row r="33" spans="1:41" s="108" customFormat="1" ht="15" customHeight="1">
      <c r="A33" s="135" t="s">
        <v>229</v>
      </c>
      <c r="B33" s="573" t="s">
        <v>230</v>
      </c>
      <c r="C33" s="136">
        <f>SUMIF('Che-Store'!A:A,Used_before_Trf!A33,'Che-Store'!AC:AC)+SUMIF('Che-Comp'!A:A,Used_before_Trf!A33,'Che-Comp'!AC:AC)</f>
        <v>0</v>
      </c>
      <c r="D33" s="137">
        <f t="shared" si="20"/>
        <v>0</v>
      </c>
      <c r="E33" s="138">
        <f>SUMIF('Che-Store'!A:A,Used_before_Trf!A33,'Che-Store'!AE:AE)+SUMIF('Che-Comp'!A:A,Used_before_Trf!A33,'Che-Comp'!AE:AE)</f>
        <v>0</v>
      </c>
      <c r="F33" s="136">
        <f>SUMIFS('Che-Comp'!F:F,'Che-Comp'!$A:$A,Used_before_Trf!$A33)</f>
        <v>0</v>
      </c>
      <c r="G33" s="138">
        <f>SUMIFS('Che-Comp'!G:G,'Che-Comp'!$A:$A,Used_before_Trf!$A33)</f>
        <v>0</v>
      </c>
      <c r="H33" s="137">
        <f t="shared" si="21"/>
        <v>0</v>
      </c>
      <c r="I33" s="137">
        <f t="shared" si="22"/>
        <v>0</v>
      </c>
      <c r="J33" s="137">
        <f t="shared" si="23"/>
        <v>0</v>
      </c>
      <c r="K33" s="158">
        <f>SUMIF('Che.-Prod'!A:A,Used_before_Trf!A33,'Che.-Prod'!D:D)</f>
        <v>0</v>
      </c>
      <c r="L33" s="137">
        <f t="shared" si="24"/>
        <v>0</v>
      </c>
      <c r="M33" s="159">
        <f>SUMIF('Che.-Prod'!A:A,Used_before_Trf!A33,'Che.-Prod'!F:F)</f>
        <v>0</v>
      </c>
      <c r="N33" s="160">
        <f>SUMIF('Che.-Prod'!A:A,Used_before_Trf!A33,'Che.-Prod'!G:G)</f>
        <v>0</v>
      </c>
      <c r="O33" s="161">
        <f t="shared" si="25"/>
        <v>0</v>
      </c>
      <c r="P33" s="162">
        <f>SUMIF('Che.-Prod'!A:A,Used_before_Trf!A33,'Che.-Prod'!H:H)</f>
        <v>0</v>
      </c>
      <c r="Q33" s="160">
        <f>SUMIF('Che.-Prod'!A:A,Used_before_Trf!A33,'Che.-Prod'!P:P)</f>
        <v>0</v>
      </c>
      <c r="R33" s="161">
        <f t="shared" si="26"/>
        <v>0</v>
      </c>
      <c r="S33" s="159">
        <f>SUMIF('Che.-Prod'!A:A,Used_before_Trf!A33,'Che.-Prod'!R:R)</f>
        <v>0</v>
      </c>
      <c r="T33" s="169">
        <f t="shared" si="27"/>
        <v>0</v>
      </c>
      <c r="U33" s="507">
        <f t="shared" si="28"/>
        <v>0</v>
      </c>
      <c r="V33" s="170">
        <f t="shared" si="29"/>
        <v>0</v>
      </c>
      <c r="W33" s="158">
        <f>SUMIF('CHE-last month'!$A:$A,Used_before_Trf!A33,'CHE-last month'!C:C)</f>
        <v>0</v>
      </c>
      <c r="X33" s="520">
        <f t="shared" si="30"/>
        <v>0</v>
      </c>
      <c r="Y33" s="162">
        <f>SUMIF('CHE-last month'!$A:$A,Used_before_Trf!A33,'CHE-last month'!E:E)</f>
        <v>0</v>
      </c>
      <c r="Z33" s="159">
        <f t="shared" si="31"/>
        <v>0</v>
      </c>
      <c r="AA33" s="520">
        <f t="shared" si="32"/>
        <v>0</v>
      </c>
      <c r="AB33" s="159">
        <f t="shared" si="33"/>
        <v>0</v>
      </c>
      <c r="AC33" s="160">
        <f>SUMIFS(BalCom!M:M,BalCom!N:N,Used_before_Trf!A33,BalCom!C:C,Used_before_Trf!$AC$1)</f>
        <v>0</v>
      </c>
      <c r="AD33" s="171">
        <f t="shared" si="34"/>
        <v>0</v>
      </c>
      <c r="AE33" s="159">
        <f>SUMIFS(BalCom!P:P,BalCom!N:N,Used_before_Trf!A33,BalCom!C:C,Used_before_Trf!$AC$1)</f>
        <v>0</v>
      </c>
      <c r="AF33" s="160">
        <f>SUMIFS(BalDis!I:I,BalDis!J:J,Used_before_Trf!A33)</f>
        <v>0</v>
      </c>
      <c r="AG33" s="171">
        <f t="shared" si="35"/>
        <v>0</v>
      </c>
      <c r="AH33" s="162">
        <f>SUMIFS(BalDis!L:L,BalDis!J:J,Used_before_Trf!A33)</f>
        <v>0</v>
      </c>
      <c r="AI33" s="159">
        <f>SUMIFS(BalDip!$N$49:$N$75,BalDip!$C$49:$C$75,Used_before_Trf!A33)+SUMIFS(BalDip!$N$134:$N$157,BalDip!$C$134:$C$157,Used_before_Trf!A33)</f>
        <v>0</v>
      </c>
      <c r="AJ33" s="171">
        <f t="shared" si="36"/>
        <v>0</v>
      </c>
      <c r="AK33" s="177">
        <f>SUMIFS(BalDip!$N$80:$N$106,BalDip!$C$80:$C$106,Used_before_Trf!A33)+SUMIFS(BalDip!$N$161:$N$184,BalDip!$C$161:$C$184,Used_before_Trf!A33)</f>
        <v>0</v>
      </c>
      <c r="AL33" s="178">
        <f t="shared" si="37"/>
        <v>0</v>
      </c>
      <c r="AM33" s="179">
        <f t="shared" si="38"/>
        <v>0</v>
      </c>
      <c r="AN33" s="440">
        <f t="shared" si="39"/>
        <v>0</v>
      </c>
      <c r="AO33" s="180">
        <f t="shared" si="40"/>
        <v>0</v>
      </c>
    </row>
    <row r="34" spans="1:41" s="108" customFormat="1" ht="15" customHeight="1">
      <c r="A34" s="135" t="s">
        <v>231</v>
      </c>
      <c r="B34" s="573" t="s">
        <v>232</v>
      </c>
      <c r="C34" s="136">
        <f>SUMIF('Che-Store'!A:A,Used_before_Trf!A34,'Che-Store'!AC:AC)+SUMIF('Che-Comp'!A:A,Used_before_Trf!A34,'Che-Comp'!AC:AC)</f>
        <v>0</v>
      </c>
      <c r="D34" s="137">
        <f t="shared" si="20"/>
        <v>0</v>
      </c>
      <c r="E34" s="138">
        <f>SUMIF('Che-Store'!A:A,Used_before_Trf!A34,'Che-Store'!AE:AE)+SUMIF('Che-Comp'!A:A,Used_before_Trf!A34,'Che-Comp'!AE:AE)</f>
        <v>0</v>
      </c>
      <c r="F34" s="136">
        <f>SUMIFS('Che-Comp'!F:F,'Che-Comp'!$A:$A,Used_before_Trf!$A34)</f>
        <v>0</v>
      </c>
      <c r="G34" s="138">
        <f>SUMIFS('Che-Comp'!G:G,'Che-Comp'!$A:$A,Used_before_Trf!$A34)</f>
        <v>0</v>
      </c>
      <c r="H34" s="137">
        <f t="shared" si="21"/>
        <v>0</v>
      </c>
      <c r="I34" s="137">
        <f t="shared" si="22"/>
        <v>0</v>
      </c>
      <c r="J34" s="137">
        <f t="shared" si="23"/>
        <v>0</v>
      </c>
      <c r="K34" s="158">
        <f>SUMIF('Che.-Prod'!A:A,Used_before_Trf!A34,'Che.-Prod'!D:D)</f>
        <v>0</v>
      </c>
      <c r="L34" s="137">
        <f t="shared" si="24"/>
        <v>0</v>
      </c>
      <c r="M34" s="159">
        <f>SUMIF('Che.-Prod'!A:A,Used_before_Trf!A34,'Che.-Prod'!F:F)</f>
        <v>0</v>
      </c>
      <c r="N34" s="160">
        <f>SUMIF('Che.-Prod'!A:A,Used_before_Trf!A34,'Che.-Prod'!G:G)</f>
        <v>0</v>
      </c>
      <c r="O34" s="161">
        <f t="shared" si="25"/>
        <v>0</v>
      </c>
      <c r="P34" s="162">
        <f>SUMIF('Che.-Prod'!A:A,Used_before_Trf!A34,'Che.-Prod'!H:H)</f>
        <v>0</v>
      </c>
      <c r="Q34" s="160">
        <f>SUMIF('Che.-Prod'!A:A,Used_before_Trf!A34,'Che.-Prod'!P:P)</f>
        <v>0</v>
      </c>
      <c r="R34" s="161">
        <f t="shared" si="26"/>
        <v>0</v>
      </c>
      <c r="S34" s="159">
        <f>SUMIF('Che.-Prod'!A:A,Used_before_Trf!A34,'Che.-Prod'!R:R)</f>
        <v>0</v>
      </c>
      <c r="T34" s="169">
        <f t="shared" si="27"/>
        <v>0</v>
      </c>
      <c r="U34" s="507">
        <f t="shared" si="28"/>
        <v>0</v>
      </c>
      <c r="V34" s="170">
        <f t="shared" si="29"/>
        <v>0</v>
      </c>
      <c r="W34" s="158">
        <f>SUMIF('CHE-last month'!$A:$A,Used_before_Trf!A34,'CHE-last month'!C:C)</f>
        <v>0</v>
      </c>
      <c r="X34" s="520">
        <f t="shared" si="30"/>
        <v>0</v>
      </c>
      <c r="Y34" s="162">
        <f>SUMIF('CHE-last month'!$A:$A,Used_before_Trf!A34,'CHE-last month'!E:E)</f>
        <v>0</v>
      </c>
      <c r="Z34" s="159">
        <f t="shared" si="31"/>
        <v>0</v>
      </c>
      <c r="AA34" s="520">
        <f t="shared" si="32"/>
        <v>0</v>
      </c>
      <c r="AB34" s="159">
        <f t="shared" si="33"/>
        <v>0</v>
      </c>
      <c r="AC34" s="160">
        <f>SUMIFS(BalCom!M:M,BalCom!N:N,Used_before_Trf!A34,BalCom!C:C,Used_before_Trf!$AC$1)</f>
        <v>0</v>
      </c>
      <c r="AD34" s="171">
        <f t="shared" si="34"/>
        <v>0</v>
      </c>
      <c r="AE34" s="159">
        <f>SUMIFS(BalCom!P:P,BalCom!N:N,Used_before_Trf!A34,BalCom!C:C,Used_before_Trf!$AC$1)</f>
        <v>0</v>
      </c>
      <c r="AF34" s="160">
        <f>SUMIFS(BalDis!I:I,BalDis!J:J,Used_before_Trf!A34)</f>
        <v>0</v>
      </c>
      <c r="AG34" s="171">
        <f t="shared" si="35"/>
        <v>0</v>
      </c>
      <c r="AH34" s="162">
        <f>SUMIFS(BalDis!L:L,BalDis!J:J,Used_before_Trf!A34)</f>
        <v>0</v>
      </c>
      <c r="AI34" s="159">
        <f>SUMIFS(BalDip!$N$49:$N$75,BalDip!$C$49:$C$75,Used_before_Trf!A34)+SUMIFS(BalDip!$N$134:$N$157,BalDip!$C$134:$C$157,Used_before_Trf!A34)</f>
        <v>0</v>
      </c>
      <c r="AJ34" s="171">
        <f t="shared" si="36"/>
        <v>0</v>
      </c>
      <c r="AK34" s="177">
        <f>SUMIFS(BalDip!$N$80:$N$106,BalDip!$C$80:$C$106,Used_before_Trf!A34)+SUMIFS(BalDip!$N$161:$N$184,BalDip!$C$161:$C$184,Used_before_Trf!A34)</f>
        <v>0</v>
      </c>
      <c r="AL34" s="178">
        <f t="shared" si="37"/>
        <v>0</v>
      </c>
      <c r="AM34" s="179">
        <f t="shared" si="38"/>
        <v>0</v>
      </c>
      <c r="AN34" s="440">
        <f t="shared" si="39"/>
        <v>0</v>
      </c>
      <c r="AO34" s="180">
        <f t="shared" si="40"/>
        <v>0</v>
      </c>
    </row>
    <row r="35" spans="1:41" s="108" customFormat="1" ht="15" customHeight="1">
      <c r="A35" s="135" t="s">
        <v>233</v>
      </c>
      <c r="B35" s="573" t="s">
        <v>234</v>
      </c>
      <c r="C35" s="136">
        <f>SUMIF('Che-Store'!A:A,Used_before_Trf!A35,'Che-Store'!AC:AC)+SUMIF('Che-Comp'!A:A,Used_before_Trf!A35,'Che-Comp'!AC:AC)</f>
        <v>0</v>
      </c>
      <c r="D35" s="137">
        <f t="shared" si="20"/>
        <v>0</v>
      </c>
      <c r="E35" s="138">
        <f>SUMIF('Che-Store'!A:A,Used_before_Trf!A35,'Che-Store'!AE:AE)+SUMIF('Che-Comp'!A:A,Used_before_Trf!A35,'Che-Comp'!AE:AE)</f>
        <v>0</v>
      </c>
      <c r="F35" s="136">
        <f>SUMIFS('Che-Comp'!F:F,'Che-Comp'!$A:$A,Used_before_Trf!$A35)</f>
        <v>0</v>
      </c>
      <c r="G35" s="138">
        <f>SUMIFS('Che-Comp'!G:G,'Che-Comp'!$A:$A,Used_before_Trf!$A35)</f>
        <v>0</v>
      </c>
      <c r="H35" s="137">
        <f t="shared" si="21"/>
        <v>0</v>
      </c>
      <c r="I35" s="137">
        <f t="shared" si="22"/>
        <v>0</v>
      </c>
      <c r="J35" s="137">
        <f t="shared" si="23"/>
        <v>0</v>
      </c>
      <c r="K35" s="158">
        <f>SUMIF('Che.-Prod'!A:A,Used_before_Trf!A35,'Che.-Prod'!D:D)</f>
        <v>0</v>
      </c>
      <c r="L35" s="137">
        <f t="shared" si="24"/>
        <v>0</v>
      </c>
      <c r="M35" s="159">
        <f>SUMIF('Che.-Prod'!A:A,Used_before_Trf!A35,'Che.-Prod'!F:F)</f>
        <v>0</v>
      </c>
      <c r="N35" s="160">
        <f>SUMIF('Che.-Prod'!A:A,Used_before_Trf!A35,'Che.-Prod'!G:G)</f>
        <v>0</v>
      </c>
      <c r="O35" s="161">
        <f t="shared" si="25"/>
        <v>0</v>
      </c>
      <c r="P35" s="162">
        <f>SUMIF('Che.-Prod'!A:A,Used_before_Trf!A35,'Che.-Prod'!H:H)</f>
        <v>0</v>
      </c>
      <c r="Q35" s="160">
        <f>SUMIF('Che.-Prod'!A:A,Used_before_Trf!A35,'Che.-Prod'!P:P)</f>
        <v>0</v>
      </c>
      <c r="R35" s="161">
        <f t="shared" si="26"/>
        <v>0</v>
      </c>
      <c r="S35" s="159">
        <f>SUMIF('Che.-Prod'!A:A,Used_before_Trf!A35,'Che.-Prod'!R:R)</f>
        <v>0</v>
      </c>
      <c r="T35" s="169">
        <f t="shared" si="27"/>
        <v>0</v>
      </c>
      <c r="U35" s="507">
        <f t="shared" si="28"/>
        <v>0</v>
      </c>
      <c r="V35" s="170">
        <f t="shared" si="29"/>
        <v>0</v>
      </c>
      <c r="W35" s="158">
        <f>SUMIF('CHE-last month'!$A:$A,Used_before_Trf!A35,'CHE-last month'!C:C)</f>
        <v>0</v>
      </c>
      <c r="X35" s="520">
        <f t="shared" si="30"/>
        <v>0</v>
      </c>
      <c r="Y35" s="162">
        <f>SUMIF('CHE-last month'!$A:$A,Used_before_Trf!A35,'CHE-last month'!E:E)</f>
        <v>0</v>
      </c>
      <c r="Z35" s="159">
        <f t="shared" si="31"/>
        <v>0</v>
      </c>
      <c r="AA35" s="520">
        <f t="shared" si="32"/>
        <v>0</v>
      </c>
      <c r="AB35" s="159">
        <f t="shared" si="33"/>
        <v>0</v>
      </c>
      <c r="AC35" s="160">
        <f>SUMIFS(BalCom!M:M,BalCom!N:N,Used_before_Trf!A35,BalCom!C:C,Used_before_Trf!$AC$1)</f>
        <v>0</v>
      </c>
      <c r="AD35" s="171">
        <f t="shared" si="34"/>
        <v>0</v>
      </c>
      <c r="AE35" s="159">
        <f>SUMIFS(BalCom!P:P,BalCom!N:N,Used_before_Trf!A35,BalCom!C:C,Used_before_Trf!$AC$1)</f>
        <v>0</v>
      </c>
      <c r="AF35" s="160">
        <f>SUMIFS(BalDis!I:I,BalDis!J:J,Used_before_Trf!A35)</f>
        <v>0</v>
      </c>
      <c r="AG35" s="171">
        <f t="shared" si="35"/>
        <v>0</v>
      </c>
      <c r="AH35" s="162">
        <f>SUMIFS(BalDis!L:L,BalDis!J:J,Used_before_Trf!A35)</f>
        <v>0</v>
      </c>
      <c r="AI35" s="159">
        <f>SUMIFS(BalDip!$N$49:$N$75,BalDip!$C$49:$C$75,Used_before_Trf!A35)+SUMIFS(BalDip!$N$134:$N$157,BalDip!$C$134:$C$157,Used_before_Trf!A35)</f>
        <v>0</v>
      </c>
      <c r="AJ35" s="171">
        <f t="shared" si="36"/>
        <v>0</v>
      </c>
      <c r="AK35" s="177">
        <f>SUMIFS(BalDip!$N$80:$N$106,BalDip!$C$80:$C$106,Used_before_Trf!A35)+SUMIFS(BalDip!$N$161:$N$184,BalDip!$C$161:$C$184,Used_before_Trf!A35)</f>
        <v>0</v>
      </c>
      <c r="AL35" s="178">
        <f t="shared" si="37"/>
        <v>0</v>
      </c>
      <c r="AM35" s="179">
        <f t="shared" si="38"/>
        <v>0</v>
      </c>
      <c r="AN35" s="440">
        <f t="shared" si="39"/>
        <v>0</v>
      </c>
      <c r="AO35" s="180">
        <f t="shared" si="40"/>
        <v>0</v>
      </c>
    </row>
    <row r="36" spans="1:41" s="108" customFormat="1" ht="15" customHeight="1">
      <c r="A36" s="135" t="s">
        <v>235</v>
      </c>
      <c r="B36" s="573" t="s">
        <v>236</v>
      </c>
      <c r="C36" s="136">
        <f>SUMIF('Che-Store'!A:A,Used_before_Trf!A36,'Che-Store'!AC:AC)+SUMIF('Che-Comp'!A:A,Used_before_Trf!A36,'Che-Comp'!AC:AC)</f>
        <v>0</v>
      </c>
      <c r="D36" s="137">
        <f t="shared" si="20"/>
        <v>0</v>
      </c>
      <c r="E36" s="138">
        <f>SUMIF('Che-Store'!A:A,Used_before_Trf!A36,'Che-Store'!AE:AE)+SUMIF('Che-Comp'!A:A,Used_before_Trf!A36,'Che-Comp'!AE:AE)</f>
        <v>0</v>
      </c>
      <c r="F36" s="136">
        <f>SUMIFS('Che-Comp'!F:F,'Che-Comp'!$A:$A,Used_before_Trf!$A36)</f>
        <v>0</v>
      </c>
      <c r="G36" s="138">
        <f>SUMIFS('Che-Comp'!G:G,'Che-Comp'!$A:$A,Used_before_Trf!$A36)</f>
        <v>0</v>
      </c>
      <c r="H36" s="137">
        <f t="shared" si="21"/>
        <v>0</v>
      </c>
      <c r="I36" s="137">
        <f t="shared" si="22"/>
        <v>0</v>
      </c>
      <c r="J36" s="137">
        <f t="shared" si="23"/>
        <v>0</v>
      </c>
      <c r="K36" s="158">
        <f>SUMIF('Che.-Prod'!A:A,Used_before_Trf!A36,'Che.-Prod'!D:D)</f>
        <v>0</v>
      </c>
      <c r="L36" s="137">
        <f t="shared" si="24"/>
        <v>0</v>
      </c>
      <c r="M36" s="159">
        <f>SUMIF('Che.-Prod'!A:A,Used_before_Trf!A36,'Che.-Prod'!F:F)</f>
        <v>0</v>
      </c>
      <c r="N36" s="160">
        <f>SUMIF('Che.-Prod'!A:A,Used_before_Trf!A36,'Che.-Prod'!G:G)</f>
        <v>0</v>
      </c>
      <c r="O36" s="161">
        <f t="shared" si="25"/>
        <v>0</v>
      </c>
      <c r="P36" s="162">
        <f>SUMIF('Che.-Prod'!A:A,Used_before_Trf!A36,'Che.-Prod'!H:H)</f>
        <v>0</v>
      </c>
      <c r="Q36" s="160">
        <f>SUMIF('Che.-Prod'!A:A,Used_before_Trf!A36,'Che.-Prod'!P:P)</f>
        <v>0</v>
      </c>
      <c r="R36" s="161">
        <f t="shared" si="26"/>
        <v>0</v>
      </c>
      <c r="S36" s="159">
        <f>SUMIF('Che.-Prod'!A:A,Used_before_Trf!A36,'Che.-Prod'!R:R)</f>
        <v>0</v>
      </c>
      <c r="T36" s="169">
        <f t="shared" si="27"/>
        <v>0</v>
      </c>
      <c r="U36" s="507">
        <f t="shared" si="28"/>
        <v>0</v>
      </c>
      <c r="V36" s="170">
        <f t="shared" si="29"/>
        <v>0</v>
      </c>
      <c r="W36" s="158">
        <f>SUMIF('CHE-last month'!$A:$A,Used_before_Trf!A36,'CHE-last month'!C:C)</f>
        <v>0</v>
      </c>
      <c r="X36" s="520">
        <f t="shared" si="30"/>
        <v>0</v>
      </c>
      <c r="Y36" s="162">
        <f>SUMIF('CHE-last month'!$A:$A,Used_before_Trf!A36,'CHE-last month'!E:E)</f>
        <v>0</v>
      </c>
      <c r="Z36" s="159">
        <f t="shared" si="31"/>
        <v>0</v>
      </c>
      <c r="AA36" s="520">
        <f t="shared" si="32"/>
        <v>0</v>
      </c>
      <c r="AB36" s="159">
        <f t="shared" si="33"/>
        <v>0</v>
      </c>
      <c r="AC36" s="160">
        <f>SUMIFS(BalCom!M:M,BalCom!N:N,Used_before_Trf!A36,BalCom!C:C,Used_before_Trf!$AC$1)</f>
        <v>0</v>
      </c>
      <c r="AD36" s="171">
        <f t="shared" si="34"/>
        <v>0</v>
      </c>
      <c r="AE36" s="159">
        <f>SUMIFS(BalCom!P:P,BalCom!N:N,Used_before_Trf!A36,BalCom!C:C,Used_before_Trf!$AC$1)</f>
        <v>0</v>
      </c>
      <c r="AF36" s="160">
        <f>SUMIFS(BalDis!I:I,BalDis!J:J,Used_before_Trf!A36)</f>
        <v>0</v>
      </c>
      <c r="AG36" s="171">
        <f t="shared" si="35"/>
        <v>0</v>
      </c>
      <c r="AH36" s="162">
        <f>SUMIFS(BalDis!L:L,BalDis!J:J,Used_before_Trf!A36)</f>
        <v>0</v>
      </c>
      <c r="AI36" s="159">
        <f>SUMIFS(BalDip!$N$49:$N$75,BalDip!$C$49:$C$75,Used_before_Trf!A36)+SUMIFS(BalDip!$N$134:$N$157,BalDip!$C$134:$C$157,Used_before_Trf!A36)</f>
        <v>0</v>
      </c>
      <c r="AJ36" s="171">
        <f t="shared" si="36"/>
        <v>0</v>
      </c>
      <c r="AK36" s="177">
        <f>SUMIFS(BalDip!$N$80:$N$106,BalDip!$C$80:$C$106,Used_before_Trf!A36)+SUMIFS(BalDip!$N$161:$N$184,BalDip!$C$161:$C$184,Used_before_Trf!A36)</f>
        <v>0</v>
      </c>
      <c r="AL36" s="178">
        <f t="shared" si="37"/>
        <v>0</v>
      </c>
      <c r="AM36" s="179">
        <f t="shared" si="38"/>
        <v>0</v>
      </c>
      <c r="AN36" s="440">
        <f t="shared" si="39"/>
        <v>0</v>
      </c>
      <c r="AO36" s="180">
        <f t="shared" si="40"/>
        <v>0</v>
      </c>
    </row>
    <row r="37" spans="1:41" s="108" customFormat="1" ht="15" customHeight="1">
      <c r="A37" s="135" t="s">
        <v>237</v>
      </c>
      <c r="B37" s="140" t="s">
        <v>238</v>
      </c>
      <c r="C37" s="136">
        <f>SUMIF('Che-Store'!A:A,Used_before_Trf!A37,'Che-Store'!AC:AC)+SUMIF('Che-Comp'!A:A,Used_before_Trf!A37,'Che-Comp'!AC:AC)</f>
        <v>0</v>
      </c>
      <c r="D37" s="137">
        <f t="shared" si="20"/>
        <v>0</v>
      </c>
      <c r="E37" s="138">
        <f>SUMIF('Che-Store'!A:A,Used_before_Trf!A37,'Che-Store'!AE:AE)+SUMIF('Che-Comp'!A:A,Used_before_Trf!A37,'Che-Comp'!AE:AE)</f>
        <v>0</v>
      </c>
      <c r="F37" s="136">
        <f>SUMIFS('Che-Comp'!F:F,'Che-Comp'!$A:$A,Used_before_Trf!$A37)</f>
        <v>0</v>
      </c>
      <c r="G37" s="138">
        <f>SUMIFS('Che-Comp'!G:G,'Che-Comp'!$A:$A,Used_before_Trf!$A37)</f>
        <v>0</v>
      </c>
      <c r="H37" s="137">
        <f t="shared" si="21"/>
        <v>0</v>
      </c>
      <c r="I37" s="137">
        <f t="shared" si="22"/>
        <v>0</v>
      </c>
      <c r="J37" s="137">
        <f t="shared" si="23"/>
        <v>0</v>
      </c>
      <c r="K37" s="158">
        <f>SUMIF('Che.-Prod'!A:A,Used_before_Trf!A37,'Che.-Prod'!D:D)</f>
        <v>0</v>
      </c>
      <c r="L37" s="137">
        <f t="shared" si="24"/>
        <v>0</v>
      </c>
      <c r="M37" s="159">
        <f>SUMIF('Che.-Prod'!A:A,Used_before_Trf!A37,'Che.-Prod'!F:F)</f>
        <v>0</v>
      </c>
      <c r="N37" s="160">
        <f>SUMIF('Che.-Prod'!A:A,Used_before_Trf!A37,'Che.-Prod'!G:G)</f>
        <v>0</v>
      </c>
      <c r="O37" s="161">
        <f t="shared" si="25"/>
        <v>0</v>
      </c>
      <c r="P37" s="162">
        <f>SUMIF('Che.-Prod'!A:A,Used_before_Trf!A37,'Che.-Prod'!H:H)</f>
        <v>0</v>
      </c>
      <c r="Q37" s="160">
        <f>SUMIF('Che.-Prod'!A:A,Used_before_Trf!A37,'Che.-Prod'!P:P)</f>
        <v>0</v>
      </c>
      <c r="R37" s="161">
        <f t="shared" si="26"/>
        <v>0</v>
      </c>
      <c r="S37" s="159">
        <f>SUMIF('Che.-Prod'!A:A,Used_before_Trf!A37,'Che.-Prod'!R:R)</f>
        <v>0</v>
      </c>
      <c r="T37" s="169">
        <f t="shared" si="27"/>
        <v>0</v>
      </c>
      <c r="U37" s="507">
        <f t="shared" si="28"/>
        <v>0</v>
      </c>
      <c r="V37" s="170">
        <f t="shared" si="29"/>
        <v>0</v>
      </c>
      <c r="W37" s="158">
        <f>SUMIF('CHE-last month'!$A:$A,Used_before_Trf!A37,'CHE-last month'!C:C)</f>
        <v>0</v>
      </c>
      <c r="X37" s="520">
        <f t="shared" si="30"/>
        <v>0</v>
      </c>
      <c r="Y37" s="162">
        <f>SUMIF('CHE-last month'!$A:$A,Used_before_Trf!A37,'CHE-last month'!E:E)</f>
        <v>0</v>
      </c>
      <c r="Z37" s="159">
        <f t="shared" si="31"/>
        <v>0</v>
      </c>
      <c r="AA37" s="520">
        <f t="shared" si="32"/>
        <v>0</v>
      </c>
      <c r="AB37" s="159">
        <f t="shared" si="33"/>
        <v>0</v>
      </c>
      <c r="AC37" s="160">
        <f>SUMIFS(BalCom!M:M,BalCom!N:N,Used_before_Trf!A37,BalCom!C:C,Used_before_Trf!$AC$1)</f>
        <v>0</v>
      </c>
      <c r="AD37" s="171">
        <f t="shared" si="34"/>
        <v>0</v>
      </c>
      <c r="AE37" s="159">
        <f>SUMIFS(BalCom!P:P,BalCom!N:N,Used_before_Trf!A37,BalCom!C:C,Used_before_Trf!$AC$1)</f>
        <v>0</v>
      </c>
      <c r="AF37" s="160">
        <f>SUMIFS(BalDis!I:I,BalDis!J:J,Used_before_Trf!A37)</f>
        <v>0</v>
      </c>
      <c r="AG37" s="171">
        <f t="shared" si="35"/>
        <v>0</v>
      </c>
      <c r="AH37" s="162">
        <f>SUMIFS(BalDis!L:L,BalDis!J:J,Used_before_Trf!A37)</f>
        <v>0</v>
      </c>
      <c r="AI37" s="159">
        <f>SUMIFS(BalDip!$N$49:$N$75,BalDip!$C$49:$C$75,Used_before_Trf!A37)+SUMIFS(BalDip!$N$134:$N$157,BalDip!$C$134:$C$157,Used_before_Trf!A37)</f>
        <v>0</v>
      </c>
      <c r="AJ37" s="171">
        <f t="shared" si="36"/>
        <v>0</v>
      </c>
      <c r="AK37" s="177">
        <f>SUMIFS(BalDip!$N$80:$N$106,BalDip!$C$80:$C$106,Used_before_Trf!A37)+SUMIFS(BalDip!$N$161:$N$184,BalDip!$C$161:$C$184,Used_before_Trf!A37)</f>
        <v>0</v>
      </c>
      <c r="AL37" s="178">
        <f t="shared" si="37"/>
        <v>0</v>
      </c>
      <c r="AM37" s="179">
        <f t="shared" si="38"/>
        <v>0</v>
      </c>
      <c r="AN37" s="440">
        <f t="shared" si="39"/>
        <v>0</v>
      </c>
      <c r="AO37" s="180">
        <f t="shared" si="40"/>
        <v>0</v>
      </c>
    </row>
    <row r="38" spans="1:41" s="108" customFormat="1" ht="15" customHeight="1">
      <c r="A38" s="139" t="s">
        <v>239</v>
      </c>
      <c r="B38" s="573" t="s">
        <v>240</v>
      </c>
      <c r="C38" s="136">
        <f>SUMIF('Che-Store'!A:A,Used_before_Trf!A38,'Che-Store'!AC:AC)+SUMIF('Che-Comp'!A:A,Used_before_Trf!A38,'Che-Comp'!AC:AC)</f>
        <v>1170.96</v>
      </c>
      <c r="D38" s="137">
        <f t="shared" si="20"/>
        <v>58.404505704720911</v>
      </c>
      <c r="E38" s="138">
        <f>SUMIF('Che-Store'!A:A,Used_before_Trf!A38,'Che-Store'!AE:AE)+SUMIF('Che-Comp'!A:A,Used_before_Trf!A38,'Che-Comp'!AE:AE)</f>
        <v>68389.34</v>
      </c>
      <c r="F38" s="136">
        <f>SUMIFS('Che-Comp'!F:F,'Che-Comp'!$A:$A,Used_before_Trf!$A38)</f>
        <v>0</v>
      </c>
      <c r="G38" s="138">
        <f>SUMIFS('Che-Comp'!G:G,'Che-Comp'!$A:$A,Used_before_Trf!$A38)</f>
        <v>0</v>
      </c>
      <c r="H38" s="137">
        <f t="shared" si="21"/>
        <v>1170.96</v>
      </c>
      <c r="I38" s="137">
        <f t="shared" si="22"/>
        <v>58.404505704720911</v>
      </c>
      <c r="J38" s="137">
        <f t="shared" si="23"/>
        <v>68389.34</v>
      </c>
      <c r="K38" s="158">
        <f>SUMIF('Che.-Prod'!A:A,Used_before_Trf!A38,'Che.-Prod'!D:D)</f>
        <v>0</v>
      </c>
      <c r="L38" s="137">
        <f t="shared" si="24"/>
        <v>0</v>
      </c>
      <c r="M38" s="159">
        <f>SUMIF('Che.-Prod'!A:A,Used_before_Trf!A38,'Che.-Prod'!F:F)</f>
        <v>0</v>
      </c>
      <c r="N38" s="160">
        <f>SUMIF('Che.-Prod'!A:A,Used_before_Trf!A38,'Che.-Prod'!G:G)</f>
        <v>0</v>
      </c>
      <c r="O38" s="161">
        <f t="shared" si="25"/>
        <v>0</v>
      </c>
      <c r="P38" s="162">
        <f>SUMIF('Che.-Prod'!A:A,Used_before_Trf!A38,'Che.-Prod'!H:H)</f>
        <v>0</v>
      </c>
      <c r="Q38" s="160">
        <f>SUMIF('Che.-Prod'!A:A,Used_before_Trf!A38,'Che.-Prod'!P:P)</f>
        <v>0</v>
      </c>
      <c r="R38" s="161">
        <f t="shared" si="26"/>
        <v>0</v>
      </c>
      <c r="S38" s="159">
        <f>SUMIF('Che.-Prod'!A:A,Used_before_Trf!A38,'Che.-Prod'!R:R)</f>
        <v>0</v>
      </c>
      <c r="T38" s="169">
        <f t="shared" si="27"/>
        <v>1170.96</v>
      </c>
      <c r="U38" s="507">
        <f t="shared" si="28"/>
        <v>58.404505704720911</v>
      </c>
      <c r="V38" s="170">
        <f t="shared" si="29"/>
        <v>68389.34</v>
      </c>
      <c r="W38" s="158">
        <f>SUMIF('CHE-last month'!$A:$A,Used_before_Trf!A38,'CHE-last month'!C:C)</f>
        <v>0</v>
      </c>
      <c r="X38" s="520">
        <f t="shared" si="30"/>
        <v>0</v>
      </c>
      <c r="Y38" s="162">
        <f>SUMIF('CHE-last month'!$A:$A,Used_before_Trf!A38,'CHE-last month'!E:E)</f>
        <v>0</v>
      </c>
      <c r="Z38" s="159">
        <f t="shared" si="31"/>
        <v>111.86441109708758</v>
      </c>
      <c r="AA38" s="520">
        <f t="shared" si="32"/>
        <v>58.404544715563233</v>
      </c>
      <c r="AB38" s="159">
        <f t="shared" si="33"/>
        <v>6533.3899999999994</v>
      </c>
      <c r="AC38" s="160">
        <f>SUMIFS(BalCom!M:M,BalCom!N:N,Used_before_Trf!A38,BalCom!C:C,Used_before_Trf!$AC$1)</f>
        <v>111.86441109708758</v>
      </c>
      <c r="AD38" s="171">
        <f t="shared" si="34"/>
        <v>58.404544715563233</v>
      </c>
      <c r="AE38" s="159">
        <f>SUMIFS(BalCom!P:P,BalCom!N:N,Used_before_Trf!A38,BalCom!C:C,Used_before_Trf!$AC$1)</f>
        <v>6533.3899999999994</v>
      </c>
      <c r="AF38" s="160">
        <f>SUMIFS(BalDis!I:I,BalDis!J:J,Used_before_Trf!A38)</f>
        <v>0</v>
      </c>
      <c r="AG38" s="171">
        <f t="shared" si="35"/>
        <v>0</v>
      </c>
      <c r="AH38" s="162">
        <f>SUMIFS(BalDis!L:L,BalDis!J:J,Used_before_Trf!A38)</f>
        <v>0</v>
      </c>
      <c r="AI38" s="159">
        <f>SUMIFS(BalDip!$N$49:$N$75,BalDip!$C$49:$C$75,Used_before_Trf!A38)+SUMIFS(BalDip!$N$134:$N$157,BalDip!$C$134:$C$157,Used_before_Trf!A38)</f>
        <v>0</v>
      </c>
      <c r="AJ38" s="171">
        <f t="shared" si="36"/>
        <v>0</v>
      </c>
      <c r="AK38" s="177">
        <f>SUMIFS(BalDip!$N$80:$N$106,BalDip!$C$80:$C$106,Used_before_Trf!A38)+SUMIFS(BalDip!$N$161:$N$184,BalDip!$C$161:$C$184,Used_before_Trf!A38)</f>
        <v>0</v>
      </c>
      <c r="AL38" s="178">
        <f t="shared" si="37"/>
        <v>1059.0955889029124</v>
      </c>
      <c r="AM38" s="179">
        <f t="shared" si="38"/>
        <v>58.404501584295005</v>
      </c>
      <c r="AN38" s="440">
        <f t="shared" si="39"/>
        <v>61855.95</v>
      </c>
      <c r="AO38" s="180">
        <f t="shared" si="40"/>
        <v>-4.1204259062510573E-6</v>
      </c>
    </row>
    <row r="39" spans="1:41" s="108" customFormat="1" ht="15" customHeight="1">
      <c r="A39" s="139" t="s">
        <v>241</v>
      </c>
      <c r="B39" s="141" t="s">
        <v>242</v>
      </c>
      <c r="C39" s="136">
        <f>SUMIF('Che-Store'!A:A,Used_before_Trf!A39,'Che-Store'!AC:AC)+SUMIF('Che-Comp'!A:A,Used_before_Trf!A39,'Che-Comp'!AC:AC)</f>
        <v>0</v>
      </c>
      <c r="D39" s="137">
        <f t="shared" si="20"/>
        <v>0</v>
      </c>
      <c r="E39" s="138">
        <f>SUMIF('Che-Store'!A:A,Used_before_Trf!A39,'Che-Store'!AE:AE)+SUMIF('Che-Comp'!A:A,Used_before_Trf!A39,'Che-Comp'!AE:AE)</f>
        <v>0</v>
      </c>
      <c r="F39" s="136">
        <f>SUMIFS('Che-Comp'!F:F,'Che-Comp'!$A:$A,Used_before_Trf!$A39)</f>
        <v>0</v>
      </c>
      <c r="G39" s="138">
        <f>SUMIFS('Che-Comp'!G:G,'Che-Comp'!$A:$A,Used_before_Trf!$A39)</f>
        <v>0</v>
      </c>
      <c r="H39" s="137">
        <f t="shared" si="21"/>
        <v>0</v>
      </c>
      <c r="I39" s="137">
        <f t="shared" si="22"/>
        <v>0</v>
      </c>
      <c r="J39" s="137">
        <f t="shared" si="23"/>
        <v>0</v>
      </c>
      <c r="K39" s="158">
        <f>SUMIF('Che.-Prod'!A:A,Used_before_Trf!A39,'Che.-Prod'!D:D)</f>
        <v>0</v>
      </c>
      <c r="L39" s="137">
        <f t="shared" si="24"/>
        <v>0</v>
      </c>
      <c r="M39" s="159">
        <f>SUMIF('Che.-Prod'!A:A,Used_before_Trf!A39,'Che.-Prod'!F:F)</f>
        <v>0</v>
      </c>
      <c r="N39" s="160">
        <f>SUMIF('Che.-Prod'!A:A,Used_before_Trf!A39,'Che.-Prod'!G:G)</f>
        <v>0</v>
      </c>
      <c r="O39" s="161">
        <f t="shared" si="25"/>
        <v>0</v>
      </c>
      <c r="P39" s="162">
        <f>SUMIF('Che.-Prod'!A:A,Used_before_Trf!A39,'Che.-Prod'!H:H)</f>
        <v>0</v>
      </c>
      <c r="Q39" s="160">
        <f>SUMIF('Che.-Prod'!A:A,Used_before_Trf!A39,'Che.-Prod'!P:P)</f>
        <v>0</v>
      </c>
      <c r="R39" s="161">
        <f t="shared" si="26"/>
        <v>0</v>
      </c>
      <c r="S39" s="159">
        <f>SUMIF('Che.-Prod'!A:A,Used_before_Trf!A39,'Che.-Prod'!R:R)</f>
        <v>0</v>
      </c>
      <c r="T39" s="169">
        <f t="shared" si="27"/>
        <v>0</v>
      </c>
      <c r="U39" s="507">
        <f t="shared" si="28"/>
        <v>0</v>
      </c>
      <c r="V39" s="170">
        <f t="shared" si="29"/>
        <v>0</v>
      </c>
      <c r="W39" s="158">
        <f>SUMIF('CHE-last month'!$A:$A,Used_before_Trf!A39,'CHE-last month'!C:C)</f>
        <v>0</v>
      </c>
      <c r="X39" s="520">
        <f t="shared" si="30"/>
        <v>0</v>
      </c>
      <c r="Y39" s="162">
        <f>SUMIF('CHE-last month'!$A:$A,Used_before_Trf!A39,'CHE-last month'!E:E)</f>
        <v>0</v>
      </c>
      <c r="Z39" s="159">
        <f t="shared" si="31"/>
        <v>0</v>
      </c>
      <c r="AA39" s="520">
        <f t="shared" si="32"/>
        <v>0</v>
      </c>
      <c r="AB39" s="159">
        <f t="shared" si="33"/>
        <v>0</v>
      </c>
      <c r="AC39" s="160">
        <f>SUMIFS(BalCom!M:M,BalCom!N:N,Used_before_Trf!A39,BalCom!C:C,Used_before_Trf!$AC$1)</f>
        <v>0</v>
      </c>
      <c r="AD39" s="171">
        <f t="shared" si="34"/>
        <v>0</v>
      </c>
      <c r="AE39" s="159">
        <f>SUMIFS(BalCom!P:P,BalCom!N:N,Used_before_Trf!A39,BalCom!C:C,Used_before_Trf!$AC$1)</f>
        <v>0</v>
      </c>
      <c r="AF39" s="160">
        <f>SUMIFS(BalDis!I:I,BalDis!J:J,Used_before_Trf!A39)</f>
        <v>0</v>
      </c>
      <c r="AG39" s="171">
        <f t="shared" si="35"/>
        <v>0</v>
      </c>
      <c r="AH39" s="162">
        <f>SUMIFS(BalDis!L:L,BalDis!J:J,Used_before_Trf!A39)</f>
        <v>0</v>
      </c>
      <c r="AI39" s="159">
        <f>SUMIFS(BalDip!$N$49:$N$75,BalDip!$C$49:$C$75,Used_before_Trf!A39)+SUMIFS(BalDip!$N$134:$N$157,BalDip!$C$134:$C$157,Used_before_Trf!A39)</f>
        <v>0</v>
      </c>
      <c r="AJ39" s="171">
        <f t="shared" si="36"/>
        <v>0</v>
      </c>
      <c r="AK39" s="177">
        <f>SUMIFS(BalDip!$N$80:$N$106,BalDip!$C$80:$C$106,Used_before_Trf!A39)+SUMIFS(BalDip!$N$161:$N$184,BalDip!$C$161:$C$184,Used_before_Trf!A39)</f>
        <v>0</v>
      </c>
      <c r="AL39" s="178">
        <f t="shared" si="37"/>
        <v>0</v>
      </c>
      <c r="AM39" s="179">
        <f t="shared" si="38"/>
        <v>0</v>
      </c>
      <c r="AN39" s="440">
        <f t="shared" si="39"/>
        <v>0</v>
      </c>
      <c r="AO39" s="180">
        <f t="shared" si="40"/>
        <v>0</v>
      </c>
    </row>
    <row r="40" spans="1:41" s="108" customFormat="1" ht="15" customHeight="1">
      <c r="A40" s="142" t="s">
        <v>243</v>
      </c>
      <c r="B40" s="143" t="s">
        <v>244</v>
      </c>
      <c r="C40" s="136">
        <f>SUMIF('Che-Store'!A:A,Used_before_Trf!A40,'Che-Store'!AC:AC)+SUMIF('Che-Comp'!A:A,Used_before_Trf!A40,'Che-Comp'!AC:AC)</f>
        <v>0</v>
      </c>
      <c r="D40" s="137">
        <f t="shared" si="20"/>
        <v>0</v>
      </c>
      <c r="E40" s="138">
        <f>SUMIF('Che-Store'!A:A,Used_before_Trf!A40,'Che-Store'!AE:AE)+SUMIF('Che-Comp'!A:A,Used_before_Trf!A40,'Che-Comp'!AE:AE)</f>
        <v>0</v>
      </c>
      <c r="F40" s="136">
        <f>SUMIFS('Che-Comp'!F:F,'Che-Comp'!$A:$A,Used_before_Trf!$A40)</f>
        <v>0</v>
      </c>
      <c r="G40" s="138">
        <f>SUMIFS('Che-Comp'!G:G,'Che-Comp'!$A:$A,Used_before_Trf!$A40)</f>
        <v>0</v>
      </c>
      <c r="H40" s="137">
        <f t="shared" si="21"/>
        <v>0</v>
      </c>
      <c r="I40" s="137">
        <f t="shared" si="22"/>
        <v>0</v>
      </c>
      <c r="J40" s="137">
        <f t="shared" si="23"/>
        <v>0</v>
      </c>
      <c r="K40" s="158">
        <f>SUMIF('Che.-Prod'!A:A,Used_before_Trf!A40,'Che.-Prod'!D:D)</f>
        <v>0</v>
      </c>
      <c r="L40" s="137">
        <f t="shared" si="24"/>
        <v>0</v>
      </c>
      <c r="M40" s="159">
        <f>SUMIF('Che.-Prod'!A:A,Used_before_Trf!A40,'Che.-Prod'!F:F)</f>
        <v>0</v>
      </c>
      <c r="N40" s="160">
        <f>SUMIF('Che.-Prod'!A:A,Used_before_Trf!A40,'Che.-Prod'!G:G)</f>
        <v>0</v>
      </c>
      <c r="O40" s="161">
        <f t="shared" si="25"/>
        <v>0</v>
      </c>
      <c r="P40" s="162">
        <f>SUMIF('Che.-Prod'!A:A,Used_before_Trf!A40,'Che.-Prod'!H:H)</f>
        <v>0</v>
      </c>
      <c r="Q40" s="160">
        <f>SUMIF('Che.-Prod'!A:A,Used_before_Trf!A40,'Che.-Prod'!P:P)</f>
        <v>0</v>
      </c>
      <c r="R40" s="161">
        <f t="shared" si="26"/>
        <v>0</v>
      </c>
      <c r="S40" s="159">
        <f>SUMIF('Che.-Prod'!A:A,Used_before_Trf!A40,'Che.-Prod'!R:R)</f>
        <v>0</v>
      </c>
      <c r="T40" s="169">
        <f t="shared" si="27"/>
        <v>0</v>
      </c>
      <c r="U40" s="507">
        <f t="shared" si="28"/>
        <v>0</v>
      </c>
      <c r="V40" s="170">
        <f t="shared" si="29"/>
        <v>0</v>
      </c>
      <c r="W40" s="158">
        <f>SUMIF('CHE-last month'!$A:$A,Used_before_Trf!A40,'CHE-last month'!C:C)</f>
        <v>0</v>
      </c>
      <c r="X40" s="520">
        <f t="shared" si="30"/>
        <v>0</v>
      </c>
      <c r="Y40" s="162">
        <f>SUMIF('CHE-last month'!$A:$A,Used_before_Trf!A40,'CHE-last month'!E:E)</f>
        <v>0</v>
      </c>
      <c r="Z40" s="159">
        <f t="shared" si="31"/>
        <v>0</v>
      </c>
      <c r="AA40" s="520">
        <f t="shared" si="32"/>
        <v>0</v>
      </c>
      <c r="AB40" s="159">
        <f t="shared" si="33"/>
        <v>0</v>
      </c>
      <c r="AC40" s="160">
        <f>SUMIFS(BalCom!M:M,BalCom!N:N,Used_before_Trf!A40,BalCom!C:C,Used_before_Trf!$AC$1)</f>
        <v>0</v>
      </c>
      <c r="AD40" s="171">
        <f t="shared" si="34"/>
        <v>0</v>
      </c>
      <c r="AE40" s="159">
        <f>SUMIFS(BalCom!P:P,BalCom!N:N,Used_before_Trf!A40,BalCom!C:C,Used_before_Trf!$AC$1)</f>
        <v>0</v>
      </c>
      <c r="AF40" s="160">
        <f>SUMIFS(BalDis!I:I,BalDis!J:J,Used_before_Trf!A40)</f>
        <v>0</v>
      </c>
      <c r="AG40" s="171">
        <f t="shared" si="35"/>
        <v>0</v>
      </c>
      <c r="AH40" s="162">
        <f>SUMIFS(BalDis!L:L,BalDis!J:J,Used_before_Trf!A40)</f>
        <v>0</v>
      </c>
      <c r="AI40" s="159">
        <f>SUMIFS(BalDip!$N$49:$N$75,BalDip!$C$49:$C$75,Used_before_Trf!A40)+SUMIFS(BalDip!$N$134:$N$157,BalDip!$C$134:$C$157,Used_before_Trf!A40)</f>
        <v>0</v>
      </c>
      <c r="AJ40" s="171">
        <f t="shared" si="36"/>
        <v>0</v>
      </c>
      <c r="AK40" s="177">
        <f>SUMIFS(BalDip!$N$80:$N$106,BalDip!$C$80:$C$106,Used_before_Trf!A40)+SUMIFS(BalDip!$N$161:$N$184,BalDip!$C$161:$C$184,Used_before_Trf!A40)</f>
        <v>0</v>
      </c>
      <c r="AL40" s="178">
        <f t="shared" si="37"/>
        <v>0</v>
      </c>
      <c r="AM40" s="179">
        <f t="shared" si="38"/>
        <v>0</v>
      </c>
      <c r="AN40" s="440">
        <f t="shared" si="39"/>
        <v>0</v>
      </c>
      <c r="AO40" s="180">
        <f t="shared" si="40"/>
        <v>0</v>
      </c>
    </row>
    <row r="41" spans="1:41" s="108" customFormat="1" ht="15" customHeight="1">
      <c r="A41" s="142" t="s">
        <v>245</v>
      </c>
      <c r="B41" s="143" t="s">
        <v>246</v>
      </c>
      <c r="C41" s="136">
        <f>SUMIF('Che-Store'!A:A,Used_before_Trf!A41,'Che-Store'!AC:AC)+SUMIF('Che-Comp'!A:A,Used_before_Trf!A41,'Che-Comp'!AC:AC)</f>
        <v>0</v>
      </c>
      <c r="D41" s="137">
        <f t="shared" si="20"/>
        <v>0</v>
      </c>
      <c r="E41" s="138">
        <f>SUMIF('Che-Store'!A:A,Used_before_Trf!A41,'Che-Store'!AE:AE)+SUMIF('Che-Comp'!A:A,Used_before_Trf!A41,'Che-Comp'!AE:AE)</f>
        <v>0</v>
      </c>
      <c r="F41" s="136">
        <f>SUMIFS('Che-Comp'!F:F,'Che-Comp'!$A:$A,Used_before_Trf!$A41)</f>
        <v>0</v>
      </c>
      <c r="G41" s="138">
        <f>SUMIFS('Che-Comp'!G:G,'Che-Comp'!$A:$A,Used_before_Trf!$A41)</f>
        <v>0</v>
      </c>
      <c r="H41" s="137">
        <f t="shared" si="21"/>
        <v>0</v>
      </c>
      <c r="I41" s="137">
        <f t="shared" si="22"/>
        <v>0</v>
      </c>
      <c r="J41" s="137">
        <f t="shared" si="23"/>
        <v>0</v>
      </c>
      <c r="K41" s="158">
        <f>SUMIF('Che.-Prod'!A:A,Used_before_Trf!A41,'Che.-Prod'!D:D)</f>
        <v>0</v>
      </c>
      <c r="L41" s="137">
        <f t="shared" si="24"/>
        <v>0</v>
      </c>
      <c r="M41" s="159">
        <f>SUMIF('Che.-Prod'!A:A,Used_before_Trf!A41,'Che.-Prod'!F:F)</f>
        <v>0</v>
      </c>
      <c r="N41" s="160">
        <f>SUMIF('Che.-Prod'!A:A,Used_before_Trf!A41,'Che.-Prod'!G:G)</f>
        <v>0</v>
      </c>
      <c r="O41" s="161">
        <f t="shared" si="25"/>
        <v>0</v>
      </c>
      <c r="P41" s="162">
        <f>SUMIF('Che.-Prod'!A:A,Used_before_Trf!A41,'Che.-Prod'!H:H)</f>
        <v>0</v>
      </c>
      <c r="Q41" s="160">
        <f>SUMIF('Che.-Prod'!A:A,Used_before_Trf!A41,'Che.-Prod'!P:P)</f>
        <v>0</v>
      </c>
      <c r="R41" s="161">
        <f t="shared" si="26"/>
        <v>0</v>
      </c>
      <c r="S41" s="159">
        <f>SUMIF('Che.-Prod'!A:A,Used_before_Trf!A41,'Che.-Prod'!R:R)</f>
        <v>0</v>
      </c>
      <c r="T41" s="169">
        <f t="shared" si="27"/>
        <v>0</v>
      </c>
      <c r="U41" s="507">
        <f t="shared" si="28"/>
        <v>0</v>
      </c>
      <c r="V41" s="170">
        <f t="shared" si="29"/>
        <v>0</v>
      </c>
      <c r="W41" s="158">
        <f>SUMIF('CHE-last month'!$A:$A,Used_before_Trf!A41,'CHE-last month'!C:C)</f>
        <v>0</v>
      </c>
      <c r="X41" s="520">
        <f t="shared" si="30"/>
        <v>0</v>
      </c>
      <c r="Y41" s="162">
        <f>SUMIF('CHE-last month'!$A:$A,Used_before_Trf!A41,'CHE-last month'!E:E)</f>
        <v>0</v>
      </c>
      <c r="Z41" s="159">
        <f t="shared" si="31"/>
        <v>0</v>
      </c>
      <c r="AA41" s="520">
        <f t="shared" si="32"/>
        <v>0</v>
      </c>
      <c r="AB41" s="159">
        <f t="shared" si="33"/>
        <v>0</v>
      </c>
      <c r="AC41" s="160">
        <f>SUMIFS(BalCom!M:M,BalCom!N:N,Used_before_Trf!A41,BalCom!C:C,Used_before_Trf!$AC$1)</f>
        <v>0</v>
      </c>
      <c r="AD41" s="171">
        <f t="shared" si="34"/>
        <v>0</v>
      </c>
      <c r="AE41" s="159">
        <f>SUMIFS(BalCom!P:P,BalCom!N:N,Used_before_Trf!A41,BalCom!C:C,Used_before_Trf!$AC$1)</f>
        <v>0</v>
      </c>
      <c r="AF41" s="160">
        <f>SUMIFS(BalDis!I:I,BalDis!J:J,Used_before_Trf!A41)</f>
        <v>0</v>
      </c>
      <c r="AG41" s="171">
        <f t="shared" si="35"/>
        <v>0</v>
      </c>
      <c r="AH41" s="162">
        <f>SUMIFS(BalDis!L:L,BalDis!J:J,Used_before_Trf!A41)</f>
        <v>0</v>
      </c>
      <c r="AI41" s="159">
        <f>SUMIFS(BalDip!$N$49:$N$75,BalDip!$C$49:$C$75,Used_before_Trf!A41)+SUMIFS(BalDip!$N$134:$N$157,BalDip!$C$134:$C$157,Used_before_Trf!A41)</f>
        <v>0</v>
      </c>
      <c r="AJ41" s="171">
        <f t="shared" si="36"/>
        <v>0</v>
      </c>
      <c r="AK41" s="177">
        <f>SUMIFS(BalDip!$N$80:$N$106,BalDip!$C$80:$C$106,Used_before_Trf!A41)+SUMIFS(BalDip!$N$161:$N$184,BalDip!$C$161:$C$184,Used_before_Trf!A41)</f>
        <v>0</v>
      </c>
      <c r="AL41" s="178">
        <f t="shared" si="37"/>
        <v>0</v>
      </c>
      <c r="AM41" s="179">
        <f t="shared" si="38"/>
        <v>0</v>
      </c>
      <c r="AN41" s="440">
        <f t="shared" si="39"/>
        <v>0</v>
      </c>
      <c r="AO41" s="180">
        <f t="shared" si="40"/>
        <v>0</v>
      </c>
    </row>
    <row r="42" spans="1:41" s="108" customFormat="1" ht="15" customHeight="1">
      <c r="A42" s="142" t="s">
        <v>247</v>
      </c>
      <c r="B42" s="143" t="s">
        <v>248</v>
      </c>
      <c r="C42" s="136">
        <f>SUMIF('Che-Store'!A:A,Used_before_Trf!A42,'Che-Store'!AC:AC)+SUMIF('Che-Comp'!A:A,Used_before_Trf!A42,'Che-Comp'!AC:AC)</f>
        <v>0</v>
      </c>
      <c r="D42" s="137">
        <f t="shared" si="20"/>
        <v>0</v>
      </c>
      <c r="E42" s="138">
        <f>SUMIF('Che-Store'!A:A,Used_before_Trf!A42,'Che-Store'!AE:AE)+SUMIF('Che-Comp'!A:A,Used_before_Trf!A42,'Che-Comp'!AE:AE)</f>
        <v>0</v>
      </c>
      <c r="F42" s="136">
        <f>SUMIFS('Che-Comp'!F:F,'Che-Comp'!$A:$A,Used_before_Trf!$A42)</f>
        <v>0</v>
      </c>
      <c r="G42" s="138">
        <f>SUMIFS('Che-Comp'!G:G,'Che-Comp'!$A:$A,Used_before_Trf!$A42)</f>
        <v>0</v>
      </c>
      <c r="H42" s="137">
        <f t="shared" si="21"/>
        <v>0</v>
      </c>
      <c r="I42" s="137">
        <f t="shared" si="22"/>
        <v>0</v>
      </c>
      <c r="J42" s="137">
        <f t="shared" si="23"/>
        <v>0</v>
      </c>
      <c r="K42" s="158">
        <f>SUMIF('Che.-Prod'!A:A,Used_before_Trf!A42,'Che.-Prod'!D:D)</f>
        <v>0</v>
      </c>
      <c r="L42" s="137">
        <f t="shared" si="24"/>
        <v>0</v>
      </c>
      <c r="M42" s="159">
        <f>SUMIF('Che.-Prod'!A:A,Used_before_Trf!A42,'Che.-Prod'!F:F)</f>
        <v>0</v>
      </c>
      <c r="N42" s="160">
        <f>SUMIF('Che.-Prod'!A:A,Used_before_Trf!A42,'Che.-Prod'!G:G)</f>
        <v>0</v>
      </c>
      <c r="O42" s="161">
        <f t="shared" si="25"/>
        <v>0</v>
      </c>
      <c r="P42" s="162">
        <f>SUMIF('Che.-Prod'!A:A,Used_before_Trf!A42,'Che.-Prod'!H:H)</f>
        <v>0</v>
      </c>
      <c r="Q42" s="160">
        <f>SUMIF('Che.-Prod'!A:A,Used_before_Trf!A42,'Che.-Prod'!P:P)</f>
        <v>0</v>
      </c>
      <c r="R42" s="161">
        <f t="shared" si="26"/>
        <v>0</v>
      </c>
      <c r="S42" s="159">
        <f>SUMIF('Che.-Prod'!A:A,Used_before_Trf!A42,'Che.-Prod'!R:R)</f>
        <v>0</v>
      </c>
      <c r="T42" s="169">
        <f t="shared" si="27"/>
        <v>0</v>
      </c>
      <c r="U42" s="507">
        <f t="shared" si="28"/>
        <v>0</v>
      </c>
      <c r="V42" s="170">
        <f t="shared" si="29"/>
        <v>0</v>
      </c>
      <c r="W42" s="158">
        <f>SUMIF('CHE-last month'!$A:$A,Used_before_Trf!A42,'CHE-last month'!C:C)</f>
        <v>0</v>
      </c>
      <c r="X42" s="520">
        <f t="shared" si="30"/>
        <v>0</v>
      </c>
      <c r="Y42" s="162">
        <f>SUMIF('CHE-last month'!$A:$A,Used_before_Trf!A42,'CHE-last month'!E:E)</f>
        <v>0</v>
      </c>
      <c r="Z42" s="159">
        <f t="shared" si="31"/>
        <v>0</v>
      </c>
      <c r="AA42" s="520">
        <f t="shared" si="32"/>
        <v>0</v>
      </c>
      <c r="AB42" s="159">
        <f t="shared" si="33"/>
        <v>0</v>
      </c>
      <c r="AC42" s="160">
        <f>SUMIFS(BalCom!M:M,BalCom!N:N,Used_before_Trf!A42,BalCom!C:C,Used_before_Trf!$AC$1)</f>
        <v>0</v>
      </c>
      <c r="AD42" s="171">
        <f t="shared" si="34"/>
        <v>0</v>
      </c>
      <c r="AE42" s="159">
        <f>SUMIFS(BalCom!P:P,BalCom!N:N,Used_before_Trf!A42,BalCom!C:C,Used_before_Trf!$AC$1)</f>
        <v>0</v>
      </c>
      <c r="AF42" s="160">
        <f>SUMIFS(BalDis!I:I,BalDis!J:J,Used_before_Trf!A42)</f>
        <v>0</v>
      </c>
      <c r="AG42" s="171">
        <f t="shared" si="35"/>
        <v>0</v>
      </c>
      <c r="AH42" s="162">
        <f>SUMIFS(BalDis!L:L,BalDis!J:J,Used_before_Trf!A42)</f>
        <v>0</v>
      </c>
      <c r="AI42" s="159">
        <f>SUMIFS(BalDip!$N$49:$N$75,BalDip!$C$49:$C$75,Used_before_Trf!A42)+SUMIFS(BalDip!$N$134:$N$157,BalDip!$C$134:$C$157,Used_before_Trf!A42)</f>
        <v>0</v>
      </c>
      <c r="AJ42" s="171">
        <f t="shared" si="36"/>
        <v>0</v>
      </c>
      <c r="AK42" s="177">
        <f>SUMIFS(BalDip!$N$80:$N$106,BalDip!$C$80:$C$106,Used_before_Trf!A42)+SUMIFS(BalDip!$N$161:$N$184,BalDip!$C$161:$C$184,Used_before_Trf!A42)</f>
        <v>0</v>
      </c>
      <c r="AL42" s="178">
        <f t="shared" si="37"/>
        <v>0</v>
      </c>
      <c r="AM42" s="179">
        <f t="shared" si="38"/>
        <v>0</v>
      </c>
      <c r="AN42" s="440">
        <f t="shared" si="39"/>
        <v>0</v>
      </c>
      <c r="AO42" s="180">
        <f t="shared" si="40"/>
        <v>0</v>
      </c>
    </row>
    <row r="43" spans="1:41" s="108" customFormat="1" ht="15" customHeight="1">
      <c r="A43" s="142" t="s">
        <v>249</v>
      </c>
      <c r="B43" s="143" t="s">
        <v>250</v>
      </c>
      <c r="C43" s="136">
        <f>SUMIF('Che-Store'!A:A,Used_before_Trf!A43,'Che-Store'!AC:AC)+SUMIF('Che-Comp'!A:A,Used_before_Trf!A43,'Che-Comp'!AC:AC)</f>
        <v>0</v>
      </c>
      <c r="D43" s="137">
        <f t="shared" si="20"/>
        <v>0</v>
      </c>
      <c r="E43" s="138">
        <f>SUMIF('Che-Store'!A:A,Used_before_Trf!A43,'Che-Store'!AE:AE)+SUMIF('Che-Comp'!A:A,Used_before_Trf!A43,'Che-Comp'!AE:AE)</f>
        <v>0</v>
      </c>
      <c r="F43" s="136">
        <f>SUMIFS('Che-Comp'!F:F,'Che-Comp'!$A:$A,Used_before_Trf!$A43)</f>
        <v>0</v>
      </c>
      <c r="G43" s="138">
        <f>SUMIFS('Che-Comp'!G:G,'Che-Comp'!$A:$A,Used_before_Trf!$A43)</f>
        <v>0</v>
      </c>
      <c r="H43" s="137">
        <f t="shared" si="21"/>
        <v>0</v>
      </c>
      <c r="I43" s="137">
        <f t="shared" si="22"/>
        <v>0</v>
      </c>
      <c r="J43" s="137">
        <f t="shared" si="23"/>
        <v>0</v>
      </c>
      <c r="K43" s="158">
        <f>SUMIF('Che.-Prod'!A:A,Used_before_Trf!A43,'Che.-Prod'!D:D)</f>
        <v>0</v>
      </c>
      <c r="L43" s="137">
        <f t="shared" si="24"/>
        <v>0</v>
      </c>
      <c r="M43" s="159">
        <f>SUMIF('Che.-Prod'!A:A,Used_before_Trf!A43,'Che.-Prod'!F:F)</f>
        <v>0</v>
      </c>
      <c r="N43" s="160">
        <f>SUMIF('Che.-Prod'!A:A,Used_before_Trf!A43,'Che.-Prod'!G:G)</f>
        <v>0</v>
      </c>
      <c r="O43" s="161">
        <f t="shared" si="25"/>
        <v>0</v>
      </c>
      <c r="P43" s="162">
        <f>SUMIF('Che.-Prod'!A:A,Used_before_Trf!A43,'Che.-Prod'!H:H)</f>
        <v>0</v>
      </c>
      <c r="Q43" s="160">
        <f>SUMIF('Che.-Prod'!A:A,Used_before_Trf!A43,'Che.-Prod'!P:P)</f>
        <v>0</v>
      </c>
      <c r="R43" s="161">
        <f t="shared" si="26"/>
        <v>0</v>
      </c>
      <c r="S43" s="159">
        <f>SUMIF('Che.-Prod'!A:A,Used_before_Trf!A43,'Che.-Prod'!R:R)</f>
        <v>0</v>
      </c>
      <c r="T43" s="169">
        <f t="shared" si="27"/>
        <v>0</v>
      </c>
      <c r="U43" s="507">
        <f t="shared" si="28"/>
        <v>0</v>
      </c>
      <c r="V43" s="170">
        <f t="shared" si="29"/>
        <v>0</v>
      </c>
      <c r="W43" s="158">
        <f>SUMIF('CHE-last month'!$A:$A,Used_before_Trf!A43,'CHE-last month'!C:C)</f>
        <v>0</v>
      </c>
      <c r="X43" s="520">
        <f t="shared" si="30"/>
        <v>0</v>
      </c>
      <c r="Y43" s="162">
        <f>SUMIF('CHE-last month'!$A:$A,Used_before_Trf!A43,'CHE-last month'!E:E)</f>
        <v>0</v>
      </c>
      <c r="Z43" s="159">
        <f t="shared" si="31"/>
        <v>0</v>
      </c>
      <c r="AA43" s="520">
        <f t="shared" si="32"/>
        <v>0</v>
      </c>
      <c r="AB43" s="159">
        <f t="shared" si="33"/>
        <v>0</v>
      </c>
      <c r="AC43" s="160">
        <f>SUMIFS(BalCom!M:M,BalCom!N:N,Used_before_Trf!A43,BalCom!C:C,Used_before_Trf!$AC$1)</f>
        <v>0</v>
      </c>
      <c r="AD43" s="171">
        <f t="shared" si="34"/>
        <v>0</v>
      </c>
      <c r="AE43" s="159">
        <f>SUMIFS(BalCom!P:P,BalCom!N:N,Used_before_Trf!A43,BalCom!C:C,Used_before_Trf!$AC$1)</f>
        <v>0</v>
      </c>
      <c r="AF43" s="160">
        <f>SUMIFS(BalDis!I:I,BalDis!J:J,Used_before_Trf!A43)</f>
        <v>0</v>
      </c>
      <c r="AG43" s="171">
        <f t="shared" si="35"/>
        <v>0</v>
      </c>
      <c r="AH43" s="162">
        <f>SUMIFS(BalDis!L:L,BalDis!J:J,Used_before_Trf!A43)</f>
        <v>0</v>
      </c>
      <c r="AI43" s="159">
        <f>SUMIFS(BalDip!$N$49:$N$75,BalDip!$C$49:$C$75,Used_before_Trf!A43)+SUMIFS(BalDip!$N$134:$N$157,BalDip!$C$134:$C$157,Used_before_Trf!A43)</f>
        <v>0</v>
      </c>
      <c r="AJ43" s="171">
        <f t="shared" si="36"/>
        <v>0</v>
      </c>
      <c r="AK43" s="177">
        <f>SUMIFS(BalDip!$N$80:$N$106,BalDip!$C$80:$C$106,Used_before_Trf!A43)+SUMIFS(BalDip!$N$161:$N$184,BalDip!$C$161:$C$184,Used_before_Trf!A43)</f>
        <v>0</v>
      </c>
      <c r="AL43" s="178">
        <f t="shared" si="37"/>
        <v>0</v>
      </c>
      <c r="AM43" s="179">
        <f t="shared" si="38"/>
        <v>0</v>
      </c>
      <c r="AN43" s="440">
        <f t="shared" si="39"/>
        <v>0</v>
      </c>
      <c r="AO43" s="180">
        <f t="shared" si="40"/>
        <v>0</v>
      </c>
    </row>
    <row r="44" spans="1:41" s="108" customFormat="1" ht="15" customHeight="1">
      <c r="A44" s="142" t="s">
        <v>251</v>
      </c>
      <c r="B44" s="143" t="s">
        <v>252</v>
      </c>
      <c r="C44" s="136">
        <f>SUMIF('Che-Store'!A:A,Used_before_Trf!A44,'Che-Store'!AC:AC)+SUMIF('Che-Comp'!A:A,Used_before_Trf!A44,'Che-Comp'!AC:AC)</f>
        <v>0</v>
      </c>
      <c r="D44" s="137">
        <f t="shared" si="20"/>
        <v>0</v>
      </c>
      <c r="E44" s="138">
        <f>SUMIF('Che-Store'!A:A,Used_before_Trf!A44,'Che-Store'!AE:AE)+SUMIF('Che-Comp'!A:A,Used_before_Trf!A44,'Che-Comp'!AE:AE)</f>
        <v>0</v>
      </c>
      <c r="F44" s="136">
        <f>SUMIFS('Che-Comp'!F:F,'Che-Comp'!$A:$A,Used_before_Trf!$A44)</f>
        <v>0</v>
      </c>
      <c r="G44" s="138">
        <f>SUMIFS('Che-Comp'!G:G,'Che-Comp'!$A:$A,Used_before_Trf!$A44)</f>
        <v>0</v>
      </c>
      <c r="H44" s="137">
        <f t="shared" si="21"/>
        <v>0</v>
      </c>
      <c r="I44" s="137">
        <f t="shared" si="22"/>
        <v>0</v>
      </c>
      <c r="J44" s="137">
        <f t="shared" si="23"/>
        <v>0</v>
      </c>
      <c r="K44" s="158">
        <f>SUMIF('Che.-Prod'!A:A,Used_before_Trf!A44,'Che.-Prod'!D:D)</f>
        <v>0</v>
      </c>
      <c r="L44" s="137">
        <f t="shared" si="24"/>
        <v>0</v>
      </c>
      <c r="M44" s="159">
        <f>SUMIF('Che.-Prod'!A:A,Used_before_Trf!A44,'Che.-Prod'!F:F)</f>
        <v>0</v>
      </c>
      <c r="N44" s="160">
        <f>SUMIF('Che.-Prod'!A:A,Used_before_Trf!A44,'Che.-Prod'!G:G)</f>
        <v>0</v>
      </c>
      <c r="O44" s="161">
        <f t="shared" si="25"/>
        <v>0</v>
      </c>
      <c r="P44" s="162">
        <f>SUMIF('Che.-Prod'!A:A,Used_before_Trf!A44,'Che.-Prod'!H:H)</f>
        <v>0</v>
      </c>
      <c r="Q44" s="160">
        <f>SUMIF('Che.-Prod'!A:A,Used_before_Trf!A44,'Che.-Prod'!P:P)</f>
        <v>0</v>
      </c>
      <c r="R44" s="161">
        <f t="shared" si="26"/>
        <v>0</v>
      </c>
      <c r="S44" s="159">
        <f>SUMIF('Che.-Prod'!A:A,Used_before_Trf!A44,'Che.-Prod'!R:R)</f>
        <v>0</v>
      </c>
      <c r="T44" s="169">
        <f t="shared" si="27"/>
        <v>0</v>
      </c>
      <c r="U44" s="507">
        <f t="shared" si="28"/>
        <v>0</v>
      </c>
      <c r="V44" s="170">
        <f t="shared" si="29"/>
        <v>0</v>
      </c>
      <c r="W44" s="158">
        <f>SUMIF('CHE-last month'!$A:$A,Used_before_Trf!A44,'CHE-last month'!C:C)</f>
        <v>0</v>
      </c>
      <c r="X44" s="520">
        <f t="shared" si="30"/>
        <v>0</v>
      </c>
      <c r="Y44" s="162">
        <f>SUMIF('CHE-last month'!$A:$A,Used_before_Trf!A44,'CHE-last month'!E:E)</f>
        <v>0</v>
      </c>
      <c r="Z44" s="159">
        <f t="shared" si="31"/>
        <v>0</v>
      </c>
      <c r="AA44" s="520">
        <f t="shared" si="32"/>
        <v>0</v>
      </c>
      <c r="AB44" s="159">
        <f t="shared" si="33"/>
        <v>0</v>
      </c>
      <c r="AC44" s="160">
        <f>SUMIFS(BalCom!M:M,BalCom!N:N,Used_before_Trf!A44,BalCom!C:C,Used_before_Trf!$AC$1)</f>
        <v>0</v>
      </c>
      <c r="AD44" s="171">
        <f t="shared" si="34"/>
        <v>0</v>
      </c>
      <c r="AE44" s="159">
        <f>SUMIFS(BalCom!P:P,BalCom!N:N,Used_before_Trf!A44,BalCom!C:C,Used_before_Trf!$AC$1)</f>
        <v>0</v>
      </c>
      <c r="AF44" s="160">
        <f>SUMIFS(BalDis!I:I,BalDis!J:J,Used_before_Trf!A44)</f>
        <v>0</v>
      </c>
      <c r="AG44" s="171">
        <f t="shared" si="35"/>
        <v>0</v>
      </c>
      <c r="AH44" s="162">
        <f>SUMIFS(BalDis!L:L,BalDis!J:J,Used_before_Trf!A44)</f>
        <v>0</v>
      </c>
      <c r="AI44" s="159">
        <f>SUMIFS(BalDip!$N$49:$N$75,BalDip!$C$49:$C$75,Used_before_Trf!A44)+SUMIFS(BalDip!$N$134:$N$157,BalDip!$C$134:$C$157,Used_before_Trf!A44)</f>
        <v>0</v>
      </c>
      <c r="AJ44" s="171">
        <f t="shared" si="36"/>
        <v>0</v>
      </c>
      <c r="AK44" s="177">
        <f>SUMIFS(BalDip!$N$80:$N$106,BalDip!$C$80:$C$106,Used_before_Trf!A44)+SUMIFS(BalDip!$N$161:$N$184,BalDip!$C$161:$C$184,Used_before_Trf!A44)</f>
        <v>0</v>
      </c>
      <c r="AL44" s="178">
        <f t="shared" si="37"/>
        <v>0</v>
      </c>
      <c r="AM44" s="179">
        <f t="shared" si="38"/>
        <v>0</v>
      </c>
      <c r="AN44" s="440">
        <f t="shared" si="39"/>
        <v>0</v>
      </c>
      <c r="AO44" s="180">
        <f t="shared" si="40"/>
        <v>0</v>
      </c>
    </row>
    <row r="45" spans="1:41" s="108" customFormat="1" ht="15" customHeight="1">
      <c r="A45" s="135" t="s">
        <v>253</v>
      </c>
      <c r="B45" s="573" t="s">
        <v>254</v>
      </c>
      <c r="C45" s="136">
        <f>SUMIF('Che-Store'!A:A,Used_before_Trf!A45,'Che-Store'!AC:AC)+SUMIF('Che-Comp'!A:A,Used_before_Trf!A45,'Che-Comp'!AC:AC)</f>
        <v>0</v>
      </c>
      <c r="D45" s="137">
        <f t="shared" si="20"/>
        <v>0</v>
      </c>
      <c r="E45" s="138">
        <f>SUMIF('Che-Store'!A:A,Used_before_Trf!A45,'Che-Store'!AE:AE)+SUMIF('Che-Comp'!A:A,Used_before_Trf!A45,'Che-Comp'!AE:AE)</f>
        <v>0</v>
      </c>
      <c r="F45" s="136">
        <f>SUMIFS('Che-Comp'!F:F,'Che-Comp'!$A:$A,Used_before_Trf!$A45)</f>
        <v>0</v>
      </c>
      <c r="G45" s="138">
        <f>SUMIFS('Che-Comp'!G:G,'Che-Comp'!$A:$A,Used_before_Trf!$A45)</f>
        <v>0</v>
      </c>
      <c r="H45" s="137">
        <f t="shared" si="21"/>
        <v>0</v>
      </c>
      <c r="I45" s="137">
        <f t="shared" si="22"/>
        <v>0</v>
      </c>
      <c r="J45" s="137">
        <f t="shared" si="23"/>
        <v>0</v>
      </c>
      <c r="K45" s="158">
        <f>SUMIF('Che.-Prod'!A:A,Used_before_Trf!A45,'Che.-Prod'!D:D)</f>
        <v>0</v>
      </c>
      <c r="L45" s="137">
        <f t="shared" si="24"/>
        <v>0</v>
      </c>
      <c r="M45" s="159">
        <f>SUMIF('Che.-Prod'!A:A,Used_before_Trf!A45,'Che.-Prod'!F:F)</f>
        <v>0</v>
      </c>
      <c r="N45" s="160">
        <f>SUMIF('Che.-Prod'!A:A,Used_before_Trf!A45,'Che.-Prod'!G:G)</f>
        <v>0</v>
      </c>
      <c r="O45" s="161">
        <f t="shared" si="25"/>
        <v>0</v>
      </c>
      <c r="P45" s="162">
        <f>SUMIF('Che.-Prod'!A:A,Used_before_Trf!A45,'Che.-Prod'!H:H)</f>
        <v>0</v>
      </c>
      <c r="Q45" s="160">
        <f>SUMIF('Che.-Prod'!A:A,Used_before_Trf!A45,'Che.-Prod'!P:P)</f>
        <v>0</v>
      </c>
      <c r="R45" s="161">
        <f t="shared" si="26"/>
        <v>0</v>
      </c>
      <c r="S45" s="159">
        <f>SUMIF('Che.-Prod'!A:A,Used_before_Trf!A45,'Che.-Prod'!R:R)</f>
        <v>0</v>
      </c>
      <c r="T45" s="169">
        <f t="shared" si="27"/>
        <v>0</v>
      </c>
      <c r="U45" s="507">
        <f t="shared" si="28"/>
        <v>0</v>
      </c>
      <c r="V45" s="170">
        <f t="shared" si="29"/>
        <v>0</v>
      </c>
      <c r="W45" s="158">
        <f>SUMIF('CHE-last month'!$A:$A,Used_before_Trf!A45,'CHE-last month'!C:C)</f>
        <v>0</v>
      </c>
      <c r="X45" s="520">
        <f t="shared" si="30"/>
        <v>0</v>
      </c>
      <c r="Y45" s="162">
        <f>SUMIF('CHE-last month'!$A:$A,Used_before_Trf!A45,'CHE-last month'!E:E)</f>
        <v>0</v>
      </c>
      <c r="Z45" s="159">
        <f t="shared" si="31"/>
        <v>0</v>
      </c>
      <c r="AA45" s="520">
        <f t="shared" si="32"/>
        <v>0</v>
      </c>
      <c r="AB45" s="159">
        <f t="shared" si="33"/>
        <v>0</v>
      </c>
      <c r="AC45" s="160">
        <f>SUMIFS(BalCom!M:M,BalCom!N:N,Used_before_Trf!A45,BalCom!C:C,Used_before_Trf!$AC$1)</f>
        <v>0</v>
      </c>
      <c r="AD45" s="171">
        <f t="shared" si="34"/>
        <v>0</v>
      </c>
      <c r="AE45" s="159">
        <f>SUMIFS(BalCom!P:P,BalCom!N:N,Used_before_Trf!A45,BalCom!C:C,Used_before_Trf!$AC$1)</f>
        <v>0</v>
      </c>
      <c r="AF45" s="160">
        <f>SUMIFS(BalDis!I:I,BalDis!J:J,Used_before_Trf!A45)</f>
        <v>0</v>
      </c>
      <c r="AG45" s="171">
        <f t="shared" si="35"/>
        <v>0</v>
      </c>
      <c r="AH45" s="162">
        <f>SUMIFS(BalDis!L:L,BalDis!J:J,Used_before_Trf!A45)</f>
        <v>0</v>
      </c>
      <c r="AI45" s="159">
        <f>SUMIFS(BalDip!$N$49:$N$75,BalDip!$C$49:$C$75,Used_before_Trf!A45)+SUMIFS(BalDip!$N$134:$N$157,BalDip!$C$134:$C$157,Used_before_Trf!A45)</f>
        <v>0</v>
      </c>
      <c r="AJ45" s="171">
        <f t="shared" si="36"/>
        <v>0</v>
      </c>
      <c r="AK45" s="177">
        <f>SUMIFS(BalDip!$N$80:$N$106,BalDip!$C$80:$C$106,Used_before_Trf!A45)+SUMIFS(BalDip!$N$161:$N$184,BalDip!$C$161:$C$184,Used_before_Trf!A45)</f>
        <v>0</v>
      </c>
      <c r="AL45" s="178">
        <f t="shared" si="37"/>
        <v>0</v>
      </c>
      <c r="AM45" s="179">
        <f t="shared" si="38"/>
        <v>0</v>
      </c>
      <c r="AN45" s="440">
        <f t="shared" si="39"/>
        <v>0</v>
      </c>
      <c r="AO45" s="180">
        <f t="shared" si="40"/>
        <v>0</v>
      </c>
    </row>
    <row r="46" spans="1:41" s="108" customFormat="1" ht="15" customHeight="1">
      <c r="A46" s="135" t="s">
        <v>255</v>
      </c>
      <c r="B46" s="573" t="s">
        <v>256</v>
      </c>
      <c r="C46" s="136">
        <f>SUMIF('Che-Store'!A:A,Used_before_Trf!A46,'Che-Store'!AC:AC)+SUMIF('Che-Comp'!A:A,Used_before_Trf!A46,'Che-Comp'!AC:AC)</f>
        <v>0</v>
      </c>
      <c r="D46" s="137">
        <f t="shared" si="20"/>
        <v>0</v>
      </c>
      <c r="E46" s="138">
        <f>SUMIF('Che-Store'!A:A,Used_before_Trf!A46,'Che-Store'!AE:AE)+SUMIF('Che-Comp'!A:A,Used_before_Trf!A46,'Che-Comp'!AE:AE)</f>
        <v>0</v>
      </c>
      <c r="F46" s="136">
        <f>SUMIFS('Che-Comp'!F:F,'Che-Comp'!$A:$A,Used_before_Trf!$A46)</f>
        <v>0</v>
      </c>
      <c r="G46" s="138">
        <f>SUMIFS('Che-Comp'!G:G,'Che-Comp'!$A:$A,Used_before_Trf!$A46)</f>
        <v>0</v>
      </c>
      <c r="H46" s="137">
        <f t="shared" si="21"/>
        <v>0</v>
      </c>
      <c r="I46" s="137">
        <f t="shared" si="22"/>
        <v>0</v>
      </c>
      <c r="J46" s="137">
        <f t="shared" si="23"/>
        <v>0</v>
      </c>
      <c r="K46" s="158">
        <f>SUMIF('Che.-Prod'!A:A,Used_before_Trf!A46,'Che.-Prod'!D:D)</f>
        <v>0</v>
      </c>
      <c r="L46" s="137">
        <f t="shared" si="24"/>
        <v>0</v>
      </c>
      <c r="M46" s="159">
        <f>SUMIF('Che.-Prod'!A:A,Used_before_Trf!A46,'Che.-Prod'!F:F)</f>
        <v>0</v>
      </c>
      <c r="N46" s="160">
        <f>SUMIF('Che.-Prod'!A:A,Used_before_Trf!A46,'Che.-Prod'!G:G)</f>
        <v>0</v>
      </c>
      <c r="O46" s="161">
        <f t="shared" si="25"/>
        <v>0</v>
      </c>
      <c r="P46" s="162">
        <f>SUMIF('Che.-Prod'!A:A,Used_before_Trf!A46,'Che.-Prod'!H:H)</f>
        <v>0</v>
      </c>
      <c r="Q46" s="160">
        <f>SUMIF('Che.-Prod'!A:A,Used_before_Trf!A46,'Che.-Prod'!P:P)</f>
        <v>0</v>
      </c>
      <c r="R46" s="161">
        <f t="shared" si="26"/>
        <v>0</v>
      </c>
      <c r="S46" s="159">
        <f>SUMIF('Che.-Prod'!A:A,Used_before_Trf!A46,'Che.-Prod'!R:R)</f>
        <v>0</v>
      </c>
      <c r="T46" s="169">
        <f t="shared" si="27"/>
        <v>0</v>
      </c>
      <c r="U46" s="507">
        <f t="shared" si="28"/>
        <v>0</v>
      </c>
      <c r="V46" s="170">
        <f t="shared" si="29"/>
        <v>0</v>
      </c>
      <c r="W46" s="158">
        <f>SUMIF('CHE-last month'!$A:$A,Used_before_Trf!A46,'CHE-last month'!C:C)</f>
        <v>0</v>
      </c>
      <c r="X46" s="520">
        <f t="shared" si="30"/>
        <v>0</v>
      </c>
      <c r="Y46" s="162">
        <f>SUMIF('CHE-last month'!$A:$A,Used_before_Trf!A46,'CHE-last month'!E:E)</f>
        <v>0</v>
      </c>
      <c r="Z46" s="159">
        <f t="shared" si="31"/>
        <v>0</v>
      </c>
      <c r="AA46" s="520">
        <f t="shared" si="32"/>
        <v>0</v>
      </c>
      <c r="AB46" s="159">
        <f t="shared" si="33"/>
        <v>0</v>
      </c>
      <c r="AC46" s="160">
        <f>SUMIFS(BalCom!M:M,BalCom!N:N,Used_before_Trf!A46,BalCom!C:C,Used_before_Trf!$AC$1)</f>
        <v>0</v>
      </c>
      <c r="AD46" s="171">
        <f t="shared" si="34"/>
        <v>0</v>
      </c>
      <c r="AE46" s="159">
        <f>SUMIFS(BalCom!P:P,BalCom!N:N,Used_before_Trf!A46,BalCom!C:C,Used_before_Trf!$AC$1)</f>
        <v>0</v>
      </c>
      <c r="AF46" s="160">
        <f>SUMIFS(BalDis!I:I,BalDis!J:J,Used_before_Trf!A46)</f>
        <v>0</v>
      </c>
      <c r="AG46" s="171">
        <f t="shared" si="35"/>
        <v>0</v>
      </c>
      <c r="AH46" s="162">
        <f>SUMIFS(BalDis!L:L,BalDis!J:J,Used_before_Trf!A46)</f>
        <v>0</v>
      </c>
      <c r="AI46" s="159">
        <f>SUMIFS(BalDip!$N$49:$N$75,BalDip!$C$49:$C$75,Used_before_Trf!A46)+SUMIFS(BalDip!$N$134:$N$157,BalDip!$C$134:$C$157,Used_before_Trf!A46)</f>
        <v>0</v>
      </c>
      <c r="AJ46" s="171">
        <f t="shared" si="36"/>
        <v>0</v>
      </c>
      <c r="AK46" s="177">
        <f>SUMIFS(BalDip!$N$80:$N$106,BalDip!$C$80:$C$106,Used_before_Trf!A46)+SUMIFS(BalDip!$N$161:$N$184,BalDip!$C$161:$C$184,Used_before_Trf!A46)</f>
        <v>0</v>
      </c>
      <c r="AL46" s="178">
        <f t="shared" si="37"/>
        <v>0</v>
      </c>
      <c r="AM46" s="179">
        <f t="shared" si="38"/>
        <v>0</v>
      </c>
      <c r="AN46" s="440">
        <f t="shared" si="39"/>
        <v>0</v>
      </c>
      <c r="AO46" s="180">
        <f t="shared" si="40"/>
        <v>0</v>
      </c>
    </row>
    <row r="47" spans="1:41" s="108" customFormat="1" ht="15" customHeight="1">
      <c r="A47" s="135" t="s">
        <v>257</v>
      </c>
      <c r="B47" s="573" t="s">
        <v>258</v>
      </c>
      <c r="C47" s="136">
        <f>SUMIF('Che-Store'!A:A,Used_before_Trf!A47,'Che-Store'!AC:AC)+SUMIF('Che-Comp'!A:A,Used_before_Trf!A47,'Che-Comp'!AC:AC)</f>
        <v>4500</v>
      </c>
      <c r="D47" s="137">
        <f t="shared" si="20"/>
        <v>10.5</v>
      </c>
      <c r="E47" s="138">
        <f>SUMIF('Che-Store'!A:A,Used_before_Trf!A47,'Che-Store'!AE:AE)+SUMIF('Che-Comp'!A:A,Used_before_Trf!A47,'Che-Comp'!AE:AE)</f>
        <v>47250</v>
      </c>
      <c r="F47" s="136">
        <f>SUMIFS('Che-Comp'!F:F,'Che-Comp'!$A:$A,Used_before_Trf!$A47)</f>
        <v>0</v>
      </c>
      <c r="G47" s="138">
        <f>SUMIFS('Che-Comp'!G:G,'Che-Comp'!$A:$A,Used_before_Trf!$A47)</f>
        <v>0</v>
      </c>
      <c r="H47" s="137">
        <f t="shared" si="21"/>
        <v>4500</v>
      </c>
      <c r="I47" s="137">
        <f t="shared" si="22"/>
        <v>10.5</v>
      </c>
      <c r="J47" s="137">
        <f t="shared" si="23"/>
        <v>47250</v>
      </c>
      <c r="K47" s="158">
        <f>SUMIF('Che.-Prod'!A:A,Used_before_Trf!A47,'Che.-Prod'!D:D)</f>
        <v>1800</v>
      </c>
      <c r="L47" s="137">
        <f t="shared" si="24"/>
        <v>10.5</v>
      </c>
      <c r="M47" s="159">
        <f>SUMIF('Che.-Prod'!A:A,Used_before_Trf!A47,'Che.-Prod'!F:F)</f>
        <v>18900</v>
      </c>
      <c r="N47" s="160">
        <f>SUMIF('Che.-Prod'!A:A,Used_before_Trf!A47,'Che.-Prod'!G:G)</f>
        <v>0</v>
      </c>
      <c r="O47" s="161">
        <f t="shared" si="25"/>
        <v>0</v>
      </c>
      <c r="P47" s="162">
        <f>SUMIF('Che.-Prod'!A:A,Used_before_Trf!A47,'Che.-Prod'!H:H)</f>
        <v>0</v>
      </c>
      <c r="Q47" s="160">
        <f>SUMIF('Che.-Prod'!A:A,Used_before_Trf!A47,'Che.-Prod'!P:P)</f>
        <v>450</v>
      </c>
      <c r="R47" s="161">
        <f t="shared" si="26"/>
        <v>10.5</v>
      </c>
      <c r="S47" s="159">
        <f>SUMIF('Che.-Prod'!A:A,Used_before_Trf!A47,'Che.-Prod'!R:R)</f>
        <v>4725</v>
      </c>
      <c r="T47" s="169">
        <f t="shared" si="27"/>
        <v>5850</v>
      </c>
      <c r="U47" s="507">
        <f t="shared" si="28"/>
        <v>10.5</v>
      </c>
      <c r="V47" s="170">
        <f t="shared" si="29"/>
        <v>61425</v>
      </c>
      <c r="W47" s="158">
        <f>SUMIF('CHE-last month'!$A:$A,Used_before_Trf!A47,'CHE-last month'!C:C)</f>
        <v>46.54</v>
      </c>
      <c r="X47" s="520">
        <f t="shared" si="30"/>
        <v>10.5</v>
      </c>
      <c r="Y47" s="162">
        <f>SUMIF('CHE-last month'!$A:$A,Used_before_Trf!A47,'CHE-last month'!E:E)</f>
        <v>488.67</v>
      </c>
      <c r="Z47" s="159">
        <f t="shared" si="31"/>
        <v>0</v>
      </c>
      <c r="AA47" s="520">
        <f t="shared" si="32"/>
        <v>0</v>
      </c>
      <c r="AB47" s="159">
        <f t="shared" si="33"/>
        <v>0</v>
      </c>
      <c r="AC47" s="160">
        <f>SUMIFS(BalCom!M:M,BalCom!N:N,Used_before_Trf!A47,BalCom!C:C,Used_before_Trf!$AC$1)</f>
        <v>0</v>
      </c>
      <c r="AD47" s="171">
        <f t="shared" si="34"/>
        <v>0</v>
      </c>
      <c r="AE47" s="159">
        <f>SUMIFS(BalCom!P:P,BalCom!N:N,Used_before_Trf!A47,BalCom!C:C,Used_before_Trf!$AC$1)</f>
        <v>0</v>
      </c>
      <c r="AF47" s="160">
        <f>SUMIFS(BalDis!I:I,BalDis!J:J,Used_before_Trf!A47)</f>
        <v>0</v>
      </c>
      <c r="AG47" s="171">
        <f t="shared" si="35"/>
        <v>0</v>
      </c>
      <c r="AH47" s="162">
        <f>SUMIFS(BalDis!L:L,BalDis!J:J,Used_before_Trf!A47)</f>
        <v>0</v>
      </c>
      <c r="AI47" s="159">
        <f>SUMIFS(BalDip!$N$49:$N$75,BalDip!$C$49:$C$75,Used_before_Trf!A47)+SUMIFS(BalDip!$N$134:$N$157,BalDip!$C$134:$C$157,Used_before_Trf!A47)</f>
        <v>0</v>
      </c>
      <c r="AJ47" s="171">
        <f t="shared" si="36"/>
        <v>0</v>
      </c>
      <c r="AK47" s="177">
        <f>SUMIFS(BalDip!$N$80:$N$106,BalDip!$C$80:$C$106,Used_before_Trf!A47)+SUMIFS(BalDip!$N$161:$N$184,BalDip!$C$161:$C$184,Used_before_Trf!A47)</f>
        <v>0</v>
      </c>
      <c r="AL47" s="178">
        <f t="shared" si="37"/>
        <v>5896.54</v>
      </c>
      <c r="AM47" s="179">
        <f t="shared" si="38"/>
        <v>10.5</v>
      </c>
      <c r="AN47" s="440">
        <f t="shared" si="39"/>
        <v>61913.67</v>
      </c>
      <c r="AO47" s="180">
        <f t="shared" si="40"/>
        <v>0</v>
      </c>
    </row>
    <row r="48" spans="1:41" s="108" customFormat="1" ht="15" customHeight="1">
      <c r="A48" s="135" t="s">
        <v>259</v>
      </c>
      <c r="B48" s="573" t="s">
        <v>260</v>
      </c>
      <c r="C48" s="136">
        <f>SUMIF('Che-Store'!A:A,Used_before_Trf!A48,'Che-Store'!AC:AC)+SUMIF('Che-Comp'!A:A,Used_before_Trf!A48,'Che-Comp'!AC:AC)</f>
        <v>0</v>
      </c>
      <c r="D48" s="137">
        <f t="shared" si="20"/>
        <v>0</v>
      </c>
      <c r="E48" s="138">
        <f>SUMIF('Che-Store'!A:A,Used_before_Trf!A48,'Che-Store'!AE:AE)+SUMIF('Che-Comp'!A:A,Used_before_Trf!A48,'Che-Comp'!AE:AE)</f>
        <v>0</v>
      </c>
      <c r="F48" s="136">
        <f>SUMIFS('Che-Comp'!F:F,'Che-Comp'!$A:$A,Used_before_Trf!$A48)</f>
        <v>0</v>
      </c>
      <c r="G48" s="138">
        <f>SUMIFS('Che-Comp'!G:G,'Che-Comp'!$A:$A,Used_before_Trf!$A48)</f>
        <v>0</v>
      </c>
      <c r="H48" s="137">
        <f t="shared" si="21"/>
        <v>0</v>
      </c>
      <c r="I48" s="137">
        <f t="shared" si="22"/>
        <v>0</v>
      </c>
      <c r="J48" s="137">
        <f t="shared" si="23"/>
        <v>0</v>
      </c>
      <c r="K48" s="158">
        <f>SUMIF('Che.-Prod'!A:A,Used_before_Trf!A48,'Che.-Prod'!D:D)</f>
        <v>0</v>
      </c>
      <c r="L48" s="137">
        <f t="shared" si="24"/>
        <v>0</v>
      </c>
      <c r="M48" s="159">
        <f>SUMIF('Che.-Prod'!A:A,Used_before_Trf!A48,'Che.-Prod'!F:F)</f>
        <v>0</v>
      </c>
      <c r="N48" s="160">
        <f>SUMIF('Che.-Prod'!A:A,Used_before_Trf!A48,'Che.-Prod'!G:G)</f>
        <v>0</v>
      </c>
      <c r="O48" s="161">
        <f t="shared" si="25"/>
        <v>0</v>
      </c>
      <c r="P48" s="162">
        <f>SUMIF('Che.-Prod'!A:A,Used_before_Trf!A48,'Che.-Prod'!H:H)</f>
        <v>0</v>
      </c>
      <c r="Q48" s="160">
        <f>SUMIF('Che.-Prod'!A:A,Used_before_Trf!A48,'Che.-Prod'!P:P)</f>
        <v>0</v>
      </c>
      <c r="R48" s="161">
        <f t="shared" si="26"/>
        <v>0</v>
      </c>
      <c r="S48" s="159">
        <f>SUMIF('Che.-Prod'!A:A,Used_before_Trf!A48,'Che.-Prod'!R:R)</f>
        <v>0</v>
      </c>
      <c r="T48" s="169">
        <f t="shared" si="27"/>
        <v>0</v>
      </c>
      <c r="U48" s="507">
        <f t="shared" si="28"/>
        <v>0</v>
      </c>
      <c r="V48" s="170">
        <f t="shared" si="29"/>
        <v>0</v>
      </c>
      <c r="W48" s="158">
        <f>SUMIF('CHE-last month'!$A:$A,Used_before_Trf!A48,'CHE-last month'!C:C)</f>
        <v>0</v>
      </c>
      <c r="X48" s="520">
        <f t="shared" si="30"/>
        <v>0</v>
      </c>
      <c r="Y48" s="162">
        <f>SUMIF('CHE-last month'!$A:$A,Used_before_Trf!A48,'CHE-last month'!E:E)</f>
        <v>0</v>
      </c>
      <c r="Z48" s="159">
        <f t="shared" si="31"/>
        <v>0</v>
      </c>
      <c r="AA48" s="520">
        <f t="shared" si="32"/>
        <v>0</v>
      </c>
      <c r="AB48" s="159">
        <f t="shared" si="33"/>
        <v>0</v>
      </c>
      <c r="AC48" s="160">
        <f>SUMIFS(BalCom!M:M,BalCom!N:N,Used_before_Trf!A48,BalCom!C:C,Used_before_Trf!$AC$1)</f>
        <v>0</v>
      </c>
      <c r="AD48" s="171">
        <f t="shared" si="34"/>
        <v>0</v>
      </c>
      <c r="AE48" s="159">
        <f>SUMIFS(BalCom!P:P,BalCom!N:N,Used_before_Trf!A48,BalCom!C:C,Used_before_Trf!$AC$1)</f>
        <v>0</v>
      </c>
      <c r="AF48" s="160">
        <f>SUMIFS(BalDis!I:I,BalDis!J:J,Used_before_Trf!A48)</f>
        <v>0</v>
      </c>
      <c r="AG48" s="171">
        <f t="shared" si="35"/>
        <v>0</v>
      </c>
      <c r="AH48" s="162">
        <f>SUMIFS(BalDis!L:L,BalDis!J:J,Used_before_Trf!A48)</f>
        <v>0</v>
      </c>
      <c r="AI48" s="159">
        <f>SUMIFS(BalDip!$N$49:$N$75,BalDip!$C$49:$C$75,Used_before_Trf!A48)+SUMIFS(BalDip!$N$134:$N$157,BalDip!$C$134:$C$157,Used_before_Trf!A48)</f>
        <v>0</v>
      </c>
      <c r="AJ48" s="171">
        <f t="shared" si="36"/>
        <v>0</v>
      </c>
      <c r="AK48" s="177">
        <f>SUMIFS(BalDip!$N$80:$N$106,BalDip!$C$80:$C$106,Used_before_Trf!A48)+SUMIFS(BalDip!$N$161:$N$184,BalDip!$C$161:$C$184,Used_before_Trf!A48)</f>
        <v>0</v>
      </c>
      <c r="AL48" s="178">
        <f t="shared" si="37"/>
        <v>0</v>
      </c>
      <c r="AM48" s="179">
        <f t="shared" si="38"/>
        <v>0</v>
      </c>
      <c r="AN48" s="440">
        <f t="shared" si="39"/>
        <v>0</v>
      </c>
      <c r="AO48" s="180">
        <f t="shared" si="40"/>
        <v>0</v>
      </c>
    </row>
    <row r="49" spans="1:41" s="108" customFormat="1" ht="15" customHeight="1">
      <c r="A49" s="135" t="s">
        <v>261</v>
      </c>
      <c r="B49" s="573" t="s">
        <v>262</v>
      </c>
      <c r="C49" s="136">
        <f>SUMIF('Che-Store'!A:A,Used_before_Trf!A49,'Che-Store'!AC:AC)+SUMIF('Che-Comp'!A:A,Used_before_Trf!A49,'Che-Comp'!AC:AC)</f>
        <v>0</v>
      </c>
      <c r="D49" s="137">
        <f t="shared" si="20"/>
        <v>0</v>
      </c>
      <c r="E49" s="138">
        <f>SUMIF('Che-Store'!A:A,Used_before_Trf!A49,'Che-Store'!AE:AE)+SUMIF('Che-Comp'!A:A,Used_before_Trf!A49,'Che-Comp'!AE:AE)</f>
        <v>0</v>
      </c>
      <c r="F49" s="136">
        <f>SUMIFS('Che-Comp'!F:F,'Che-Comp'!$A:$A,Used_before_Trf!$A49)</f>
        <v>0</v>
      </c>
      <c r="G49" s="138">
        <f>SUMIFS('Che-Comp'!G:G,'Che-Comp'!$A:$A,Used_before_Trf!$A49)</f>
        <v>0</v>
      </c>
      <c r="H49" s="137">
        <f t="shared" si="21"/>
        <v>0</v>
      </c>
      <c r="I49" s="137">
        <f t="shared" si="22"/>
        <v>0</v>
      </c>
      <c r="J49" s="137">
        <f t="shared" si="23"/>
        <v>0</v>
      </c>
      <c r="K49" s="158">
        <f>SUMIF('Che.-Prod'!A:A,Used_before_Trf!A49,'Che.-Prod'!D:D)</f>
        <v>0</v>
      </c>
      <c r="L49" s="137">
        <f t="shared" si="24"/>
        <v>0</v>
      </c>
      <c r="M49" s="159">
        <f>SUMIF('Che.-Prod'!A:A,Used_before_Trf!A49,'Che.-Prod'!F:F)</f>
        <v>0</v>
      </c>
      <c r="N49" s="160">
        <f>SUMIF('Che.-Prod'!A:A,Used_before_Trf!A49,'Che.-Prod'!G:G)</f>
        <v>0</v>
      </c>
      <c r="O49" s="161">
        <f t="shared" si="25"/>
        <v>0</v>
      </c>
      <c r="P49" s="162">
        <f>SUMIF('Che.-Prod'!A:A,Used_before_Trf!A49,'Che.-Prod'!H:H)</f>
        <v>0</v>
      </c>
      <c r="Q49" s="160">
        <f>SUMIF('Che.-Prod'!A:A,Used_before_Trf!A49,'Che.-Prod'!P:P)</f>
        <v>0</v>
      </c>
      <c r="R49" s="161">
        <f t="shared" si="26"/>
        <v>0</v>
      </c>
      <c r="S49" s="159">
        <f>SUMIF('Che.-Prod'!A:A,Used_before_Trf!A49,'Che.-Prod'!R:R)</f>
        <v>0</v>
      </c>
      <c r="T49" s="169">
        <f t="shared" si="27"/>
        <v>0</v>
      </c>
      <c r="U49" s="507">
        <f t="shared" si="28"/>
        <v>0</v>
      </c>
      <c r="V49" s="170">
        <f t="shared" si="29"/>
        <v>0</v>
      </c>
      <c r="W49" s="158">
        <f>SUMIF('CHE-last month'!$A:$A,Used_before_Trf!A49,'CHE-last month'!C:C)</f>
        <v>0</v>
      </c>
      <c r="X49" s="520">
        <f t="shared" si="30"/>
        <v>0</v>
      </c>
      <c r="Y49" s="162">
        <f>SUMIF('CHE-last month'!$A:$A,Used_before_Trf!A49,'CHE-last month'!E:E)</f>
        <v>0</v>
      </c>
      <c r="Z49" s="159">
        <f t="shared" si="31"/>
        <v>0</v>
      </c>
      <c r="AA49" s="520">
        <f t="shared" si="32"/>
        <v>0</v>
      </c>
      <c r="AB49" s="159">
        <f t="shared" si="33"/>
        <v>0</v>
      </c>
      <c r="AC49" s="160">
        <f>SUMIFS(BalCom!M:M,BalCom!N:N,Used_before_Trf!A49,BalCom!C:C,Used_before_Trf!$AC$1)</f>
        <v>0</v>
      </c>
      <c r="AD49" s="171">
        <f t="shared" si="34"/>
        <v>0</v>
      </c>
      <c r="AE49" s="159">
        <f>SUMIFS(BalCom!P:P,BalCom!N:N,Used_before_Trf!A49,BalCom!C:C,Used_before_Trf!$AC$1)</f>
        <v>0</v>
      </c>
      <c r="AF49" s="160">
        <f>SUMIFS(BalDis!I:I,BalDis!J:J,Used_before_Trf!A49)</f>
        <v>0</v>
      </c>
      <c r="AG49" s="171">
        <f t="shared" si="35"/>
        <v>0</v>
      </c>
      <c r="AH49" s="162">
        <f>SUMIFS(BalDis!L:L,BalDis!J:J,Used_before_Trf!A49)</f>
        <v>0</v>
      </c>
      <c r="AI49" s="159">
        <f>SUMIFS(BalDip!$N$49:$N$75,BalDip!$C$49:$C$75,Used_before_Trf!A49)+SUMIFS(BalDip!$N$134:$N$157,BalDip!$C$134:$C$157,Used_before_Trf!A49)</f>
        <v>0</v>
      </c>
      <c r="AJ49" s="171">
        <f t="shared" si="36"/>
        <v>0</v>
      </c>
      <c r="AK49" s="177">
        <f>SUMIFS(BalDip!$N$80:$N$106,BalDip!$C$80:$C$106,Used_before_Trf!A49)+SUMIFS(BalDip!$N$161:$N$184,BalDip!$C$161:$C$184,Used_before_Trf!A49)</f>
        <v>0</v>
      </c>
      <c r="AL49" s="178">
        <f t="shared" si="37"/>
        <v>0</v>
      </c>
      <c r="AM49" s="179">
        <f t="shared" si="38"/>
        <v>0</v>
      </c>
      <c r="AN49" s="440">
        <f t="shared" si="39"/>
        <v>0</v>
      </c>
      <c r="AO49" s="180">
        <f t="shared" si="40"/>
        <v>0</v>
      </c>
    </row>
    <row r="50" spans="1:41" s="108" customFormat="1" ht="15" customHeight="1">
      <c r="A50" s="135" t="s">
        <v>263</v>
      </c>
      <c r="B50" s="573" t="s">
        <v>264</v>
      </c>
      <c r="C50" s="136">
        <f>SUMIF('Che-Store'!A:A,Used_before_Trf!A50,'Che-Store'!AC:AC)+SUMIF('Che-Comp'!A:A,Used_before_Trf!A50,'Che-Comp'!AC:AC)</f>
        <v>0</v>
      </c>
      <c r="D50" s="137">
        <f t="shared" si="20"/>
        <v>0</v>
      </c>
      <c r="E50" s="138">
        <f>SUMIF('Che-Store'!A:A,Used_before_Trf!A50,'Che-Store'!AE:AE)+SUMIF('Che-Comp'!A:A,Used_before_Trf!A50,'Che-Comp'!AE:AE)</f>
        <v>0</v>
      </c>
      <c r="F50" s="136">
        <f>SUMIFS('Che-Comp'!F:F,'Che-Comp'!$A:$A,Used_before_Trf!$A50)</f>
        <v>0</v>
      </c>
      <c r="G50" s="138">
        <f>SUMIFS('Che-Comp'!G:G,'Che-Comp'!$A:$A,Used_before_Trf!$A50)</f>
        <v>0</v>
      </c>
      <c r="H50" s="137">
        <f t="shared" si="21"/>
        <v>0</v>
      </c>
      <c r="I50" s="137">
        <f t="shared" si="22"/>
        <v>0</v>
      </c>
      <c r="J50" s="137">
        <f t="shared" si="23"/>
        <v>0</v>
      </c>
      <c r="K50" s="158">
        <f>SUMIF('Che.-Prod'!A:A,Used_before_Trf!A50,'Che.-Prod'!D:D)</f>
        <v>0</v>
      </c>
      <c r="L50" s="137">
        <f t="shared" si="24"/>
        <v>0</v>
      </c>
      <c r="M50" s="159">
        <f>SUMIF('Che.-Prod'!A:A,Used_before_Trf!A50,'Che.-Prod'!F:F)</f>
        <v>0</v>
      </c>
      <c r="N50" s="160">
        <f>SUMIF('Che.-Prod'!A:A,Used_before_Trf!A50,'Che.-Prod'!G:G)</f>
        <v>0</v>
      </c>
      <c r="O50" s="161">
        <f t="shared" si="25"/>
        <v>0</v>
      </c>
      <c r="P50" s="162">
        <f>SUMIF('Che.-Prod'!A:A,Used_before_Trf!A50,'Che.-Prod'!H:H)</f>
        <v>0</v>
      </c>
      <c r="Q50" s="160">
        <f>SUMIF('Che.-Prod'!A:A,Used_before_Trf!A50,'Che.-Prod'!P:P)</f>
        <v>0</v>
      </c>
      <c r="R50" s="161">
        <f t="shared" si="26"/>
        <v>0</v>
      </c>
      <c r="S50" s="159">
        <f>SUMIF('Che.-Prod'!A:A,Used_before_Trf!A50,'Che.-Prod'!R:R)</f>
        <v>0</v>
      </c>
      <c r="T50" s="169">
        <f t="shared" si="27"/>
        <v>0</v>
      </c>
      <c r="U50" s="507">
        <f t="shared" si="28"/>
        <v>0</v>
      </c>
      <c r="V50" s="170">
        <f t="shared" si="29"/>
        <v>0</v>
      </c>
      <c r="W50" s="158">
        <f>SUMIF('CHE-last month'!$A:$A,Used_before_Trf!A50,'CHE-last month'!C:C)</f>
        <v>0</v>
      </c>
      <c r="X50" s="520">
        <f t="shared" si="30"/>
        <v>0</v>
      </c>
      <c r="Y50" s="162">
        <f>SUMIF('CHE-last month'!$A:$A,Used_before_Trf!A50,'CHE-last month'!E:E)</f>
        <v>0</v>
      </c>
      <c r="Z50" s="159">
        <f t="shared" si="31"/>
        <v>0</v>
      </c>
      <c r="AA50" s="520">
        <f t="shared" si="32"/>
        <v>0</v>
      </c>
      <c r="AB50" s="159">
        <f t="shared" si="33"/>
        <v>0</v>
      </c>
      <c r="AC50" s="160">
        <f>SUMIFS(BalCom!M:M,BalCom!N:N,Used_before_Trf!A50,BalCom!C:C,Used_before_Trf!$AC$1)</f>
        <v>0</v>
      </c>
      <c r="AD50" s="171">
        <f t="shared" si="34"/>
        <v>0</v>
      </c>
      <c r="AE50" s="159">
        <f>SUMIFS(BalCom!P:P,BalCom!N:N,Used_before_Trf!A50,BalCom!C:C,Used_before_Trf!$AC$1)</f>
        <v>0</v>
      </c>
      <c r="AF50" s="160">
        <f>SUMIFS(BalDis!I:I,BalDis!J:J,Used_before_Trf!A50)</f>
        <v>0</v>
      </c>
      <c r="AG50" s="171">
        <f t="shared" si="35"/>
        <v>0</v>
      </c>
      <c r="AH50" s="162">
        <f>SUMIFS(BalDis!L:L,BalDis!J:J,Used_before_Trf!A50)</f>
        <v>0</v>
      </c>
      <c r="AI50" s="159">
        <f>SUMIFS(BalDip!$N$49:$N$75,BalDip!$C$49:$C$75,Used_before_Trf!A50)+SUMIFS(BalDip!$N$134:$N$157,BalDip!$C$134:$C$157,Used_before_Trf!A50)</f>
        <v>0</v>
      </c>
      <c r="AJ50" s="171">
        <f t="shared" si="36"/>
        <v>0</v>
      </c>
      <c r="AK50" s="177">
        <f>SUMIFS(BalDip!$N$80:$N$106,BalDip!$C$80:$C$106,Used_before_Trf!A50)+SUMIFS(BalDip!$N$161:$N$184,BalDip!$C$161:$C$184,Used_before_Trf!A50)</f>
        <v>0</v>
      </c>
      <c r="AL50" s="178">
        <f t="shared" si="37"/>
        <v>0</v>
      </c>
      <c r="AM50" s="179">
        <f t="shared" si="38"/>
        <v>0</v>
      </c>
      <c r="AN50" s="440">
        <f t="shared" si="39"/>
        <v>0</v>
      </c>
      <c r="AO50" s="180">
        <f t="shared" si="40"/>
        <v>0</v>
      </c>
    </row>
    <row r="51" spans="1:41" s="108" customFormat="1" ht="15" customHeight="1">
      <c r="A51" s="135" t="s">
        <v>265</v>
      </c>
      <c r="B51" s="511" t="s">
        <v>266</v>
      </c>
      <c r="C51" s="136">
        <f>SUMIF('Che-Store'!A:A,Used_before_Trf!A51,'Che-Store'!AC:AC)+SUMIF('Che-Comp'!A:A,Used_before_Trf!A51,'Che-Comp'!AC:AC)</f>
        <v>0</v>
      </c>
      <c r="D51" s="137">
        <f t="shared" si="20"/>
        <v>0</v>
      </c>
      <c r="E51" s="138">
        <f>SUMIF('Che-Store'!A:A,Used_before_Trf!A51,'Che-Store'!AE:AE)+SUMIF('Che-Comp'!A:A,Used_before_Trf!A51,'Che-Comp'!AE:AE)</f>
        <v>0</v>
      </c>
      <c r="F51" s="136">
        <f>SUMIFS('Che-Comp'!F:F,'Che-Comp'!$A:$A,Used_before_Trf!$A51)</f>
        <v>0</v>
      </c>
      <c r="G51" s="138">
        <f>SUMIFS('Che-Comp'!G:G,'Che-Comp'!$A:$A,Used_before_Trf!$A51)</f>
        <v>0</v>
      </c>
      <c r="H51" s="137">
        <f t="shared" si="21"/>
        <v>0</v>
      </c>
      <c r="I51" s="137">
        <f t="shared" si="22"/>
        <v>0</v>
      </c>
      <c r="J51" s="137">
        <f t="shared" si="23"/>
        <v>0</v>
      </c>
      <c r="K51" s="158">
        <f>SUMIF('Che.-Prod'!A:A,Used_before_Trf!A51,'Che.-Prod'!D:D)</f>
        <v>0</v>
      </c>
      <c r="L51" s="137">
        <f t="shared" si="24"/>
        <v>0</v>
      </c>
      <c r="M51" s="159">
        <f>SUMIF('Che.-Prod'!A:A,Used_before_Trf!A51,'Che.-Prod'!F:F)</f>
        <v>0</v>
      </c>
      <c r="N51" s="160">
        <f>SUMIF('Che.-Prod'!A:A,Used_before_Trf!A51,'Che.-Prod'!G:G)</f>
        <v>0</v>
      </c>
      <c r="O51" s="161">
        <f t="shared" si="25"/>
        <v>0</v>
      </c>
      <c r="P51" s="162">
        <f>SUMIF('Che.-Prod'!A:A,Used_before_Trf!A51,'Che.-Prod'!H:H)</f>
        <v>0</v>
      </c>
      <c r="Q51" s="160">
        <f>SUMIF('Che.-Prod'!A:A,Used_before_Trf!A51,'Che.-Prod'!P:P)</f>
        <v>0</v>
      </c>
      <c r="R51" s="161">
        <f t="shared" si="26"/>
        <v>0</v>
      </c>
      <c r="S51" s="159">
        <f>SUMIF('Che.-Prod'!A:A,Used_before_Trf!A51,'Che.-Prod'!R:R)</f>
        <v>0</v>
      </c>
      <c r="T51" s="169">
        <f t="shared" si="27"/>
        <v>0</v>
      </c>
      <c r="U51" s="507">
        <f t="shared" si="28"/>
        <v>0</v>
      </c>
      <c r="V51" s="170">
        <f t="shared" si="29"/>
        <v>0</v>
      </c>
      <c r="W51" s="158">
        <f>SUMIF('CHE-last month'!$A:$A,Used_before_Trf!A51,'CHE-last month'!C:C)</f>
        <v>0</v>
      </c>
      <c r="X51" s="520">
        <f t="shared" si="30"/>
        <v>0</v>
      </c>
      <c r="Y51" s="162">
        <f>SUMIF('CHE-last month'!$A:$A,Used_before_Trf!A51,'CHE-last month'!E:E)</f>
        <v>0</v>
      </c>
      <c r="Z51" s="159">
        <f t="shared" si="31"/>
        <v>0</v>
      </c>
      <c r="AA51" s="520">
        <f t="shared" si="32"/>
        <v>0</v>
      </c>
      <c r="AB51" s="159">
        <f t="shared" si="33"/>
        <v>0</v>
      </c>
      <c r="AC51" s="160">
        <f>SUMIFS(BalCom!M:M,BalCom!N:N,Used_before_Trf!A51,BalCom!C:C,Used_before_Trf!$AC$1)</f>
        <v>0</v>
      </c>
      <c r="AD51" s="171">
        <f t="shared" si="34"/>
        <v>0</v>
      </c>
      <c r="AE51" s="159">
        <f>SUMIFS(BalCom!P:P,BalCom!N:N,Used_before_Trf!A51,BalCom!C:C,Used_before_Trf!$AC$1)</f>
        <v>0</v>
      </c>
      <c r="AF51" s="160">
        <f>SUMIFS(BalDis!I:I,BalDis!J:J,Used_before_Trf!A51)</f>
        <v>0</v>
      </c>
      <c r="AG51" s="171">
        <f t="shared" si="35"/>
        <v>0</v>
      </c>
      <c r="AH51" s="162">
        <f>SUMIFS(BalDis!L:L,BalDis!J:J,Used_before_Trf!A51)</f>
        <v>0</v>
      </c>
      <c r="AI51" s="159">
        <f>SUMIFS(BalDip!$N$49:$N$75,BalDip!$C$49:$C$75,Used_before_Trf!A51)+SUMIFS(BalDip!$N$134:$N$157,BalDip!$C$134:$C$157,Used_before_Trf!A51)</f>
        <v>0</v>
      </c>
      <c r="AJ51" s="171">
        <f t="shared" si="36"/>
        <v>0</v>
      </c>
      <c r="AK51" s="177">
        <f>SUMIFS(BalDip!$N$80:$N$106,BalDip!$C$80:$C$106,Used_before_Trf!A51)+SUMIFS(BalDip!$N$161:$N$184,BalDip!$C$161:$C$184,Used_before_Trf!A51)</f>
        <v>0</v>
      </c>
      <c r="AL51" s="178">
        <f t="shared" si="37"/>
        <v>0</v>
      </c>
      <c r="AM51" s="179">
        <f t="shared" si="38"/>
        <v>0</v>
      </c>
      <c r="AN51" s="440">
        <f t="shared" si="39"/>
        <v>0</v>
      </c>
      <c r="AO51" s="180">
        <f t="shared" si="40"/>
        <v>0</v>
      </c>
    </row>
    <row r="52" spans="1:41" s="108" customFormat="1" ht="15" customHeight="1">
      <c r="A52" s="135" t="s">
        <v>267</v>
      </c>
      <c r="B52" s="511" t="s">
        <v>268</v>
      </c>
      <c r="C52" s="136">
        <f>SUMIF('Che-Store'!A:A,Used_before_Trf!A52,'Che-Store'!AC:AC)+SUMIF('Che-Comp'!A:A,Used_before_Trf!A52,'Che-Comp'!AC:AC)</f>
        <v>0</v>
      </c>
      <c r="D52" s="137">
        <f t="shared" si="20"/>
        <v>0</v>
      </c>
      <c r="E52" s="138">
        <f>SUMIF('Che-Store'!A:A,Used_before_Trf!A52,'Che-Store'!AE:AE)+SUMIF('Che-Comp'!A:A,Used_before_Trf!A52,'Che-Comp'!AE:AE)</f>
        <v>0</v>
      </c>
      <c r="F52" s="136">
        <f>SUMIFS('Che-Comp'!F:F,'Che-Comp'!$A:$A,Used_before_Trf!$A52)</f>
        <v>0</v>
      </c>
      <c r="G52" s="138">
        <f>SUMIFS('Che-Comp'!G:G,'Che-Comp'!$A:$A,Used_before_Trf!$A52)</f>
        <v>0</v>
      </c>
      <c r="H52" s="137">
        <f t="shared" si="21"/>
        <v>0</v>
      </c>
      <c r="I52" s="137">
        <f t="shared" si="22"/>
        <v>0</v>
      </c>
      <c r="J52" s="137">
        <f t="shared" si="23"/>
        <v>0</v>
      </c>
      <c r="K52" s="158">
        <f>SUMIF('Che.-Prod'!A:A,Used_before_Trf!A52,'Che.-Prod'!D:D)</f>
        <v>0</v>
      </c>
      <c r="L52" s="137">
        <f t="shared" si="24"/>
        <v>0</v>
      </c>
      <c r="M52" s="159">
        <f>SUMIF('Che.-Prod'!A:A,Used_before_Trf!A52,'Che.-Prod'!F:F)</f>
        <v>0</v>
      </c>
      <c r="N52" s="160">
        <f>SUMIF('Che.-Prod'!A:A,Used_before_Trf!A52,'Che.-Prod'!G:G)</f>
        <v>0</v>
      </c>
      <c r="O52" s="161">
        <f t="shared" si="25"/>
        <v>0</v>
      </c>
      <c r="P52" s="162">
        <f>SUMIF('Che.-Prod'!A:A,Used_before_Trf!A52,'Che.-Prod'!H:H)</f>
        <v>0</v>
      </c>
      <c r="Q52" s="160">
        <f>SUMIF('Che.-Prod'!A:A,Used_before_Trf!A52,'Che.-Prod'!P:P)</f>
        <v>0</v>
      </c>
      <c r="R52" s="161">
        <f t="shared" si="26"/>
        <v>0</v>
      </c>
      <c r="S52" s="159">
        <f>SUMIF('Che.-Prod'!A:A,Used_before_Trf!A52,'Che.-Prod'!R:R)</f>
        <v>0</v>
      </c>
      <c r="T52" s="169">
        <f t="shared" si="27"/>
        <v>0</v>
      </c>
      <c r="U52" s="507">
        <f t="shared" si="28"/>
        <v>0</v>
      </c>
      <c r="V52" s="170">
        <f t="shared" si="29"/>
        <v>0</v>
      </c>
      <c r="W52" s="158">
        <f>SUMIF('CHE-last month'!$A:$A,Used_before_Trf!A52,'CHE-last month'!C:C)</f>
        <v>0</v>
      </c>
      <c r="X52" s="520">
        <f t="shared" si="30"/>
        <v>0</v>
      </c>
      <c r="Y52" s="162">
        <f>SUMIF('CHE-last month'!$A:$A,Used_before_Trf!A52,'CHE-last month'!E:E)</f>
        <v>0</v>
      </c>
      <c r="Z52" s="159">
        <f t="shared" si="31"/>
        <v>0</v>
      </c>
      <c r="AA52" s="520">
        <f t="shared" si="32"/>
        <v>0</v>
      </c>
      <c r="AB52" s="159">
        <f t="shared" si="33"/>
        <v>0</v>
      </c>
      <c r="AC52" s="160">
        <f>SUMIFS(BalCom!M:M,BalCom!N:N,Used_before_Trf!A52,BalCom!C:C,Used_before_Trf!$AC$1)</f>
        <v>0</v>
      </c>
      <c r="AD52" s="171">
        <f t="shared" si="34"/>
        <v>0</v>
      </c>
      <c r="AE52" s="159">
        <f>SUMIFS(BalCom!P:P,BalCom!N:N,Used_before_Trf!A52,BalCom!C:C,Used_before_Trf!$AC$1)</f>
        <v>0</v>
      </c>
      <c r="AF52" s="160">
        <f>SUMIFS(BalDis!I:I,BalDis!J:J,Used_before_Trf!A52)</f>
        <v>0</v>
      </c>
      <c r="AG52" s="171">
        <f t="shared" si="35"/>
        <v>0</v>
      </c>
      <c r="AH52" s="162">
        <f>SUMIFS(BalDis!L:L,BalDis!J:J,Used_before_Trf!A52)</f>
        <v>0</v>
      </c>
      <c r="AI52" s="159">
        <f>SUMIFS(BalDip!$N$49:$N$75,BalDip!$C$49:$C$75,Used_before_Trf!A52)+SUMIFS(BalDip!$N$134:$N$157,BalDip!$C$134:$C$157,Used_before_Trf!A52)</f>
        <v>0</v>
      </c>
      <c r="AJ52" s="171">
        <f t="shared" si="36"/>
        <v>0</v>
      </c>
      <c r="AK52" s="177">
        <f>SUMIFS(BalDip!$N$80:$N$106,BalDip!$C$80:$C$106,Used_before_Trf!A52)+SUMIFS(BalDip!$N$161:$N$184,BalDip!$C$161:$C$184,Used_before_Trf!A52)</f>
        <v>0</v>
      </c>
      <c r="AL52" s="178">
        <f t="shared" si="37"/>
        <v>0</v>
      </c>
      <c r="AM52" s="179">
        <f t="shared" si="38"/>
        <v>0</v>
      </c>
      <c r="AN52" s="440">
        <f t="shared" si="39"/>
        <v>0</v>
      </c>
      <c r="AO52" s="180">
        <f t="shared" si="40"/>
        <v>0</v>
      </c>
    </row>
    <row r="53" spans="1:41" s="108" customFormat="1" ht="15" customHeight="1">
      <c r="A53" s="135" t="s">
        <v>269</v>
      </c>
      <c r="B53" s="511" t="s">
        <v>270</v>
      </c>
      <c r="C53" s="136">
        <f>SUMIF('Che-Store'!A:A,Used_before_Trf!A53,'Che-Store'!AC:AC)+SUMIF('Che-Comp'!A:A,Used_before_Trf!A53,'Che-Comp'!AC:AC)</f>
        <v>0</v>
      </c>
      <c r="D53" s="137">
        <f t="shared" si="20"/>
        <v>0</v>
      </c>
      <c r="E53" s="138">
        <f>SUMIF('Che-Store'!A:A,Used_before_Trf!A53,'Che-Store'!AE:AE)+SUMIF('Che-Comp'!A:A,Used_before_Trf!A53,'Che-Comp'!AE:AE)</f>
        <v>0</v>
      </c>
      <c r="F53" s="136">
        <f>SUMIFS('Che-Comp'!F:F,'Che-Comp'!$A:$A,Used_before_Trf!$A53)</f>
        <v>0</v>
      </c>
      <c r="G53" s="138">
        <f>SUMIFS('Che-Comp'!G:G,'Che-Comp'!$A:$A,Used_before_Trf!$A53)</f>
        <v>0</v>
      </c>
      <c r="H53" s="137">
        <f t="shared" si="21"/>
        <v>0</v>
      </c>
      <c r="I53" s="137">
        <f t="shared" si="22"/>
        <v>0</v>
      </c>
      <c r="J53" s="137">
        <f t="shared" si="23"/>
        <v>0</v>
      </c>
      <c r="K53" s="158">
        <f>SUMIF('Che.-Prod'!A:A,Used_before_Trf!A53,'Che.-Prod'!D:D)</f>
        <v>0</v>
      </c>
      <c r="L53" s="137">
        <f t="shared" si="24"/>
        <v>0</v>
      </c>
      <c r="M53" s="159">
        <f>SUMIF('Che.-Prod'!A:A,Used_before_Trf!A53,'Che.-Prod'!F:F)</f>
        <v>0</v>
      </c>
      <c r="N53" s="160">
        <f>SUMIF('Che.-Prod'!A:A,Used_before_Trf!A53,'Che.-Prod'!G:G)</f>
        <v>0</v>
      </c>
      <c r="O53" s="161">
        <f t="shared" si="25"/>
        <v>0</v>
      </c>
      <c r="P53" s="162">
        <f>SUMIF('Che.-Prod'!A:A,Used_before_Trf!A53,'Che.-Prod'!H:H)</f>
        <v>0</v>
      </c>
      <c r="Q53" s="160">
        <f>SUMIF('Che.-Prod'!A:A,Used_before_Trf!A53,'Che.-Prod'!P:P)</f>
        <v>0</v>
      </c>
      <c r="R53" s="161">
        <f t="shared" si="26"/>
        <v>0</v>
      </c>
      <c r="S53" s="159">
        <f>SUMIF('Che.-Prod'!A:A,Used_before_Trf!A53,'Che.-Prod'!R:R)</f>
        <v>0</v>
      </c>
      <c r="T53" s="169">
        <f t="shared" si="27"/>
        <v>0</v>
      </c>
      <c r="U53" s="507">
        <f t="shared" si="28"/>
        <v>0</v>
      </c>
      <c r="V53" s="170">
        <f t="shared" si="29"/>
        <v>0</v>
      </c>
      <c r="W53" s="158">
        <f>SUMIF('CHE-last month'!$A:$A,Used_before_Trf!A53,'CHE-last month'!C:C)</f>
        <v>0</v>
      </c>
      <c r="X53" s="520">
        <f t="shared" si="30"/>
        <v>0</v>
      </c>
      <c r="Y53" s="162">
        <f>SUMIF('CHE-last month'!$A:$A,Used_before_Trf!A53,'CHE-last month'!E:E)</f>
        <v>0</v>
      </c>
      <c r="Z53" s="159">
        <f t="shared" si="31"/>
        <v>0</v>
      </c>
      <c r="AA53" s="520">
        <f t="shared" si="32"/>
        <v>0</v>
      </c>
      <c r="AB53" s="159">
        <f t="shared" si="33"/>
        <v>0</v>
      </c>
      <c r="AC53" s="160">
        <f>SUMIFS(BalCom!M:M,BalCom!N:N,Used_before_Trf!A53,BalCom!C:C,Used_before_Trf!$AC$1)</f>
        <v>0</v>
      </c>
      <c r="AD53" s="171">
        <f t="shared" si="34"/>
        <v>0</v>
      </c>
      <c r="AE53" s="159">
        <f>SUMIFS(BalCom!P:P,BalCom!N:N,Used_before_Trf!A53,BalCom!C:C,Used_before_Trf!$AC$1)</f>
        <v>0</v>
      </c>
      <c r="AF53" s="160">
        <f>SUMIFS(BalDis!I:I,BalDis!J:J,Used_before_Trf!A53)</f>
        <v>0</v>
      </c>
      <c r="AG53" s="171">
        <f t="shared" si="35"/>
        <v>0</v>
      </c>
      <c r="AH53" s="162">
        <f>SUMIFS(BalDis!L:L,BalDis!J:J,Used_before_Trf!A53)</f>
        <v>0</v>
      </c>
      <c r="AI53" s="159">
        <f>SUMIFS(BalDip!$N$49:$N$75,BalDip!$C$49:$C$75,Used_before_Trf!A53)+SUMIFS(BalDip!$N$134:$N$157,BalDip!$C$134:$C$157,Used_before_Trf!A53)</f>
        <v>0</v>
      </c>
      <c r="AJ53" s="171">
        <f t="shared" si="36"/>
        <v>0</v>
      </c>
      <c r="AK53" s="177">
        <f>SUMIFS(BalDip!$N$80:$N$106,BalDip!$C$80:$C$106,Used_before_Trf!A53)+SUMIFS(BalDip!$N$161:$N$184,BalDip!$C$161:$C$184,Used_before_Trf!A53)</f>
        <v>0</v>
      </c>
      <c r="AL53" s="178">
        <f t="shared" si="37"/>
        <v>0</v>
      </c>
      <c r="AM53" s="179">
        <f t="shared" si="38"/>
        <v>0</v>
      </c>
      <c r="AN53" s="440">
        <f t="shared" si="39"/>
        <v>0</v>
      </c>
      <c r="AO53" s="180">
        <f t="shared" si="40"/>
        <v>0</v>
      </c>
    </row>
    <row r="54" spans="1:41" s="108" customFormat="1" ht="15" customHeight="1">
      <c r="A54" s="135" t="s">
        <v>271</v>
      </c>
      <c r="B54" s="511" t="s">
        <v>272</v>
      </c>
      <c r="C54" s="136">
        <f>SUMIF('Che-Store'!A:A,Used_before_Trf!A54,'Che-Store'!AC:AC)+SUMIF('Che-Comp'!A:A,Used_before_Trf!A54,'Che-Comp'!AC:AC)</f>
        <v>0</v>
      </c>
      <c r="D54" s="137">
        <f t="shared" si="20"/>
        <v>0</v>
      </c>
      <c r="E54" s="138">
        <f>SUMIF('Che-Store'!A:A,Used_before_Trf!A54,'Che-Store'!AE:AE)+SUMIF('Che-Comp'!A:A,Used_before_Trf!A54,'Che-Comp'!AE:AE)</f>
        <v>0</v>
      </c>
      <c r="F54" s="136">
        <f>SUMIFS('Che-Comp'!F:F,'Che-Comp'!$A:$A,Used_before_Trf!$A54)</f>
        <v>0</v>
      </c>
      <c r="G54" s="138">
        <f>SUMIFS('Che-Comp'!G:G,'Che-Comp'!$A:$A,Used_before_Trf!$A54)</f>
        <v>0</v>
      </c>
      <c r="H54" s="137">
        <f t="shared" si="21"/>
        <v>0</v>
      </c>
      <c r="I54" s="137">
        <f t="shared" si="22"/>
        <v>0</v>
      </c>
      <c r="J54" s="137">
        <f t="shared" si="23"/>
        <v>0</v>
      </c>
      <c r="K54" s="158">
        <f>SUMIF('Che.-Prod'!A:A,Used_before_Trf!A54,'Che.-Prod'!D:D)</f>
        <v>0</v>
      </c>
      <c r="L54" s="137">
        <f t="shared" si="24"/>
        <v>0</v>
      </c>
      <c r="M54" s="159">
        <f>SUMIF('Che.-Prod'!A:A,Used_before_Trf!A54,'Che.-Prod'!F:F)</f>
        <v>0</v>
      </c>
      <c r="N54" s="160">
        <f>SUMIF('Che.-Prod'!A:A,Used_before_Trf!A54,'Che.-Prod'!G:G)</f>
        <v>0</v>
      </c>
      <c r="O54" s="161">
        <f t="shared" si="25"/>
        <v>0</v>
      </c>
      <c r="P54" s="162">
        <f>SUMIF('Che.-Prod'!A:A,Used_before_Trf!A54,'Che.-Prod'!H:H)</f>
        <v>0</v>
      </c>
      <c r="Q54" s="160">
        <f>SUMIF('Che.-Prod'!A:A,Used_before_Trf!A54,'Che.-Prod'!P:P)</f>
        <v>0</v>
      </c>
      <c r="R54" s="161">
        <f t="shared" si="26"/>
        <v>0</v>
      </c>
      <c r="S54" s="159">
        <f>SUMIF('Che.-Prod'!A:A,Used_before_Trf!A54,'Che.-Prod'!R:R)</f>
        <v>0</v>
      </c>
      <c r="T54" s="169">
        <f t="shared" si="27"/>
        <v>0</v>
      </c>
      <c r="U54" s="507">
        <f t="shared" si="28"/>
        <v>0</v>
      </c>
      <c r="V54" s="170">
        <f t="shared" si="29"/>
        <v>0</v>
      </c>
      <c r="W54" s="158">
        <f>SUMIF('CHE-last month'!$A:$A,Used_before_Trf!A54,'CHE-last month'!C:C)</f>
        <v>0</v>
      </c>
      <c r="X54" s="520">
        <f t="shared" si="30"/>
        <v>0</v>
      </c>
      <c r="Y54" s="162">
        <f>SUMIF('CHE-last month'!$A:$A,Used_before_Trf!A54,'CHE-last month'!E:E)</f>
        <v>0</v>
      </c>
      <c r="Z54" s="159">
        <f t="shared" si="31"/>
        <v>0</v>
      </c>
      <c r="AA54" s="520">
        <f t="shared" si="32"/>
        <v>0</v>
      </c>
      <c r="AB54" s="159">
        <f t="shared" si="33"/>
        <v>0</v>
      </c>
      <c r="AC54" s="160">
        <f>SUMIFS(BalCom!M:M,BalCom!N:N,Used_before_Trf!A54,BalCom!C:C,Used_before_Trf!$AC$1)</f>
        <v>0</v>
      </c>
      <c r="AD54" s="171">
        <f t="shared" si="34"/>
        <v>0</v>
      </c>
      <c r="AE54" s="159">
        <f>SUMIFS(BalCom!P:P,BalCom!N:N,Used_before_Trf!A54,BalCom!C:C,Used_before_Trf!$AC$1)</f>
        <v>0</v>
      </c>
      <c r="AF54" s="160">
        <f>SUMIFS(BalDis!I:I,BalDis!J:J,Used_before_Trf!A54)</f>
        <v>0</v>
      </c>
      <c r="AG54" s="171">
        <f t="shared" si="35"/>
        <v>0</v>
      </c>
      <c r="AH54" s="162">
        <f>SUMIFS(BalDis!L:L,BalDis!J:J,Used_before_Trf!A54)</f>
        <v>0</v>
      </c>
      <c r="AI54" s="159">
        <f>SUMIFS(BalDip!$N$49:$N$75,BalDip!$C$49:$C$75,Used_before_Trf!A54)+SUMIFS(BalDip!$N$134:$N$157,BalDip!$C$134:$C$157,Used_before_Trf!A54)</f>
        <v>0</v>
      </c>
      <c r="AJ54" s="171">
        <f t="shared" si="36"/>
        <v>0</v>
      </c>
      <c r="AK54" s="177">
        <f>SUMIFS(BalDip!$N$80:$N$106,BalDip!$C$80:$C$106,Used_before_Trf!A54)+SUMIFS(BalDip!$N$161:$N$184,BalDip!$C$161:$C$184,Used_before_Trf!A54)</f>
        <v>0</v>
      </c>
      <c r="AL54" s="178">
        <f t="shared" si="37"/>
        <v>0</v>
      </c>
      <c r="AM54" s="179">
        <f t="shared" si="38"/>
        <v>0</v>
      </c>
      <c r="AN54" s="440">
        <f t="shared" si="39"/>
        <v>0</v>
      </c>
      <c r="AO54" s="180">
        <f t="shared" si="40"/>
        <v>0</v>
      </c>
    </row>
    <row r="55" spans="1:41" s="108" customFormat="1" ht="15" customHeight="1">
      <c r="A55" s="135" t="s">
        <v>273</v>
      </c>
      <c r="B55" s="511" t="s">
        <v>274</v>
      </c>
      <c r="C55" s="136">
        <f>SUMIF('Che-Store'!A:A,Used_before_Trf!A55,'Che-Store'!AC:AC)+SUMIF('Che-Comp'!A:A,Used_before_Trf!A55,'Che-Comp'!AC:AC)</f>
        <v>0</v>
      </c>
      <c r="D55" s="137">
        <f t="shared" si="20"/>
        <v>0</v>
      </c>
      <c r="E55" s="138">
        <f>SUMIF('Che-Store'!A:A,Used_before_Trf!A55,'Che-Store'!AE:AE)+SUMIF('Che-Comp'!A:A,Used_before_Trf!A55,'Che-Comp'!AE:AE)</f>
        <v>0</v>
      </c>
      <c r="F55" s="136">
        <f>SUMIFS('Che-Comp'!F:F,'Che-Comp'!$A:$A,Used_before_Trf!$A55)</f>
        <v>0</v>
      </c>
      <c r="G55" s="138">
        <f>SUMIFS('Che-Comp'!G:G,'Che-Comp'!$A:$A,Used_before_Trf!$A55)</f>
        <v>0</v>
      </c>
      <c r="H55" s="137">
        <f t="shared" si="21"/>
        <v>0</v>
      </c>
      <c r="I55" s="137">
        <f t="shared" si="22"/>
        <v>0</v>
      </c>
      <c r="J55" s="137">
        <f t="shared" si="23"/>
        <v>0</v>
      </c>
      <c r="K55" s="158">
        <f>SUMIF('Che.-Prod'!A:A,Used_before_Trf!A55,'Che.-Prod'!D:D)</f>
        <v>0</v>
      </c>
      <c r="L55" s="137">
        <f t="shared" si="24"/>
        <v>0</v>
      </c>
      <c r="M55" s="159">
        <f>SUMIF('Che.-Prod'!A:A,Used_before_Trf!A55,'Che.-Prod'!F:F)</f>
        <v>0</v>
      </c>
      <c r="N55" s="160">
        <f>SUMIF('Che.-Prod'!A:A,Used_before_Trf!A55,'Che.-Prod'!G:G)</f>
        <v>0</v>
      </c>
      <c r="O55" s="161">
        <f t="shared" si="25"/>
        <v>0</v>
      </c>
      <c r="P55" s="162">
        <f>SUMIF('Che.-Prod'!A:A,Used_before_Trf!A55,'Che.-Prod'!H:H)</f>
        <v>0</v>
      </c>
      <c r="Q55" s="160">
        <f>SUMIF('Che.-Prod'!A:A,Used_before_Trf!A55,'Che.-Prod'!P:P)</f>
        <v>0</v>
      </c>
      <c r="R55" s="161">
        <f t="shared" si="26"/>
        <v>0</v>
      </c>
      <c r="S55" s="159">
        <f>SUMIF('Che.-Prod'!A:A,Used_before_Trf!A55,'Che.-Prod'!R:R)</f>
        <v>0</v>
      </c>
      <c r="T55" s="169">
        <f t="shared" si="27"/>
        <v>0</v>
      </c>
      <c r="U55" s="507">
        <f t="shared" si="28"/>
        <v>0</v>
      </c>
      <c r="V55" s="170">
        <f t="shared" si="29"/>
        <v>0</v>
      </c>
      <c r="W55" s="158">
        <f>SUMIF('CHE-last month'!$A:$A,Used_before_Trf!A55,'CHE-last month'!C:C)</f>
        <v>0</v>
      </c>
      <c r="X55" s="520">
        <f t="shared" si="30"/>
        <v>0</v>
      </c>
      <c r="Y55" s="162">
        <f>SUMIF('CHE-last month'!$A:$A,Used_before_Trf!A55,'CHE-last month'!E:E)</f>
        <v>0</v>
      </c>
      <c r="Z55" s="159">
        <f t="shared" si="31"/>
        <v>0</v>
      </c>
      <c r="AA55" s="520">
        <f t="shared" si="32"/>
        <v>0</v>
      </c>
      <c r="AB55" s="159">
        <f t="shared" si="33"/>
        <v>0</v>
      </c>
      <c r="AC55" s="160">
        <f>SUMIFS(BalCom!M:M,BalCom!N:N,Used_before_Trf!A55,BalCom!C:C,Used_before_Trf!$AC$1)</f>
        <v>0</v>
      </c>
      <c r="AD55" s="171">
        <f t="shared" si="34"/>
        <v>0</v>
      </c>
      <c r="AE55" s="159">
        <f>SUMIFS(BalCom!P:P,BalCom!N:N,Used_before_Trf!A55,BalCom!C:C,Used_before_Trf!$AC$1)</f>
        <v>0</v>
      </c>
      <c r="AF55" s="160">
        <f>SUMIFS(BalDis!I:I,BalDis!J:J,Used_before_Trf!A55)</f>
        <v>0</v>
      </c>
      <c r="AG55" s="171">
        <f t="shared" si="35"/>
        <v>0</v>
      </c>
      <c r="AH55" s="162">
        <f>SUMIFS(BalDis!L:L,BalDis!J:J,Used_before_Trf!A55)</f>
        <v>0</v>
      </c>
      <c r="AI55" s="159">
        <f>SUMIFS(BalDip!$N$49:$N$75,BalDip!$C$49:$C$75,Used_before_Trf!A55)+SUMIFS(BalDip!$N$134:$N$157,BalDip!$C$134:$C$157,Used_before_Trf!A55)</f>
        <v>0</v>
      </c>
      <c r="AJ55" s="171">
        <f t="shared" si="36"/>
        <v>0</v>
      </c>
      <c r="AK55" s="177">
        <f>SUMIFS(BalDip!$N$80:$N$106,BalDip!$C$80:$C$106,Used_before_Trf!A55)+SUMIFS(BalDip!$N$161:$N$184,BalDip!$C$161:$C$184,Used_before_Trf!A55)</f>
        <v>0</v>
      </c>
      <c r="AL55" s="178">
        <f t="shared" si="37"/>
        <v>0</v>
      </c>
      <c r="AM55" s="179">
        <f t="shared" si="38"/>
        <v>0</v>
      </c>
      <c r="AN55" s="440">
        <f t="shared" si="39"/>
        <v>0</v>
      </c>
      <c r="AO55" s="180">
        <f t="shared" si="40"/>
        <v>0</v>
      </c>
    </row>
    <row r="56" spans="1:41" s="108" customFormat="1" ht="15" customHeight="1">
      <c r="A56" s="135" t="s">
        <v>275</v>
      </c>
      <c r="B56" s="511" t="s">
        <v>276</v>
      </c>
      <c r="C56" s="136">
        <f>SUMIF('Che-Store'!A:A,Used_before_Trf!A56,'Che-Store'!AC:AC)+SUMIF('Che-Comp'!A:A,Used_before_Trf!A56,'Che-Comp'!AC:AC)</f>
        <v>120040</v>
      </c>
      <c r="D56" s="137">
        <f t="shared" si="20"/>
        <v>8.4181774408530483</v>
      </c>
      <c r="E56" s="138">
        <f>SUMIF('Che-Store'!A:A,Used_before_Trf!A56,'Che-Store'!AE:AE)+SUMIF('Che-Comp'!A:A,Used_before_Trf!A56,'Che-Comp'!AE:AE)</f>
        <v>1010518.02</v>
      </c>
      <c r="F56" s="136">
        <f>SUMIFS('Che-Comp'!F:F,'Che-Comp'!$A:$A,Used_before_Trf!$A56)</f>
        <v>0</v>
      </c>
      <c r="G56" s="138">
        <f>SUMIFS('Che-Comp'!G:G,'Che-Comp'!$A:$A,Used_before_Trf!$A56)</f>
        <v>0</v>
      </c>
      <c r="H56" s="137">
        <f t="shared" si="21"/>
        <v>120040</v>
      </c>
      <c r="I56" s="137">
        <f t="shared" si="22"/>
        <v>8.4181774408530483</v>
      </c>
      <c r="J56" s="137">
        <f t="shared" si="23"/>
        <v>1010518.02</v>
      </c>
      <c r="K56" s="158">
        <f>SUMIF('Che.-Prod'!A:A,Used_before_Trf!A56,'Che.-Prod'!D:D)</f>
        <v>0</v>
      </c>
      <c r="L56" s="137">
        <f t="shared" si="24"/>
        <v>0</v>
      </c>
      <c r="M56" s="159">
        <f>SUMIF('Che.-Prod'!A:A,Used_before_Trf!A56,'Che.-Prod'!F:F)</f>
        <v>0</v>
      </c>
      <c r="N56" s="160">
        <f>SUMIF('Che.-Prod'!A:A,Used_before_Trf!A56,'Che.-Prod'!G:G)</f>
        <v>0</v>
      </c>
      <c r="O56" s="161">
        <f t="shared" si="25"/>
        <v>0</v>
      </c>
      <c r="P56" s="162">
        <f>SUMIF('Che.-Prod'!A:A,Used_before_Trf!A56,'Che.-Prod'!H:H)</f>
        <v>0</v>
      </c>
      <c r="Q56" s="160">
        <f>SUMIF('Che.-Prod'!A:A,Used_before_Trf!A56,'Che.-Prod'!P:P)</f>
        <v>0</v>
      </c>
      <c r="R56" s="161">
        <f t="shared" si="26"/>
        <v>0</v>
      </c>
      <c r="S56" s="159">
        <f>SUMIF('Che.-Prod'!A:A,Used_before_Trf!A56,'Che.-Prod'!R:R)</f>
        <v>0</v>
      </c>
      <c r="T56" s="169">
        <f t="shared" si="27"/>
        <v>120040</v>
      </c>
      <c r="U56" s="507">
        <f t="shared" si="28"/>
        <v>8.4181774408530483</v>
      </c>
      <c r="V56" s="170">
        <f t="shared" si="29"/>
        <v>1010518.02</v>
      </c>
      <c r="W56" s="158">
        <f>SUMIF('CHE-last month'!$A:$A,Used_before_Trf!A56,'CHE-last month'!C:C)</f>
        <v>27892.491640471886</v>
      </c>
      <c r="X56" s="520">
        <f t="shared" si="30"/>
        <v>8.2399651835518721</v>
      </c>
      <c r="Y56" s="162">
        <f>SUMIF('CHE-last month'!$A:$A,Used_before_Trf!A56,'CHE-last month'!E:E)</f>
        <v>229833.16</v>
      </c>
      <c r="Z56" s="159">
        <f t="shared" si="31"/>
        <v>35641.036573325473</v>
      </c>
      <c r="AA56" s="520">
        <f t="shared" si="32"/>
        <v>8.4181774394449267</v>
      </c>
      <c r="AB56" s="159">
        <f t="shared" si="33"/>
        <v>300032.57</v>
      </c>
      <c r="AC56" s="160">
        <f>SUMIFS(BalCom!M:M,BalCom!N:N,Used_before_Trf!A56,BalCom!C:C,Used_before_Trf!$AC$1)</f>
        <v>0</v>
      </c>
      <c r="AD56" s="171">
        <f t="shared" si="34"/>
        <v>0</v>
      </c>
      <c r="AE56" s="159">
        <f>SUMIFS(BalCom!P:P,BalCom!N:N,Used_before_Trf!A56,BalCom!C:C,Used_before_Trf!$AC$1)</f>
        <v>0</v>
      </c>
      <c r="AF56" s="160">
        <f>SUMIFS(BalDis!I:I,BalDis!J:J,Used_before_Trf!A56)</f>
        <v>33953.906573325476</v>
      </c>
      <c r="AG56" s="171">
        <f t="shared" si="35"/>
        <v>8.4181774307098696</v>
      </c>
      <c r="AH56" s="162">
        <f>SUMIFS(BalDis!L:L,BalDis!J:J,Used_before_Trf!A56)</f>
        <v>285830.01</v>
      </c>
      <c r="AI56" s="159">
        <f>SUMIFS(BalDip!$N$49:$N$75,BalDip!$C$49:$C$75,Used_before_Trf!A56)+SUMIFS(BalDip!$N$134:$N$157,BalDip!$C$134:$C$157,Used_before_Trf!A56)</f>
        <v>1687.13</v>
      </c>
      <c r="AJ56" s="171">
        <f t="shared" si="36"/>
        <v>8.4181776152400811</v>
      </c>
      <c r="AK56" s="177">
        <f>SUMIFS(BalDip!$N$80:$N$106,BalDip!$C$80:$C$106,Used_before_Trf!A56)+SUMIFS(BalDip!$N$161:$N$184,BalDip!$C$161:$C$184,Used_before_Trf!A56)</f>
        <v>14202.56</v>
      </c>
      <c r="AL56" s="178">
        <f t="shared" si="37"/>
        <v>112291.45506714641</v>
      </c>
      <c r="AM56" s="179">
        <f t="shared" si="38"/>
        <v>8.3739106367240659</v>
      </c>
      <c r="AN56" s="440">
        <f t="shared" si="39"/>
        <v>940318.60999999987</v>
      </c>
      <c r="AO56" s="180">
        <f t="shared" si="40"/>
        <v>-4.4266804128982429E-2</v>
      </c>
    </row>
    <row r="57" spans="1:41" s="108" customFormat="1" ht="15" customHeight="1">
      <c r="A57" s="135" t="s">
        <v>277</v>
      </c>
      <c r="B57" s="511" t="s">
        <v>278</v>
      </c>
      <c r="C57" s="136">
        <f>SUMIF('Che-Store'!A:A,Used_before_Trf!A57,'Che-Store'!AC:AC)+SUMIF('Che-Comp'!A:A,Used_before_Trf!A57,'Che-Comp'!AC:AC)</f>
        <v>2400</v>
      </c>
      <c r="D57" s="137">
        <f t="shared" si="20"/>
        <v>32.035420833333333</v>
      </c>
      <c r="E57" s="138">
        <f>SUMIF('Che-Store'!A:A,Used_before_Trf!A57,'Che-Store'!AE:AE)+SUMIF('Che-Comp'!A:A,Used_before_Trf!A57,'Che-Comp'!AE:AE)</f>
        <v>76885.009999999995</v>
      </c>
      <c r="F57" s="136">
        <f>SUMIFS('Che-Comp'!F:F,'Che-Comp'!$A:$A,Used_before_Trf!$A57)</f>
        <v>0</v>
      </c>
      <c r="G57" s="138">
        <f>SUMIFS('Che-Comp'!G:G,'Che-Comp'!$A:$A,Used_before_Trf!$A57)</f>
        <v>0</v>
      </c>
      <c r="H57" s="137">
        <f t="shared" si="21"/>
        <v>2400</v>
      </c>
      <c r="I57" s="137">
        <f t="shared" si="22"/>
        <v>32.035420833333333</v>
      </c>
      <c r="J57" s="137">
        <f t="shared" si="23"/>
        <v>76885.009999999995</v>
      </c>
      <c r="K57" s="158">
        <f>SUMIF('Che.-Prod'!A:A,Used_before_Trf!A57,'Che.-Prod'!D:D)</f>
        <v>0</v>
      </c>
      <c r="L57" s="137">
        <f t="shared" si="24"/>
        <v>0</v>
      </c>
      <c r="M57" s="159">
        <f>SUMIF('Che.-Prod'!A:A,Used_before_Trf!A57,'Che.-Prod'!F:F)</f>
        <v>0</v>
      </c>
      <c r="N57" s="160">
        <f>SUMIF('Che.-Prod'!A:A,Used_before_Trf!A57,'Che.-Prod'!G:G)</f>
        <v>0</v>
      </c>
      <c r="O57" s="161">
        <f t="shared" si="25"/>
        <v>0</v>
      </c>
      <c r="P57" s="162">
        <f>SUMIF('Che.-Prod'!A:A,Used_before_Trf!A57,'Che.-Prod'!H:H)</f>
        <v>0</v>
      </c>
      <c r="Q57" s="160">
        <f>SUMIF('Che.-Prod'!A:A,Used_before_Trf!A57,'Che.-Prod'!P:P)</f>
        <v>0</v>
      </c>
      <c r="R57" s="161">
        <f t="shared" si="26"/>
        <v>0</v>
      </c>
      <c r="S57" s="159">
        <f>SUMIF('Che.-Prod'!A:A,Used_before_Trf!A57,'Che.-Prod'!R:R)</f>
        <v>0</v>
      </c>
      <c r="T57" s="169">
        <f t="shared" si="27"/>
        <v>2400</v>
      </c>
      <c r="U57" s="507">
        <f t="shared" si="28"/>
        <v>32.035420833333333</v>
      </c>
      <c r="V57" s="170">
        <f t="shared" si="29"/>
        <v>76885.009999999995</v>
      </c>
      <c r="W57" s="158">
        <f>SUMIF('CHE-last month'!$A:$A,Used_before_Trf!A57,'CHE-last month'!C:C)</f>
        <v>770.12553201006278</v>
      </c>
      <c r="X57" s="520">
        <f t="shared" si="30"/>
        <v>34.999969329218139</v>
      </c>
      <c r="Y57" s="162">
        <f>SUMIF('CHE-last month'!$A:$A,Used_before_Trf!A57,'CHE-last month'!E:E)</f>
        <v>26954.37</v>
      </c>
      <c r="Z57" s="159">
        <f t="shared" si="31"/>
        <v>1071.599451347231</v>
      </c>
      <c r="AA57" s="520">
        <f t="shared" si="32"/>
        <v>32.035402740119842</v>
      </c>
      <c r="AB57" s="159">
        <f t="shared" si="33"/>
        <v>34329.120000000003</v>
      </c>
      <c r="AC57" s="160">
        <f>SUMIFS(BalCom!M:M,BalCom!N:N,Used_before_Trf!A57,BalCom!C:C,Used_before_Trf!$AC$1)</f>
        <v>688.65837933385785</v>
      </c>
      <c r="AD57" s="171">
        <f t="shared" si="34"/>
        <v>32.035404871338578</v>
      </c>
      <c r="AE57" s="159">
        <f>SUMIFS(BalCom!P:P,BalCom!N:N,Used_before_Trf!A57,BalCom!C:C,Used_before_Trf!$AC$1)</f>
        <v>22061.45</v>
      </c>
      <c r="AF57" s="160">
        <f>SUMIFS(BalDis!I:I,BalDis!J:J,Used_before_Trf!A57)</f>
        <v>262.43333333333334</v>
      </c>
      <c r="AG57" s="171">
        <f t="shared" si="35"/>
        <v>32.035412168169692</v>
      </c>
      <c r="AH57" s="162">
        <f>SUMIFS(BalDis!L:L,BalDis!J:J,Used_before_Trf!A57)</f>
        <v>8407.16</v>
      </c>
      <c r="AI57" s="159">
        <f>SUMIFS(BalDip!$N$49:$N$75,BalDip!$C$49:$C$75,Used_before_Trf!A57)+SUMIFS(BalDip!$N$134:$N$157,BalDip!$C$134:$C$157,Used_before_Trf!A57)</f>
        <v>120.50773868003985</v>
      </c>
      <c r="AJ57" s="171">
        <f t="shared" si="36"/>
        <v>32.035370029223117</v>
      </c>
      <c r="AK57" s="177">
        <f>SUMIFS(BalDip!$N$80:$N$106,BalDip!$C$80:$C$106,Used_before_Trf!A57)+SUMIFS(BalDip!$N$161:$N$184,BalDip!$C$161:$C$184,Used_before_Trf!A57)</f>
        <v>3860.51</v>
      </c>
      <c r="AL57" s="178">
        <f t="shared" si="37"/>
        <v>2098.5260806628316</v>
      </c>
      <c r="AM57" s="179">
        <f t="shared" si="38"/>
        <v>33.123371989756144</v>
      </c>
      <c r="AN57" s="440">
        <f t="shared" si="39"/>
        <v>69510.25999999998</v>
      </c>
      <c r="AO57" s="180">
        <f t="shared" si="40"/>
        <v>1.087951156422811</v>
      </c>
    </row>
    <row r="58" spans="1:41" s="108" customFormat="1" ht="15" customHeight="1">
      <c r="A58" s="135" t="s">
        <v>279</v>
      </c>
      <c r="B58" s="511" t="s">
        <v>280</v>
      </c>
      <c r="C58" s="136">
        <f>SUMIF('Che-Store'!A:A,Used_before_Trf!A58,'Che-Store'!AC:AC)+SUMIF('Che-Comp'!A:A,Used_before_Trf!A58,'Che-Comp'!AC:AC)</f>
        <v>21250</v>
      </c>
      <c r="D58" s="137">
        <f t="shared" si="20"/>
        <v>20.738312000000001</v>
      </c>
      <c r="E58" s="138">
        <f>SUMIF('Che-Store'!A:A,Used_before_Trf!A58,'Che-Store'!AE:AE)+SUMIF('Che-Comp'!A:A,Used_before_Trf!A58,'Che-Comp'!AE:AE)</f>
        <v>440689.13</v>
      </c>
      <c r="F58" s="136">
        <f>SUMIFS('Che-Comp'!F:F,'Che-Comp'!$A:$A,Used_before_Trf!$A58)</f>
        <v>0</v>
      </c>
      <c r="G58" s="138">
        <f>SUMIFS('Che-Comp'!G:G,'Che-Comp'!$A:$A,Used_before_Trf!$A58)</f>
        <v>0</v>
      </c>
      <c r="H58" s="137">
        <f t="shared" si="21"/>
        <v>21250</v>
      </c>
      <c r="I58" s="137">
        <f t="shared" si="22"/>
        <v>20.738312000000001</v>
      </c>
      <c r="J58" s="137">
        <f t="shared" si="23"/>
        <v>440689.13</v>
      </c>
      <c r="K58" s="158">
        <f>SUMIF('Che.-Prod'!A:A,Used_before_Trf!A58,'Che.-Prod'!D:D)</f>
        <v>0</v>
      </c>
      <c r="L58" s="137">
        <f t="shared" si="24"/>
        <v>0</v>
      </c>
      <c r="M58" s="159">
        <f>SUMIF('Che.-Prod'!A:A,Used_before_Trf!A58,'Che.-Prod'!F:F)</f>
        <v>0</v>
      </c>
      <c r="N58" s="160">
        <f>SUMIF('Che.-Prod'!A:A,Used_before_Trf!A58,'Che.-Prod'!G:G)</f>
        <v>0</v>
      </c>
      <c r="O58" s="161">
        <f t="shared" si="25"/>
        <v>0</v>
      </c>
      <c r="P58" s="162">
        <f>SUMIF('Che.-Prod'!A:A,Used_before_Trf!A58,'Che.-Prod'!H:H)</f>
        <v>0</v>
      </c>
      <c r="Q58" s="160">
        <f>SUMIF('Che.-Prod'!A:A,Used_before_Trf!A58,'Che.-Prod'!P:P)</f>
        <v>0</v>
      </c>
      <c r="R58" s="161">
        <f t="shared" si="26"/>
        <v>0</v>
      </c>
      <c r="S58" s="159">
        <f>SUMIF('Che.-Prod'!A:A,Used_before_Trf!A58,'Che.-Prod'!R:R)</f>
        <v>0</v>
      </c>
      <c r="T58" s="169">
        <f t="shared" si="27"/>
        <v>21250</v>
      </c>
      <c r="U58" s="507">
        <f t="shared" si="28"/>
        <v>20.738312000000001</v>
      </c>
      <c r="V58" s="170">
        <f t="shared" si="29"/>
        <v>440689.13</v>
      </c>
      <c r="W58" s="158">
        <f>SUMIF('CHE-last month'!$A:$A,Used_before_Trf!A58,'CHE-last month'!C:C)</f>
        <v>974.02614677830638</v>
      </c>
      <c r="X58" s="520">
        <f t="shared" si="30"/>
        <v>20.689454863871042</v>
      </c>
      <c r="Y58" s="162">
        <f>SUMIF('CHE-last month'!$A:$A,Used_before_Trf!A58,'CHE-last month'!E:E)</f>
        <v>20152.07</v>
      </c>
      <c r="Z58" s="159">
        <f t="shared" si="31"/>
        <v>3360.3383166241501</v>
      </c>
      <c r="AA58" s="520">
        <f t="shared" si="32"/>
        <v>20.738310679982192</v>
      </c>
      <c r="AB58" s="159">
        <f t="shared" si="33"/>
        <v>69687.739999999991</v>
      </c>
      <c r="AC58" s="160">
        <f>SUMIFS(BalCom!M:M,BalCom!N:N,Used_before_Trf!A58,BalCom!C:C,Used_before_Trf!$AC$1)</f>
        <v>2598.2097064021596</v>
      </c>
      <c r="AD58" s="171">
        <f t="shared" si="34"/>
        <v>20.7383106402959</v>
      </c>
      <c r="AE58" s="159">
        <f>SUMIFS(BalCom!P:P,BalCom!N:N,Used_before_Trf!A58,BalCom!C:C,Used_before_Trf!$AC$1)</f>
        <v>53882.479999999996</v>
      </c>
      <c r="AF58" s="160">
        <f>SUMIFS(BalDis!I:I,BalDis!J:J,Used_before_Trf!A58)</f>
        <v>0</v>
      </c>
      <c r="AG58" s="171">
        <f t="shared" si="35"/>
        <v>0</v>
      </c>
      <c r="AH58" s="162">
        <f>SUMIFS(BalDis!L:L,BalDis!J:J,Used_before_Trf!A58)</f>
        <v>0</v>
      </c>
      <c r="AI58" s="159">
        <f>SUMIFS(BalDip!$N$49:$N$75,BalDip!$C$49:$C$75,Used_before_Trf!A58)+SUMIFS(BalDip!$N$134:$N$157,BalDip!$C$134:$C$157,Used_before_Trf!A58)</f>
        <v>762.1286102219907</v>
      </c>
      <c r="AJ58" s="171">
        <f t="shared" si="36"/>
        <v>20.738310815278652</v>
      </c>
      <c r="AK58" s="177">
        <f>SUMIFS(BalDip!$N$80:$N$106,BalDip!$C$80:$C$106,Used_before_Trf!A58)+SUMIFS(BalDip!$N$161:$N$184,BalDip!$C$161:$C$184,Used_before_Trf!A58)</f>
        <v>15805.259999999998</v>
      </c>
      <c r="AL58" s="178">
        <f t="shared" si="37"/>
        <v>18863.687830154155</v>
      </c>
      <c r="AM58" s="179">
        <f t="shared" si="38"/>
        <v>20.735789497890746</v>
      </c>
      <c r="AN58" s="440">
        <f t="shared" si="39"/>
        <v>391153.46</v>
      </c>
      <c r="AO58" s="180">
        <f t="shared" si="40"/>
        <v>-2.5225021092545319E-3</v>
      </c>
    </row>
    <row r="59" spans="1:41" s="108" customFormat="1" ht="15" customHeight="1">
      <c r="A59" s="135" t="s">
        <v>281</v>
      </c>
      <c r="B59" s="511" t="s">
        <v>282</v>
      </c>
      <c r="C59" s="136">
        <f>SUMIF('Che-Store'!A:A,Used_before_Trf!A59,'Che-Store'!AC:AC)+SUMIF('Che-Comp'!A:A,Used_before_Trf!A59,'Che-Comp'!AC:AC)</f>
        <v>0</v>
      </c>
      <c r="D59" s="137">
        <f t="shared" si="20"/>
        <v>0</v>
      </c>
      <c r="E59" s="138">
        <f>SUMIF('Che-Store'!A:A,Used_before_Trf!A59,'Che-Store'!AE:AE)+SUMIF('Che-Comp'!A:A,Used_before_Trf!A59,'Che-Comp'!AE:AE)</f>
        <v>0</v>
      </c>
      <c r="F59" s="136">
        <f>SUMIFS('Che-Comp'!F:F,'Che-Comp'!$A:$A,Used_before_Trf!$A59)</f>
        <v>0</v>
      </c>
      <c r="G59" s="138">
        <f>SUMIFS('Che-Comp'!G:G,'Che-Comp'!$A:$A,Used_before_Trf!$A59)</f>
        <v>0</v>
      </c>
      <c r="H59" s="137">
        <f t="shared" si="21"/>
        <v>0</v>
      </c>
      <c r="I59" s="137">
        <f t="shared" si="22"/>
        <v>0</v>
      </c>
      <c r="J59" s="137">
        <f t="shared" si="23"/>
        <v>0</v>
      </c>
      <c r="K59" s="158">
        <f>SUMIF('Che.-Prod'!A:A,Used_before_Trf!A59,'Che.-Prod'!D:D)</f>
        <v>0</v>
      </c>
      <c r="L59" s="137">
        <f t="shared" si="24"/>
        <v>0</v>
      </c>
      <c r="M59" s="159">
        <f>SUMIF('Che.-Prod'!A:A,Used_before_Trf!A59,'Che.-Prod'!F:F)</f>
        <v>0</v>
      </c>
      <c r="N59" s="160">
        <f>SUMIF('Che.-Prod'!A:A,Used_before_Trf!A59,'Che.-Prod'!G:G)</f>
        <v>0</v>
      </c>
      <c r="O59" s="161">
        <f t="shared" si="25"/>
        <v>0</v>
      </c>
      <c r="P59" s="162">
        <f>SUMIF('Che.-Prod'!A:A,Used_before_Trf!A59,'Che.-Prod'!H:H)</f>
        <v>0</v>
      </c>
      <c r="Q59" s="160">
        <f>SUMIF('Che.-Prod'!A:A,Used_before_Trf!A59,'Che.-Prod'!P:P)</f>
        <v>0</v>
      </c>
      <c r="R59" s="161">
        <f t="shared" si="26"/>
        <v>0</v>
      </c>
      <c r="S59" s="159">
        <f>SUMIF('Che.-Prod'!A:A,Used_before_Trf!A59,'Che.-Prod'!R:R)</f>
        <v>0</v>
      </c>
      <c r="T59" s="169">
        <f t="shared" si="27"/>
        <v>0</v>
      </c>
      <c r="U59" s="507">
        <f t="shared" si="28"/>
        <v>0</v>
      </c>
      <c r="V59" s="170">
        <f t="shared" si="29"/>
        <v>0</v>
      </c>
      <c r="W59" s="158">
        <f>SUMIF('CHE-last month'!$A:$A,Used_before_Trf!A59,'CHE-last month'!C:C)</f>
        <v>0</v>
      </c>
      <c r="X59" s="520">
        <f t="shared" si="30"/>
        <v>0</v>
      </c>
      <c r="Y59" s="162">
        <f>SUMIF('CHE-last month'!$A:$A,Used_before_Trf!A59,'CHE-last month'!E:E)</f>
        <v>0</v>
      </c>
      <c r="Z59" s="159">
        <f t="shared" si="31"/>
        <v>0</v>
      </c>
      <c r="AA59" s="520">
        <f t="shared" si="32"/>
        <v>0</v>
      </c>
      <c r="AB59" s="159">
        <f t="shared" si="33"/>
        <v>0</v>
      </c>
      <c r="AC59" s="160">
        <f>SUMIFS(BalCom!M:M,BalCom!N:N,Used_before_Trf!A59,BalCom!C:C,Used_before_Trf!$AC$1)</f>
        <v>0</v>
      </c>
      <c r="AD59" s="171">
        <f t="shared" si="34"/>
        <v>0</v>
      </c>
      <c r="AE59" s="159">
        <f>SUMIFS(BalCom!P:P,BalCom!N:N,Used_before_Trf!A59,BalCom!C:C,Used_before_Trf!$AC$1)</f>
        <v>0</v>
      </c>
      <c r="AF59" s="160">
        <f>SUMIFS(BalDis!I:I,BalDis!J:J,Used_before_Trf!A59)</f>
        <v>0</v>
      </c>
      <c r="AG59" s="171">
        <f t="shared" si="35"/>
        <v>0</v>
      </c>
      <c r="AH59" s="162">
        <f>SUMIFS(BalDis!L:L,BalDis!J:J,Used_before_Trf!A59)</f>
        <v>0</v>
      </c>
      <c r="AI59" s="159">
        <f>SUMIFS(BalDip!$N$49:$N$75,BalDip!$C$49:$C$75,Used_before_Trf!A59)+SUMIFS(BalDip!$N$134:$N$157,BalDip!$C$134:$C$157,Used_before_Trf!A59)</f>
        <v>0</v>
      </c>
      <c r="AJ59" s="171">
        <f t="shared" si="36"/>
        <v>0</v>
      </c>
      <c r="AK59" s="177">
        <f>SUMIFS(BalDip!$N$80:$N$106,BalDip!$C$80:$C$106,Used_before_Trf!A59)+SUMIFS(BalDip!$N$161:$N$184,BalDip!$C$161:$C$184,Used_before_Trf!A59)</f>
        <v>0</v>
      </c>
      <c r="AL59" s="178">
        <f t="shared" si="37"/>
        <v>0</v>
      </c>
      <c r="AM59" s="179">
        <f t="shared" si="38"/>
        <v>0</v>
      </c>
      <c r="AN59" s="440">
        <f t="shared" si="39"/>
        <v>0</v>
      </c>
      <c r="AO59" s="180">
        <f t="shared" si="40"/>
        <v>0</v>
      </c>
    </row>
    <row r="60" spans="1:41" s="108" customFormat="1" ht="15" customHeight="1">
      <c r="A60" s="135" t="s">
        <v>283</v>
      </c>
      <c r="B60" s="511" t="s">
        <v>284</v>
      </c>
      <c r="C60" s="136">
        <f>SUMIF('Che-Store'!A:A,Used_before_Trf!A60,'Che-Store'!AC:AC)+SUMIF('Che-Comp'!A:A,Used_before_Trf!A60,'Che-Comp'!AC:AC)</f>
        <v>0</v>
      </c>
      <c r="D60" s="137">
        <f t="shared" si="20"/>
        <v>0</v>
      </c>
      <c r="E60" s="138">
        <f>SUMIF('Che-Store'!A:A,Used_before_Trf!A60,'Che-Store'!AE:AE)+SUMIF('Che-Comp'!A:A,Used_before_Trf!A60,'Che-Comp'!AE:AE)</f>
        <v>0</v>
      </c>
      <c r="F60" s="136">
        <f>SUMIFS('Che-Comp'!F:F,'Che-Comp'!$A:$A,Used_before_Trf!$A60)</f>
        <v>0</v>
      </c>
      <c r="G60" s="138">
        <f>SUMIFS('Che-Comp'!G:G,'Che-Comp'!$A:$A,Used_before_Trf!$A60)</f>
        <v>0</v>
      </c>
      <c r="H60" s="137">
        <f t="shared" si="21"/>
        <v>0</v>
      </c>
      <c r="I60" s="137">
        <f t="shared" si="22"/>
        <v>0</v>
      </c>
      <c r="J60" s="137">
        <f t="shared" si="23"/>
        <v>0</v>
      </c>
      <c r="K60" s="158">
        <f>SUMIF('Che.-Prod'!A:A,Used_before_Trf!A60,'Che.-Prod'!D:D)</f>
        <v>0</v>
      </c>
      <c r="L60" s="137">
        <f t="shared" si="24"/>
        <v>0</v>
      </c>
      <c r="M60" s="159">
        <f>SUMIF('Che.-Prod'!A:A,Used_before_Trf!A60,'Che.-Prod'!F:F)</f>
        <v>0</v>
      </c>
      <c r="N60" s="160">
        <f>SUMIF('Che.-Prod'!A:A,Used_before_Trf!A60,'Che.-Prod'!G:G)</f>
        <v>0</v>
      </c>
      <c r="O60" s="161">
        <f t="shared" si="25"/>
        <v>0</v>
      </c>
      <c r="P60" s="162">
        <f>SUMIF('Che.-Prod'!A:A,Used_before_Trf!A60,'Che.-Prod'!H:H)</f>
        <v>0</v>
      </c>
      <c r="Q60" s="160">
        <f>SUMIF('Che.-Prod'!A:A,Used_before_Trf!A60,'Che.-Prod'!P:P)</f>
        <v>0</v>
      </c>
      <c r="R60" s="161">
        <f t="shared" si="26"/>
        <v>0</v>
      </c>
      <c r="S60" s="159">
        <f>SUMIF('Che.-Prod'!A:A,Used_before_Trf!A60,'Che.-Prod'!R:R)</f>
        <v>0</v>
      </c>
      <c r="T60" s="169">
        <f t="shared" si="27"/>
        <v>0</v>
      </c>
      <c r="U60" s="507">
        <f t="shared" si="28"/>
        <v>0</v>
      </c>
      <c r="V60" s="170">
        <f t="shared" si="29"/>
        <v>0</v>
      </c>
      <c r="W60" s="158">
        <f>SUMIF('CHE-last month'!$A:$A,Used_before_Trf!A60,'CHE-last month'!C:C)</f>
        <v>0</v>
      </c>
      <c r="X60" s="520">
        <f t="shared" si="30"/>
        <v>0</v>
      </c>
      <c r="Y60" s="162">
        <f>SUMIF('CHE-last month'!$A:$A,Used_before_Trf!A60,'CHE-last month'!E:E)</f>
        <v>0</v>
      </c>
      <c r="Z60" s="159">
        <f t="shared" si="31"/>
        <v>0</v>
      </c>
      <c r="AA60" s="520">
        <f t="shared" si="32"/>
        <v>0</v>
      </c>
      <c r="AB60" s="159">
        <f t="shared" si="33"/>
        <v>0</v>
      </c>
      <c r="AC60" s="160">
        <f>SUMIFS(BalCom!M:M,BalCom!N:N,Used_before_Trf!A60,BalCom!C:C,Used_before_Trf!$AC$1)</f>
        <v>0</v>
      </c>
      <c r="AD60" s="171">
        <f t="shared" si="34"/>
        <v>0</v>
      </c>
      <c r="AE60" s="159">
        <f>SUMIFS(BalCom!P:P,BalCom!N:N,Used_before_Trf!A60,BalCom!C:C,Used_before_Trf!$AC$1)</f>
        <v>0</v>
      </c>
      <c r="AF60" s="160">
        <f>SUMIFS(BalDis!I:I,BalDis!J:J,Used_before_Trf!A60)</f>
        <v>0</v>
      </c>
      <c r="AG60" s="171">
        <f t="shared" si="35"/>
        <v>0</v>
      </c>
      <c r="AH60" s="162">
        <f>SUMIFS(BalDis!L:L,BalDis!J:J,Used_before_Trf!A60)</f>
        <v>0</v>
      </c>
      <c r="AI60" s="159">
        <f>SUMIFS(BalDip!$N$49:$N$75,BalDip!$C$49:$C$75,Used_before_Trf!A60)+SUMIFS(BalDip!$N$134:$N$157,BalDip!$C$134:$C$157,Used_before_Trf!A60)</f>
        <v>0</v>
      </c>
      <c r="AJ60" s="171">
        <f t="shared" si="36"/>
        <v>0</v>
      </c>
      <c r="AK60" s="177">
        <f>SUMIFS(BalDip!$N$80:$N$106,BalDip!$C$80:$C$106,Used_before_Trf!A60)+SUMIFS(BalDip!$N$161:$N$184,BalDip!$C$161:$C$184,Used_before_Trf!A60)</f>
        <v>0</v>
      </c>
      <c r="AL60" s="178">
        <f t="shared" si="37"/>
        <v>0</v>
      </c>
      <c r="AM60" s="179">
        <f t="shared" si="38"/>
        <v>0</v>
      </c>
      <c r="AN60" s="440">
        <f t="shared" si="39"/>
        <v>0</v>
      </c>
      <c r="AO60" s="180">
        <f t="shared" si="40"/>
        <v>0</v>
      </c>
    </row>
    <row r="61" spans="1:41" s="108" customFormat="1" ht="15.6" customHeight="1">
      <c r="A61" s="135" t="s">
        <v>285</v>
      </c>
      <c r="B61" s="511" t="s">
        <v>286</v>
      </c>
      <c r="C61" s="136">
        <f>SUMIF('Che-Store'!A:A,Used_before_Trf!A61,'Che-Store'!AC:AC)+SUMIF('Che-Comp'!A:A,Used_before_Trf!A61,'Che-Comp'!AC:AC)</f>
        <v>0</v>
      </c>
      <c r="D61" s="137">
        <f t="shared" si="20"/>
        <v>0</v>
      </c>
      <c r="E61" s="138">
        <f>SUMIF('Che-Store'!A:A,Used_before_Trf!A61,'Che-Store'!AE:AE)+SUMIF('Che-Comp'!A:A,Used_before_Trf!A61,'Che-Comp'!AE:AE)</f>
        <v>0</v>
      </c>
      <c r="F61" s="136">
        <f>SUMIFS('Che-Comp'!F:F,'Che-Comp'!$A:$A,Used_before_Trf!$A61)</f>
        <v>0</v>
      </c>
      <c r="G61" s="138">
        <f>SUMIFS('Che-Comp'!G:G,'Che-Comp'!$A:$A,Used_before_Trf!$A61)</f>
        <v>0</v>
      </c>
      <c r="H61" s="137">
        <f t="shared" si="21"/>
        <v>0</v>
      </c>
      <c r="I61" s="137">
        <f t="shared" si="22"/>
        <v>0</v>
      </c>
      <c r="J61" s="137">
        <f t="shared" si="23"/>
        <v>0</v>
      </c>
      <c r="K61" s="158">
        <f>SUMIF('Che.-Prod'!A:A,Used_before_Trf!A61,'Che.-Prod'!D:D)</f>
        <v>0</v>
      </c>
      <c r="L61" s="137">
        <f t="shared" si="24"/>
        <v>0</v>
      </c>
      <c r="M61" s="159">
        <f>SUMIF('Che.-Prod'!A:A,Used_before_Trf!A61,'Che.-Prod'!F:F)</f>
        <v>0</v>
      </c>
      <c r="N61" s="160">
        <f>SUMIF('Che.-Prod'!A:A,Used_before_Trf!A61,'Che.-Prod'!G:G)</f>
        <v>0</v>
      </c>
      <c r="O61" s="161">
        <f t="shared" si="25"/>
        <v>0</v>
      </c>
      <c r="P61" s="162">
        <f>SUMIF('Che.-Prod'!A:A,Used_before_Trf!A61,'Che.-Prod'!H:H)</f>
        <v>0</v>
      </c>
      <c r="Q61" s="160">
        <f>SUMIF('Che.-Prod'!A:A,Used_before_Trf!A61,'Che.-Prod'!P:P)</f>
        <v>0</v>
      </c>
      <c r="R61" s="161">
        <f t="shared" si="26"/>
        <v>0</v>
      </c>
      <c r="S61" s="159">
        <f>SUMIF('Che.-Prod'!A:A,Used_before_Trf!A61,'Che.-Prod'!R:R)</f>
        <v>0</v>
      </c>
      <c r="T61" s="169">
        <f t="shared" si="27"/>
        <v>0</v>
      </c>
      <c r="U61" s="507">
        <f t="shared" si="28"/>
        <v>0</v>
      </c>
      <c r="V61" s="170">
        <f t="shared" si="29"/>
        <v>0</v>
      </c>
      <c r="W61" s="158">
        <f>SUMIF('CHE-last month'!$A:$A,Used_before_Trf!A61,'CHE-last month'!C:C)</f>
        <v>0</v>
      </c>
      <c r="X61" s="520">
        <f t="shared" si="30"/>
        <v>0</v>
      </c>
      <c r="Y61" s="162">
        <f>SUMIF('CHE-last month'!$A:$A,Used_before_Trf!A61,'CHE-last month'!E:E)</f>
        <v>0</v>
      </c>
      <c r="Z61" s="159">
        <f t="shared" si="31"/>
        <v>0</v>
      </c>
      <c r="AA61" s="520">
        <f t="shared" si="32"/>
        <v>0</v>
      </c>
      <c r="AB61" s="159">
        <f t="shared" si="33"/>
        <v>0</v>
      </c>
      <c r="AC61" s="160">
        <f>SUMIFS(BalCom!M:M,BalCom!N:N,Used_before_Trf!A61,BalCom!C:C,Used_before_Trf!$AC$1)</f>
        <v>0</v>
      </c>
      <c r="AD61" s="171">
        <f t="shared" si="34"/>
        <v>0</v>
      </c>
      <c r="AE61" s="159">
        <f>SUMIFS(BalCom!P:P,BalCom!N:N,Used_before_Trf!A61,BalCom!C:C,Used_before_Trf!$AC$1)</f>
        <v>0</v>
      </c>
      <c r="AF61" s="160">
        <f>SUMIFS(BalDis!I:I,BalDis!J:J,Used_before_Trf!A61)</f>
        <v>0</v>
      </c>
      <c r="AG61" s="171">
        <f t="shared" si="35"/>
        <v>0</v>
      </c>
      <c r="AH61" s="162">
        <f>SUMIFS(BalDis!L:L,BalDis!J:J,Used_before_Trf!A61)</f>
        <v>0</v>
      </c>
      <c r="AI61" s="159">
        <f>SUMIFS(BalDip!$N$49:$N$75,BalDip!$C$49:$C$75,Used_before_Trf!A61)+SUMIFS(BalDip!$N$134:$N$157,BalDip!$C$134:$C$157,Used_before_Trf!A61)</f>
        <v>0</v>
      </c>
      <c r="AJ61" s="171">
        <f t="shared" si="36"/>
        <v>0</v>
      </c>
      <c r="AK61" s="177">
        <f>SUMIFS(BalDip!$N$80:$N$106,BalDip!$C$80:$C$106,Used_before_Trf!A61)+SUMIFS(BalDip!$N$161:$N$184,BalDip!$C$161:$C$184,Used_before_Trf!A61)</f>
        <v>0</v>
      </c>
      <c r="AL61" s="178">
        <f t="shared" si="37"/>
        <v>0</v>
      </c>
      <c r="AM61" s="179">
        <f t="shared" si="38"/>
        <v>0</v>
      </c>
      <c r="AN61" s="440">
        <f t="shared" si="39"/>
        <v>0</v>
      </c>
      <c r="AO61" s="180">
        <f t="shared" si="40"/>
        <v>0</v>
      </c>
    </row>
    <row r="62" spans="1:41" s="108" customFormat="1" ht="15" customHeight="1">
      <c r="A62" s="135" t="s">
        <v>287</v>
      </c>
      <c r="B62" s="511" t="s">
        <v>288</v>
      </c>
      <c r="C62" s="136">
        <f>SUMIF('Che-Store'!A:A,Used_before_Trf!A62,'Che-Store'!AC:AC)+SUMIF('Che-Comp'!A:A,Used_before_Trf!A62,'Che-Comp'!AC:AC)</f>
        <v>0</v>
      </c>
      <c r="D62" s="137">
        <f t="shared" si="20"/>
        <v>0</v>
      </c>
      <c r="E62" s="138">
        <f>SUMIF('Che-Store'!A:A,Used_before_Trf!A62,'Che-Store'!AE:AE)+SUMIF('Che-Comp'!A:A,Used_before_Trf!A62,'Che-Comp'!AE:AE)</f>
        <v>0</v>
      </c>
      <c r="F62" s="136">
        <f>SUMIFS('Che-Comp'!F:F,'Che-Comp'!$A:$A,Used_before_Trf!$A62)</f>
        <v>0</v>
      </c>
      <c r="G62" s="138">
        <f>SUMIFS('Che-Comp'!G:G,'Che-Comp'!$A:$A,Used_before_Trf!$A62)</f>
        <v>0</v>
      </c>
      <c r="H62" s="137">
        <f t="shared" si="21"/>
        <v>0</v>
      </c>
      <c r="I62" s="137">
        <f t="shared" si="22"/>
        <v>0</v>
      </c>
      <c r="J62" s="137">
        <f t="shared" si="23"/>
        <v>0</v>
      </c>
      <c r="K62" s="158">
        <f>SUMIF('Che.-Prod'!A:A,Used_before_Trf!A62,'Che.-Prod'!D:D)</f>
        <v>0</v>
      </c>
      <c r="L62" s="137">
        <f t="shared" si="24"/>
        <v>0</v>
      </c>
      <c r="M62" s="159">
        <f>SUMIF('Che.-Prod'!A:A,Used_before_Trf!A62,'Che.-Prod'!F:F)</f>
        <v>0</v>
      </c>
      <c r="N62" s="160">
        <f>SUMIF('Che.-Prod'!A:A,Used_before_Trf!A62,'Che.-Prod'!G:G)</f>
        <v>0</v>
      </c>
      <c r="O62" s="161">
        <f t="shared" si="25"/>
        <v>0</v>
      </c>
      <c r="P62" s="162">
        <f>SUMIF('Che.-Prod'!A:A,Used_before_Trf!A62,'Che.-Prod'!H:H)</f>
        <v>0</v>
      </c>
      <c r="Q62" s="160">
        <f>SUMIF('Che.-Prod'!A:A,Used_before_Trf!A62,'Che.-Prod'!P:P)</f>
        <v>0</v>
      </c>
      <c r="R62" s="161">
        <f t="shared" si="26"/>
        <v>0</v>
      </c>
      <c r="S62" s="159">
        <f>SUMIF('Che.-Prod'!A:A,Used_before_Trf!A62,'Che.-Prod'!R:R)</f>
        <v>0</v>
      </c>
      <c r="T62" s="169">
        <f t="shared" si="27"/>
        <v>0</v>
      </c>
      <c r="U62" s="507">
        <f t="shared" si="28"/>
        <v>0</v>
      </c>
      <c r="V62" s="170">
        <f t="shared" si="29"/>
        <v>0</v>
      </c>
      <c r="W62" s="158">
        <f>SUMIF('CHE-last month'!$A:$A,Used_before_Trf!A62,'CHE-last month'!C:C)</f>
        <v>0</v>
      </c>
      <c r="X62" s="520">
        <f t="shared" si="30"/>
        <v>0</v>
      </c>
      <c r="Y62" s="162">
        <f>SUMIF('CHE-last month'!$A:$A,Used_before_Trf!A62,'CHE-last month'!E:E)</f>
        <v>0</v>
      </c>
      <c r="Z62" s="159">
        <f t="shared" si="31"/>
        <v>0</v>
      </c>
      <c r="AA62" s="520">
        <f t="shared" si="32"/>
        <v>0</v>
      </c>
      <c r="AB62" s="159">
        <f t="shared" si="33"/>
        <v>0</v>
      </c>
      <c r="AC62" s="160">
        <f>SUMIFS(BalCom!M:M,BalCom!N:N,Used_before_Trf!A62,BalCom!C:C,Used_before_Trf!$AC$1)</f>
        <v>0</v>
      </c>
      <c r="AD62" s="171">
        <f t="shared" si="34"/>
        <v>0</v>
      </c>
      <c r="AE62" s="159">
        <f>SUMIFS(BalCom!P:P,BalCom!N:N,Used_before_Trf!A62,BalCom!C:C,Used_before_Trf!$AC$1)</f>
        <v>0</v>
      </c>
      <c r="AF62" s="160">
        <f>SUMIFS(BalDis!I:I,BalDis!J:J,Used_before_Trf!A62)</f>
        <v>0</v>
      </c>
      <c r="AG62" s="171">
        <f t="shared" si="35"/>
        <v>0</v>
      </c>
      <c r="AH62" s="162">
        <f>SUMIFS(BalDis!L:L,BalDis!J:J,Used_before_Trf!A62)</f>
        <v>0</v>
      </c>
      <c r="AI62" s="159">
        <f>SUMIFS(BalDip!$N$49:$N$75,BalDip!$C$49:$C$75,Used_before_Trf!A62)+SUMIFS(BalDip!$N$134:$N$157,BalDip!$C$134:$C$157,Used_before_Trf!A62)</f>
        <v>0</v>
      </c>
      <c r="AJ62" s="171">
        <f t="shared" si="36"/>
        <v>0</v>
      </c>
      <c r="AK62" s="177">
        <f>SUMIFS(BalDip!$N$80:$N$106,BalDip!$C$80:$C$106,Used_before_Trf!A62)+SUMIFS(BalDip!$N$161:$N$184,BalDip!$C$161:$C$184,Used_before_Trf!A62)</f>
        <v>0</v>
      </c>
      <c r="AL62" s="178">
        <f t="shared" si="37"/>
        <v>0</v>
      </c>
      <c r="AM62" s="179">
        <f t="shared" si="38"/>
        <v>0</v>
      </c>
      <c r="AN62" s="440">
        <f t="shared" si="39"/>
        <v>0</v>
      </c>
      <c r="AO62" s="180">
        <f t="shared" si="40"/>
        <v>0</v>
      </c>
    </row>
    <row r="63" spans="1:41" s="108" customFormat="1" ht="15" customHeight="1">
      <c r="A63" s="135" t="s">
        <v>289</v>
      </c>
      <c r="B63" s="511" t="s">
        <v>290</v>
      </c>
      <c r="C63" s="136">
        <f>SUMIF('Che-Store'!A:A,Used_before_Trf!A63,'Che-Store'!AC:AC)+SUMIF('Che-Comp'!A:A,Used_before_Trf!A63,'Che-Comp'!AC:AC)</f>
        <v>0</v>
      </c>
      <c r="D63" s="137">
        <f t="shared" si="20"/>
        <v>0</v>
      </c>
      <c r="E63" s="138">
        <f>SUMIF('Che-Store'!A:A,Used_before_Trf!A63,'Che-Store'!AE:AE)+SUMIF('Che-Comp'!A:A,Used_before_Trf!A63,'Che-Comp'!AE:AE)</f>
        <v>0</v>
      </c>
      <c r="F63" s="136">
        <f>SUMIFS('Che-Comp'!F:F,'Che-Comp'!$A:$A,Used_before_Trf!$A63)</f>
        <v>0</v>
      </c>
      <c r="G63" s="138">
        <f>SUMIFS('Che-Comp'!G:G,'Che-Comp'!$A:$A,Used_before_Trf!$A63)</f>
        <v>0</v>
      </c>
      <c r="H63" s="137">
        <f t="shared" si="21"/>
        <v>0</v>
      </c>
      <c r="I63" s="137">
        <f t="shared" si="22"/>
        <v>0</v>
      </c>
      <c r="J63" s="137">
        <f t="shared" si="23"/>
        <v>0</v>
      </c>
      <c r="K63" s="158">
        <f>SUMIF('Che.-Prod'!A:A,Used_before_Trf!A63,'Che.-Prod'!D:D)</f>
        <v>0</v>
      </c>
      <c r="L63" s="137">
        <f t="shared" si="24"/>
        <v>0</v>
      </c>
      <c r="M63" s="159">
        <f>SUMIF('Che.-Prod'!A:A,Used_before_Trf!A63,'Che.-Prod'!F:F)</f>
        <v>0</v>
      </c>
      <c r="N63" s="160">
        <f>SUMIF('Che.-Prod'!A:A,Used_before_Trf!A63,'Che.-Prod'!G:G)</f>
        <v>0</v>
      </c>
      <c r="O63" s="161">
        <f t="shared" si="25"/>
        <v>0</v>
      </c>
      <c r="P63" s="162">
        <f>SUMIF('Che.-Prod'!A:A,Used_before_Trf!A63,'Che.-Prod'!H:H)</f>
        <v>0</v>
      </c>
      <c r="Q63" s="160">
        <f>SUMIF('Che.-Prod'!A:A,Used_before_Trf!A63,'Che.-Prod'!P:P)</f>
        <v>0</v>
      </c>
      <c r="R63" s="161">
        <f t="shared" si="26"/>
        <v>0</v>
      </c>
      <c r="S63" s="159">
        <f>SUMIF('Che.-Prod'!A:A,Used_before_Trf!A63,'Che.-Prod'!R:R)</f>
        <v>0</v>
      </c>
      <c r="T63" s="169">
        <f t="shared" si="27"/>
        <v>0</v>
      </c>
      <c r="U63" s="507">
        <f t="shared" si="28"/>
        <v>0</v>
      </c>
      <c r="V63" s="170">
        <f t="shared" si="29"/>
        <v>0</v>
      </c>
      <c r="W63" s="158">
        <f>SUMIF('CHE-last month'!$A:$A,Used_before_Trf!A63,'CHE-last month'!C:C)</f>
        <v>0</v>
      </c>
      <c r="X63" s="520">
        <f t="shared" si="30"/>
        <v>0</v>
      </c>
      <c r="Y63" s="162">
        <f>SUMIF('CHE-last month'!$A:$A,Used_before_Trf!A63,'CHE-last month'!E:E)</f>
        <v>0</v>
      </c>
      <c r="Z63" s="159">
        <f t="shared" si="31"/>
        <v>0</v>
      </c>
      <c r="AA63" s="520">
        <f t="shared" si="32"/>
        <v>0</v>
      </c>
      <c r="AB63" s="159">
        <f t="shared" si="33"/>
        <v>0</v>
      </c>
      <c r="AC63" s="160">
        <f>SUMIFS(BalCom!M:M,BalCom!N:N,Used_before_Trf!A63,BalCom!C:C,Used_before_Trf!$AC$1)</f>
        <v>0</v>
      </c>
      <c r="AD63" s="171">
        <f t="shared" si="34"/>
        <v>0</v>
      </c>
      <c r="AE63" s="159">
        <f>SUMIFS(BalCom!P:P,BalCom!N:N,Used_before_Trf!A63,BalCom!C:C,Used_before_Trf!$AC$1)</f>
        <v>0</v>
      </c>
      <c r="AF63" s="160">
        <f>SUMIFS(BalDis!I:I,BalDis!J:J,Used_before_Trf!A63)</f>
        <v>0</v>
      </c>
      <c r="AG63" s="171">
        <f t="shared" si="35"/>
        <v>0</v>
      </c>
      <c r="AH63" s="162">
        <f>SUMIFS(BalDis!L:L,BalDis!J:J,Used_before_Trf!A63)</f>
        <v>0</v>
      </c>
      <c r="AI63" s="159">
        <f>SUMIFS(BalDip!$N$49:$N$75,BalDip!$C$49:$C$75,Used_before_Trf!A63)+SUMIFS(BalDip!$N$134:$N$157,BalDip!$C$134:$C$157,Used_before_Trf!A63)</f>
        <v>0</v>
      </c>
      <c r="AJ63" s="171">
        <f t="shared" si="36"/>
        <v>0</v>
      </c>
      <c r="AK63" s="177">
        <f>SUMIFS(BalDip!$N$80:$N$106,BalDip!$C$80:$C$106,Used_before_Trf!A63)+SUMIFS(BalDip!$N$161:$N$184,BalDip!$C$161:$C$184,Used_before_Trf!A63)</f>
        <v>0</v>
      </c>
      <c r="AL63" s="178">
        <f t="shared" si="37"/>
        <v>0</v>
      </c>
      <c r="AM63" s="179">
        <f t="shared" si="38"/>
        <v>0</v>
      </c>
      <c r="AN63" s="440">
        <f t="shared" si="39"/>
        <v>0</v>
      </c>
      <c r="AO63" s="180">
        <f t="shared" si="40"/>
        <v>0</v>
      </c>
    </row>
    <row r="64" spans="1:41" s="108" customFormat="1" ht="15" customHeight="1">
      <c r="A64" s="135" t="s">
        <v>291</v>
      </c>
      <c r="B64" s="511" t="s">
        <v>292</v>
      </c>
      <c r="C64" s="136">
        <f>SUMIF('Che-Store'!A:A,Used_before_Trf!A64,'Che-Store'!AC:AC)+SUMIF('Che-Comp'!A:A,Used_before_Trf!A64,'Che-Comp'!AC:AC)</f>
        <v>0</v>
      </c>
      <c r="D64" s="137">
        <f t="shared" si="20"/>
        <v>0</v>
      </c>
      <c r="E64" s="138">
        <f>SUMIF('Che-Store'!A:A,Used_before_Trf!A64,'Che-Store'!AE:AE)+SUMIF('Che-Comp'!A:A,Used_before_Trf!A64,'Che-Comp'!AE:AE)</f>
        <v>0</v>
      </c>
      <c r="F64" s="136">
        <f>SUMIFS('Che-Comp'!F:F,'Che-Comp'!$A:$A,Used_before_Trf!$A64)</f>
        <v>0</v>
      </c>
      <c r="G64" s="138">
        <f>SUMIFS('Che-Comp'!G:G,'Che-Comp'!$A:$A,Used_before_Trf!$A64)</f>
        <v>0</v>
      </c>
      <c r="H64" s="137">
        <f t="shared" si="21"/>
        <v>0</v>
      </c>
      <c r="I64" s="137">
        <f t="shared" si="22"/>
        <v>0</v>
      </c>
      <c r="J64" s="137">
        <f t="shared" si="23"/>
        <v>0</v>
      </c>
      <c r="K64" s="158">
        <f>SUMIF('Che.-Prod'!A:A,Used_before_Trf!A64,'Che.-Prod'!D:D)</f>
        <v>0</v>
      </c>
      <c r="L64" s="137">
        <f t="shared" si="24"/>
        <v>0</v>
      </c>
      <c r="M64" s="159">
        <f>SUMIF('Che.-Prod'!A:A,Used_before_Trf!A64,'Che.-Prod'!F:F)</f>
        <v>0</v>
      </c>
      <c r="N64" s="160">
        <f>SUMIF('Che.-Prod'!A:A,Used_before_Trf!A64,'Che.-Prod'!G:G)</f>
        <v>0</v>
      </c>
      <c r="O64" s="161">
        <f t="shared" si="25"/>
        <v>0</v>
      </c>
      <c r="P64" s="162">
        <f>SUMIF('Che.-Prod'!A:A,Used_before_Trf!A64,'Che.-Prod'!H:H)</f>
        <v>0</v>
      </c>
      <c r="Q64" s="160">
        <f>SUMIF('Che.-Prod'!A:A,Used_before_Trf!A64,'Che.-Prod'!P:P)</f>
        <v>0</v>
      </c>
      <c r="R64" s="161">
        <f t="shared" si="26"/>
        <v>0</v>
      </c>
      <c r="S64" s="159">
        <f>SUMIF('Che.-Prod'!A:A,Used_before_Trf!A64,'Che.-Prod'!R:R)</f>
        <v>0</v>
      </c>
      <c r="T64" s="169">
        <f t="shared" si="27"/>
        <v>0</v>
      </c>
      <c r="U64" s="507">
        <f t="shared" si="28"/>
        <v>0</v>
      </c>
      <c r="V64" s="170">
        <f t="shared" si="29"/>
        <v>0</v>
      </c>
      <c r="W64" s="158">
        <f>SUMIF('CHE-last month'!$A:$A,Used_before_Trf!A64,'CHE-last month'!C:C)</f>
        <v>0</v>
      </c>
      <c r="X64" s="520">
        <f t="shared" si="30"/>
        <v>0</v>
      </c>
      <c r="Y64" s="162">
        <f>SUMIF('CHE-last month'!$A:$A,Used_before_Trf!A64,'CHE-last month'!E:E)</f>
        <v>0</v>
      </c>
      <c r="Z64" s="159">
        <f t="shared" si="31"/>
        <v>0</v>
      </c>
      <c r="AA64" s="520">
        <f t="shared" si="32"/>
        <v>0</v>
      </c>
      <c r="AB64" s="159">
        <f t="shared" si="33"/>
        <v>0</v>
      </c>
      <c r="AC64" s="160">
        <f>SUMIFS(BalCom!M:M,BalCom!N:N,Used_before_Trf!A64,BalCom!C:C,Used_before_Trf!$AC$1)</f>
        <v>0</v>
      </c>
      <c r="AD64" s="171">
        <f t="shared" si="34"/>
        <v>0</v>
      </c>
      <c r="AE64" s="159">
        <f>SUMIFS(BalCom!P:P,BalCom!N:N,Used_before_Trf!A64,BalCom!C:C,Used_before_Trf!$AC$1)</f>
        <v>0</v>
      </c>
      <c r="AF64" s="160">
        <f>SUMIFS(BalDis!I:I,BalDis!J:J,Used_before_Trf!A64)</f>
        <v>0</v>
      </c>
      <c r="AG64" s="171">
        <f t="shared" si="35"/>
        <v>0</v>
      </c>
      <c r="AH64" s="162">
        <f>SUMIFS(BalDis!L:L,BalDis!J:J,Used_before_Trf!A64)</f>
        <v>0</v>
      </c>
      <c r="AI64" s="159">
        <f>SUMIFS(BalDip!$N$49:$N$75,BalDip!$C$49:$C$75,Used_before_Trf!A64)+SUMIFS(BalDip!$N$134:$N$157,BalDip!$C$134:$C$157,Used_before_Trf!A64)</f>
        <v>0</v>
      </c>
      <c r="AJ64" s="171">
        <f t="shared" si="36"/>
        <v>0</v>
      </c>
      <c r="AK64" s="177">
        <f>SUMIFS(BalDip!$N$80:$N$106,BalDip!$C$80:$C$106,Used_before_Trf!A64)+SUMIFS(BalDip!$N$161:$N$184,BalDip!$C$161:$C$184,Used_before_Trf!A64)</f>
        <v>0</v>
      </c>
      <c r="AL64" s="178">
        <f t="shared" si="37"/>
        <v>0</v>
      </c>
      <c r="AM64" s="179">
        <f t="shared" si="38"/>
        <v>0</v>
      </c>
      <c r="AN64" s="440">
        <f t="shared" si="39"/>
        <v>0</v>
      </c>
      <c r="AO64" s="180">
        <f t="shared" si="40"/>
        <v>0</v>
      </c>
    </row>
    <row r="65" spans="1:41" s="108" customFormat="1" ht="15" customHeight="1">
      <c r="A65" s="82" t="s">
        <v>293</v>
      </c>
      <c r="B65" s="140" t="s">
        <v>294</v>
      </c>
      <c r="C65" s="136">
        <f>SUMIF('Che-Store'!A:A,Used_before_Trf!A65,'Che-Store'!AC:AC)+SUMIF('Che-Comp'!A:A,Used_before_Trf!A65,'Che-Comp'!AC:AC)</f>
        <v>0</v>
      </c>
      <c r="D65" s="137">
        <f t="shared" si="20"/>
        <v>0</v>
      </c>
      <c r="E65" s="138">
        <f>SUMIF('Che-Store'!A:A,Used_before_Trf!A65,'Che-Store'!AE:AE)+SUMIF('Che-Comp'!A:A,Used_before_Trf!A65,'Che-Comp'!AE:AE)</f>
        <v>0</v>
      </c>
      <c r="F65" s="136">
        <f>SUMIFS('Che-Comp'!F:F,'Che-Comp'!$A:$A,Used_before_Trf!$A65)</f>
        <v>0</v>
      </c>
      <c r="G65" s="138">
        <f>SUMIFS('Che-Comp'!G:G,'Che-Comp'!$A:$A,Used_before_Trf!$A65)</f>
        <v>0</v>
      </c>
      <c r="H65" s="137">
        <f t="shared" si="21"/>
        <v>0</v>
      </c>
      <c r="I65" s="137">
        <f t="shared" si="22"/>
        <v>0</v>
      </c>
      <c r="J65" s="137">
        <f t="shared" si="23"/>
        <v>0</v>
      </c>
      <c r="K65" s="158">
        <f>SUMIF('Che.-Prod'!A:A,Used_before_Trf!A65,'Che.-Prod'!D:D)</f>
        <v>0</v>
      </c>
      <c r="L65" s="137">
        <f t="shared" si="24"/>
        <v>0</v>
      </c>
      <c r="M65" s="159">
        <f>SUMIF('Che.-Prod'!A:A,Used_before_Trf!A65,'Che.-Prod'!F:F)</f>
        <v>0</v>
      </c>
      <c r="N65" s="160">
        <f>SUMIF('Che.-Prod'!A:A,Used_before_Trf!A65,'Che.-Prod'!G:G)</f>
        <v>0</v>
      </c>
      <c r="O65" s="161">
        <f t="shared" si="25"/>
        <v>0</v>
      </c>
      <c r="P65" s="162">
        <f>SUMIF('Che.-Prod'!A:A,Used_before_Trf!A65,'Che.-Prod'!H:H)</f>
        <v>0</v>
      </c>
      <c r="Q65" s="160">
        <f>SUMIF('Che.-Prod'!A:A,Used_before_Trf!A65,'Che.-Prod'!P:P)</f>
        <v>0</v>
      </c>
      <c r="R65" s="161">
        <f t="shared" si="26"/>
        <v>0</v>
      </c>
      <c r="S65" s="159">
        <f>SUMIF('Che.-Prod'!A:A,Used_before_Trf!A65,'Che.-Prod'!R:R)</f>
        <v>0</v>
      </c>
      <c r="T65" s="169">
        <f t="shared" si="27"/>
        <v>0</v>
      </c>
      <c r="U65" s="507">
        <f t="shared" si="28"/>
        <v>0</v>
      </c>
      <c r="V65" s="170">
        <f t="shared" si="29"/>
        <v>0</v>
      </c>
      <c r="W65" s="158">
        <f>SUMIF('CHE-last month'!$A:$A,Used_before_Trf!A65,'CHE-last month'!C:C)</f>
        <v>0</v>
      </c>
      <c r="X65" s="520">
        <f t="shared" si="30"/>
        <v>0</v>
      </c>
      <c r="Y65" s="162">
        <f>SUMIF('CHE-last month'!$A:$A,Used_before_Trf!A65,'CHE-last month'!E:E)</f>
        <v>0</v>
      </c>
      <c r="Z65" s="159">
        <f t="shared" si="31"/>
        <v>0</v>
      </c>
      <c r="AA65" s="520">
        <f t="shared" si="32"/>
        <v>0</v>
      </c>
      <c r="AB65" s="159">
        <f t="shared" si="33"/>
        <v>0</v>
      </c>
      <c r="AC65" s="160">
        <f>SUMIFS(BalCom!M:M,BalCom!N:N,Used_before_Trf!A65,BalCom!C:C,Used_before_Trf!$AC$1)</f>
        <v>0</v>
      </c>
      <c r="AD65" s="171">
        <f t="shared" si="34"/>
        <v>0</v>
      </c>
      <c r="AE65" s="159">
        <f>SUMIFS(BalCom!P:P,BalCom!N:N,Used_before_Trf!A65,BalCom!C:C,Used_before_Trf!$AC$1)</f>
        <v>0</v>
      </c>
      <c r="AF65" s="160">
        <f>SUMIFS(BalDis!I:I,BalDis!J:J,Used_before_Trf!A65)</f>
        <v>0</v>
      </c>
      <c r="AG65" s="171">
        <f t="shared" si="35"/>
        <v>0</v>
      </c>
      <c r="AH65" s="162">
        <f>SUMIFS(BalDis!L:L,BalDis!J:J,Used_before_Trf!A65)</f>
        <v>0</v>
      </c>
      <c r="AI65" s="159">
        <f>SUMIFS(BalDip!$N$49:$N$75,BalDip!$C$49:$C$75,Used_before_Trf!A65)+SUMIFS(BalDip!$N$134:$N$157,BalDip!$C$134:$C$157,Used_before_Trf!A65)</f>
        <v>0</v>
      </c>
      <c r="AJ65" s="171">
        <f t="shared" si="36"/>
        <v>0</v>
      </c>
      <c r="AK65" s="177">
        <f>SUMIFS(BalDip!$N$80:$N$106,BalDip!$C$80:$C$106,Used_before_Trf!A65)+SUMIFS(BalDip!$N$161:$N$184,BalDip!$C$161:$C$184,Used_before_Trf!A65)</f>
        <v>0</v>
      </c>
      <c r="AL65" s="178">
        <f t="shared" si="37"/>
        <v>0</v>
      </c>
      <c r="AM65" s="179">
        <f t="shared" si="38"/>
        <v>0</v>
      </c>
      <c r="AN65" s="440">
        <f t="shared" si="39"/>
        <v>0</v>
      </c>
      <c r="AO65" s="180">
        <f t="shared" si="40"/>
        <v>0</v>
      </c>
    </row>
    <row r="66" spans="1:41" s="108" customFormat="1" ht="15" customHeight="1">
      <c r="A66" s="106" t="s">
        <v>295</v>
      </c>
      <c r="B66" s="437" t="s">
        <v>296</v>
      </c>
      <c r="C66" s="136">
        <f>SUMIF('Che-Store'!A:A,Used_before_Trf!A66,'Che-Store'!AC:AC)+SUMIF('Che-Comp'!A:A,Used_before_Trf!A66,'Che-Comp'!AC:AC)</f>
        <v>3259</v>
      </c>
      <c r="D66" s="137">
        <f t="shared" si="20"/>
        <v>42.341880945075175</v>
      </c>
      <c r="E66" s="138">
        <f>SUMIF('Che-Store'!A:A,Used_before_Trf!A66,'Che-Store'!AE:AE)+SUMIF('Che-Comp'!A:A,Used_before_Trf!A66,'Che-Comp'!AE:AE)</f>
        <v>137992.19</v>
      </c>
      <c r="F66" s="136">
        <f>SUMIFS('Che-Comp'!F:F,'Che-Comp'!$A:$A,Used_before_Trf!$A66)</f>
        <v>0</v>
      </c>
      <c r="G66" s="138">
        <f>SUMIFS('Che-Comp'!G:G,'Che-Comp'!$A:$A,Used_before_Trf!$A66)</f>
        <v>0</v>
      </c>
      <c r="H66" s="137">
        <f t="shared" si="21"/>
        <v>3259</v>
      </c>
      <c r="I66" s="137">
        <f t="shared" si="22"/>
        <v>42.341880945075175</v>
      </c>
      <c r="J66" s="137">
        <f t="shared" si="23"/>
        <v>137992.19</v>
      </c>
      <c r="K66" s="158">
        <f>SUMIF('Che.-Prod'!A:A,Used_before_Trf!A66,'Che.-Prod'!D:D)</f>
        <v>0</v>
      </c>
      <c r="L66" s="137">
        <f t="shared" si="24"/>
        <v>0</v>
      </c>
      <c r="M66" s="159">
        <f>SUMIF('Che.-Prod'!A:A,Used_before_Trf!A66,'Che.-Prod'!F:F)</f>
        <v>0</v>
      </c>
      <c r="N66" s="160">
        <f>SUMIF('Che.-Prod'!A:A,Used_before_Trf!A66,'Che.-Prod'!G:G)</f>
        <v>0</v>
      </c>
      <c r="O66" s="161">
        <f t="shared" si="25"/>
        <v>0</v>
      </c>
      <c r="P66" s="162">
        <f>SUMIF('Che.-Prod'!A:A,Used_before_Trf!A66,'Che.-Prod'!H:H)</f>
        <v>0</v>
      </c>
      <c r="Q66" s="160">
        <f>SUMIF('Che.-Prod'!A:A,Used_before_Trf!A66,'Che.-Prod'!P:P)</f>
        <v>0</v>
      </c>
      <c r="R66" s="161">
        <f t="shared" si="26"/>
        <v>0</v>
      </c>
      <c r="S66" s="159">
        <f>SUMIF('Che.-Prod'!A:A,Used_before_Trf!A66,'Che.-Prod'!R:R)</f>
        <v>0</v>
      </c>
      <c r="T66" s="169">
        <f t="shared" si="27"/>
        <v>3259</v>
      </c>
      <c r="U66" s="507">
        <f t="shared" si="28"/>
        <v>42.341880945075175</v>
      </c>
      <c r="V66" s="170">
        <f t="shared" si="29"/>
        <v>137992.19</v>
      </c>
      <c r="W66" s="158">
        <f>SUMIF('CHE-last month'!$A:$A,Used_before_Trf!A66,'CHE-last month'!C:C)</f>
        <v>524.30400340356164</v>
      </c>
      <c r="X66" s="520">
        <f t="shared" si="30"/>
        <v>40.261718131020864</v>
      </c>
      <c r="Y66" s="162">
        <f>SUMIF('CHE-last month'!$A:$A,Used_before_Trf!A66,'CHE-last month'!E:E)</f>
        <v>21109.38</v>
      </c>
      <c r="Z66" s="159">
        <f t="shared" si="31"/>
        <v>333.37923062235046</v>
      </c>
      <c r="AA66" s="520">
        <f t="shared" si="32"/>
        <v>42.341929860622933</v>
      </c>
      <c r="AB66" s="159">
        <f t="shared" si="33"/>
        <v>14115.92</v>
      </c>
      <c r="AC66" s="160">
        <f>SUMIFS(BalCom!M:M,BalCom!N:N,Used_before_Trf!A66,BalCom!C:C,Used_before_Trf!$AC$1)</f>
        <v>273.33273405940577</v>
      </c>
      <c r="AD66" s="171">
        <f t="shared" si="34"/>
        <v>42.341909906351162</v>
      </c>
      <c r="AE66" s="159">
        <f>SUMIFS(BalCom!P:P,BalCom!N:N,Used_before_Trf!A66,BalCom!C:C,Used_before_Trf!$AC$1)</f>
        <v>11573.43</v>
      </c>
      <c r="AF66" s="160">
        <f>SUMIFS(BalDis!I:I,BalDis!J:J,Used_before_Trf!A66)</f>
        <v>0</v>
      </c>
      <c r="AG66" s="171">
        <f t="shared" si="35"/>
        <v>0</v>
      </c>
      <c r="AH66" s="162">
        <f>SUMIFS(BalDis!L:L,BalDis!J:J,Used_before_Trf!A66)</f>
        <v>0</v>
      </c>
      <c r="AI66" s="159">
        <f>SUMIFS(BalDip!$N$49:$N$75,BalDip!$C$49:$C$75,Used_before_Trf!A66)+SUMIFS(BalDip!$N$134:$N$157,BalDip!$C$134:$C$157,Used_before_Trf!A66)</f>
        <v>60.046496562944718</v>
      </c>
      <c r="AJ66" s="171">
        <f t="shared" si="36"/>
        <v>42.342020692827489</v>
      </c>
      <c r="AK66" s="177">
        <f>SUMIFS(BalDip!$N$80:$N$106,BalDip!$C$80:$C$106,Used_before_Trf!A66)+SUMIFS(BalDip!$N$161:$N$184,BalDip!$C$161:$C$184,Used_before_Trf!A66)</f>
        <v>2542.4899999999998</v>
      </c>
      <c r="AL66" s="178">
        <f t="shared" si="37"/>
        <v>3449.9247727812112</v>
      </c>
      <c r="AM66" s="179">
        <f t="shared" si="38"/>
        <v>42.025742457890615</v>
      </c>
      <c r="AN66" s="440">
        <f t="shared" si="39"/>
        <v>144985.65</v>
      </c>
      <c r="AO66" s="180">
        <f t="shared" si="40"/>
        <v>-0.31613848718455984</v>
      </c>
    </row>
    <row r="67" spans="1:41" s="108" customFormat="1" ht="15" customHeight="1">
      <c r="A67" s="106" t="s">
        <v>297</v>
      </c>
      <c r="B67" s="437" t="s">
        <v>298</v>
      </c>
      <c r="C67" s="136">
        <f>SUMIF('Che-Store'!A:A,Used_before_Trf!A67,'Che-Store'!AC:AC)+SUMIF('Che-Comp'!A:A,Used_before_Trf!A67,'Che-Comp'!AC:AC)</f>
        <v>0</v>
      </c>
      <c r="D67" s="137">
        <f t="shared" si="20"/>
        <v>0</v>
      </c>
      <c r="E67" s="138">
        <f>SUMIF('Che-Store'!A:A,Used_before_Trf!A67,'Che-Store'!AE:AE)+SUMIF('Che-Comp'!A:A,Used_before_Trf!A67,'Che-Comp'!AE:AE)</f>
        <v>0</v>
      </c>
      <c r="F67" s="136">
        <f>SUMIFS('Che-Comp'!F:F,'Che-Comp'!$A:$A,Used_before_Trf!$A67)</f>
        <v>0</v>
      </c>
      <c r="G67" s="138">
        <f>SUMIFS('Che-Comp'!G:G,'Che-Comp'!$A:$A,Used_before_Trf!$A67)</f>
        <v>0</v>
      </c>
      <c r="H67" s="137">
        <f t="shared" si="21"/>
        <v>0</v>
      </c>
      <c r="I67" s="137">
        <f t="shared" si="22"/>
        <v>0</v>
      </c>
      <c r="J67" s="137">
        <f t="shared" si="23"/>
        <v>0</v>
      </c>
      <c r="K67" s="158">
        <f>SUMIF('Che.-Prod'!A:A,Used_before_Trf!A67,'Che.-Prod'!D:D)</f>
        <v>0</v>
      </c>
      <c r="L67" s="137">
        <f t="shared" si="24"/>
        <v>0</v>
      </c>
      <c r="M67" s="159">
        <f>SUMIF('Che.-Prod'!A:A,Used_before_Trf!A67,'Che.-Prod'!F:F)</f>
        <v>0</v>
      </c>
      <c r="N67" s="160">
        <f>SUMIF('Che.-Prod'!A:A,Used_before_Trf!A67,'Che.-Prod'!G:G)</f>
        <v>0</v>
      </c>
      <c r="O67" s="161">
        <f t="shared" si="25"/>
        <v>0</v>
      </c>
      <c r="P67" s="162">
        <f>SUMIF('Che.-Prod'!A:A,Used_before_Trf!A67,'Che.-Prod'!H:H)</f>
        <v>0</v>
      </c>
      <c r="Q67" s="160">
        <f>SUMIF('Che.-Prod'!A:A,Used_before_Trf!A67,'Che.-Prod'!P:P)</f>
        <v>0</v>
      </c>
      <c r="R67" s="161">
        <f t="shared" si="26"/>
        <v>0</v>
      </c>
      <c r="S67" s="159">
        <f>SUMIF('Che.-Prod'!A:A,Used_before_Trf!A67,'Che.-Prod'!R:R)</f>
        <v>0</v>
      </c>
      <c r="T67" s="169">
        <f t="shared" si="27"/>
        <v>0</v>
      </c>
      <c r="U67" s="507">
        <f t="shared" si="28"/>
        <v>0</v>
      </c>
      <c r="V67" s="170">
        <f t="shared" si="29"/>
        <v>0</v>
      </c>
      <c r="W67" s="158">
        <f>SUMIF('CHE-last month'!$A:$A,Used_before_Trf!A67,'CHE-last month'!C:C)</f>
        <v>0</v>
      </c>
      <c r="X67" s="520">
        <f t="shared" si="30"/>
        <v>0</v>
      </c>
      <c r="Y67" s="162">
        <f>SUMIF('CHE-last month'!$A:$A,Used_before_Trf!A67,'CHE-last month'!E:E)</f>
        <v>0</v>
      </c>
      <c r="Z67" s="159">
        <f t="shared" si="31"/>
        <v>0</v>
      </c>
      <c r="AA67" s="520">
        <f t="shared" si="32"/>
        <v>0</v>
      </c>
      <c r="AB67" s="159">
        <f t="shared" si="33"/>
        <v>0</v>
      </c>
      <c r="AC67" s="160">
        <f>SUMIFS(BalCom!M:M,BalCom!N:N,Used_before_Trf!A67,BalCom!C:C,Used_before_Trf!$AC$1)</f>
        <v>0</v>
      </c>
      <c r="AD67" s="171">
        <f t="shared" si="34"/>
        <v>0</v>
      </c>
      <c r="AE67" s="159">
        <f>SUMIFS(BalCom!P:P,BalCom!N:N,Used_before_Trf!A67,BalCom!C:C,Used_before_Trf!$AC$1)</f>
        <v>0</v>
      </c>
      <c r="AF67" s="160">
        <f>SUMIFS(BalDis!I:I,BalDis!J:J,Used_before_Trf!A67)</f>
        <v>0</v>
      </c>
      <c r="AG67" s="171">
        <f t="shared" si="35"/>
        <v>0</v>
      </c>
      <c r="AH67" s="162">
        <f>SUMIFS(BalDis!L:L,BalDis!J:J,Used_before_Trf!A67)</f>
        <v>0</v>
      </c>
      <c r="AI67" s="159">
        <f>SUMIFS(BalDip!$N$49:$N$75,BalDip!$C$49:$C$75,Used_before_Trf!A67)+SUMIFS(BalDip!$N$134:$N$157,BalDip!$C$134:$C$157,Used_before_Trf!A67)</f>
        <v>0</v>
      </c>
      <c r="AJ67" s="171">
        <f t="shared" si="36"/>
        <v>0</v>
      </c>
      <c r="AK67" s="177">
        <f>SUMIFS(BalDip!$N$80:$N$106,BalDip!$C$80:$C$106,Used_before_Trf!A67)+SUMIFS(BalDip!$N$161:$N$184,BalDip!$C$161:$C$184,Used_before_Trf!A67)</f>
        <v>0</v>
      </c>
      <c r="AL67" s="178">
        <f t="shared" si="37"/>
        <v>0</v>
      </c>
      <c r="AM67" s="179">
        <f t="shared" si="38"/>
        <v>0</v>
      </c>
      <c r="AN67" s="440">
        <f t="shared" si="39"/>
        <v>0</v>
      </c>
      <c r="AO67" s="180">
        <f t="shared" si="40"/>
        <v>0</v>
      </c>
    </row>
    <row r="68" spans="1:41" s="108" customFormat="1" ht="15" customHeight="1">
      <c r="A68" s="106" t="s">
        <v>299</v>
      </c>
      <c r="B68" s="437" t="s">
        <v>300</v>
      </c>
      <c r="C68" s="136">
        <f>SUMIF('Che-Store'!A:A,Used_before_Trf!A68,'Che-Store'!AC:AC)+SUMIF('Che-Comp'!A:A,Used_before_Trf!A68,'Che-Comp'!AC:AC)</f>
        <v>0</v>
      </c>
      <c r="D68" s="137">
        <f t="shared" si="20"/>
        <v>0</v>
      </c>
      <c r="E68" s="138">
        <f>SUMIF('Che-Store'!A:A,Used_before_Trf!A68,'Che-Store'!AE:AE)+SUMIF('Che-Comp'!A:A,Used_before_Trf!A68,'Che-Comp'!AE:AE)</f>
        <v>0</v>
      </c>
      <c r="F68" s="136">
        <f>SUMIFS('Che-Comp'!F:F,'Che-Comp'!$A:$A,Used_before_Trf!$A68)</f>
        <v>0</v>
      </c>
      <c r="G68" s="138">
        <f>SUMIFS('Che-Comp'!G:G,'Che-Comp'!$A:$A,Used_before_Trf!$A68)</f>
        <v>0</v>
      </c>
      <c r="H68" s="137">
        <f t="shared" si="21"/>
        <v>0</v>
      </c>
      <c r="I68" s="137">
        <f t="shared" si="22"/>
        <v>0</v>
      </c>
      <c r="J68" s="137">
        <f t="shared" si="23"/>
        <v>0</v>
      </c>
      <c r="K68" s="158">
        <f>SUMIF('Che.-Prod'!A:A,Used_before_Trf!A68,'Che.-Prod'!D:D)</f>
        <v>0</v>
      </c>
      <c r="L68" s="137">
        <f t="shared" si="24"/>
        <v>0</v>
      </c>
      <c r="M68" s="159">
        <f>SUMIF('Che.-Prod'!A:A,Used_before_Trf!A68,'Che.-Prod'!F:F)</f>
        <v>0</v>
      </c>
      <c r="N68" s="160">
        <f>SUMIF('Che.-Prod'!A:A,Used_before_Trf!A68,'Che.-Prod'!G:G)</f>
        <v>0</v>
      </c>
      <c r="O68" s="161">
        <f t="shared" si="25"/>
        <v>0</v>
      </c>
      <c r="P68" s="162">
        <f>SUMIF('Che.-Prod'!A:A,Used_before_Trf!A68,'Che.-Prod'!H:H)</f>
        <v>0</v>
      </c>
      <c r="Q68" s="160">
        <f>SUMIF('Che.-Prod'!A:A,Used_before_Trf!A68,'Che.-Prod'!P:P)</f>
        <v>0</v>
      </c>
      <c r="R68" s="161">
        <f t="shared" si="26"/>
        <v>0</v>
      </c>
      <c r="S68" s="159">
        <f>SUMIF('Che.-Prod'!A:A,Used_before_Trf!A68,'Che.-Prod'!R:R)</f>
        <v>0</v>
      </c>
      <c r="T68" s="169">
        <f t="shared" si="27"/>
        <v>0</v>
      </c>
      <c r="U68" s="507">
        <f t="shared" si="28"/>
        <v>0</v>
      </c>
      <c r="V68" s="170">
        <f t="shared" si="29"/>
        <v>0</v>
      </c>
      <c r="W68" s="158">
        <f>SUMIF('CHE-last month'!$A:$A,Used_before_Trf!A68,'CHE-last month'!C:C)</f>
        <v>0</v>
      </c>
      <c r="X68" s="520">
        <f t="shared" si="30"/>
        <v>0</v>
      </c>
      <c r="Y68" s="162">
        <f>SUMIF('CHE-last month'!$A:$A,Used_before_Trf!A68,'CHE-last month'!E:E)</f>
        <v>0</v>
      </c>
      <c r="Z68" s="159">
        <f t="shared" si="31"/>
        <v>0</v>
      </c>
      <c r="AA68" s="520">
        <f t="shared" si="32"/>
        <v>0</v>
      </c>
      <c r="AB68" s="159">
        <f t="shared" si="33"/>
        <v>0</v>
      </c>
      <c r="AC68" s="160">
        <f>SUMIFS(BalCom!M:M,BalCom!N:N,Used_before_Trf!A68,BalCom!C:C,Used_before_Trf!$AC$1)</f>
        <v>0</v>
      </c>
      <c r="AD68" s="171">
        <f t="shared" si="34"/>
        <v>0</v>
      </c>
      <c r="AE68" s="159">
        <f>SUMIFS(BalCom!P:P,BalCom!N:N,Used_before_Trf!A68,BalCom!C:C,Used_before_Trf!$AC$1)</f>
        <v>0</v>
      </c>
      <c r="AF68" s="160">
        <f>SUMIFS(BalDis!I:I,BalDis!J:J,Used_before_Trf!A68)</f>
        <v>0</v>
      </c>
      <c r="AG68" s="171">
        <f t="shared" si="35"/>
        <v>0</v>
      </c>
      <c r="AH68" s="162">
        <f>SUMIFS(BalDis!L:L,BalDis!J:J,Used_before_Trf!A68)</f>
        <v>0</v>
      </c>
      <c r="AI68" s="159">
        <f>SUMIFS(BalDip!$N$49:$N$75,BalDip!$C$49:$C$75,Used_before_Trf!A68)+SUMIFS(BalDip!$N$134:$N$157,BalDip!$C$134:$C$157,Used_before_Trf!A68)</f>
        <v>0</v>
      </c>
      <c r="AJ68" s="171">
        <f t="shared" si="36"/>
        <v>0</v>
      </c>
      <c r="AK68" s="177">
        <f>SUMIFS(BalDip!$N$80:$N$106,BalDip!$C$80:$C$106,Used_before_Trf!A68)+SUMIFS(BalDip!$N$161:$N$184,BalDip!$C$161:$C$184,Used_before_Trf!A68)</f>
        <v>0</v>
      </c>
      <c r="AL68" s="178">
        <f t="shared" si="37"/>
        <v>0</v>
      </c>
      <c r="AM68" s="179">
        <f t="shared" si="38"/>
        <v>0</v>
      </c>
      <c r="AN68" s="440">
        <f t="shared" si="39"/>
        <v>0</v>
      </c>
      <c r="AO68" s="180">
        <f t="shared" si="40"/>
        <v>0</v>
      </c>
    </row>
    <row r="69" spans="1:41" s="108" customFormat="1" ht="15" customHeight="1">
      <c r="A69" s="82" t="s">
        <v>301</v>
      </c>
      <c r="B69" s="140" t="s">
        <v>302</v>
      </c>
      <c r="C69" s="136">
        <f>SUMIF('Che-Store'!A:A,Used_before_Trf!A69,'Che-Store'!AC:AC)+SUMIF('Che-Comp'!A:A,Used_before_Trf!A69,'Che-Comp'!AC:AC)</f>
        <v>0</v>
      </c>
      <c r="D69" s="137">
        <f t="shared" si="20"/>
        <v>0</v>
      </c>
      <c r="E69" s="138">
        <f>SUMIF('Che-Store'!A:A,Used_before_Trf!A69,'Che-Store'!AE:AE)+SUMIF('Che-Comp'!A:A,Used_before_Trf!A69,'Che-Comp'!AE:AE)</f>
        <v>0</v>
      </c>
      <c r="F69" s="136">
        <f>SUMIFS('Che-Comp'!F:F,'Che-Comp'!$A:$A,Used_before_Trf!$A69)</f>
        <v>0</v>
      </c>
      <c r="G69" s="138">
        <f>SUMIFS('Che-Comp'!G:G,'Che-Comp'!$A:$A,Used_before_Trf!$A69)</f>
        <v>0</v>
      </c>
      <c r="H69" s="137">
        <f t="shared" si="21"/>
        <v>0</v>
      </c>
      <c r="I69" s="137">
        <f t="shared" si="22"/>
        <v>0</v>
      </c>
      <c r="J69" s="137">
        <f t="shared" si="23"/>
        <v>0</v>
      </c>
      <c r="K69" s="158">
        <f>SUMIF('Che.-Prod'!A:A,Used_before_Trf!A69,'Che.-Prod'!D:D)</f>
        <v>0</v>
      </c>
      <c r="L69" s="137">
        <f t="shared" si="24"/>
        <v>0</v>
      </c>
      <c r="M69" s="159">
        <f>SUMIF('Che.-Prod'!A:A,Used_before_Trf!A69,'Che.-Prod'!F:F)</f>
        <v>0</v>
      </c>
      <c r="N69" s="160">
        <f>SUMIF('Che.-Prod'!A:A,Used_before_Trf!A69,'Che.-Prod'!G:G)</f>
        <v>0</v>
      </c>
      <c r="O69" s="161">
        <f t="shared" si="25"/>
        <v>0</v>
      </c>
      <c r="P69" s="162">
        <f>SUMIF('Che.-Prod'!A:A,Used_before_Trf!A69,'Che.-Prod'!H:H)</f>
        <v>0</v>
      </c>
      <c r="Q69" s="160">
        <f>SUMIF('Che.-Prod'!A:A,Used_before_Trf!A69,'Che.-Prod'!P:P)</f>
        <v>0</v>
      </c>
      <c r="R69" s="161">
        <f t="shared" si="26"/>
        <v>0</v>
      </c>
      <c r="S69" s="159">
        <f>SUMIF('Che.-Prod'!A:A,Used_before_Trf!A69,'Che.-Prod'!R:R)</f>
        <v>0</v>
      </c>
      <c r="T69" s="169">
        <f t="shared" si="27"/>
        <v>0</v>
      </c>
      <c r="U69" s="507">
        <f t="shared" si="28"/>
        <v>0</v>
      </c>
      <c r="V69" s="170">
        <f t="shared" si="29"/>
        <v>0</v>
      </c>
      <c r="W69" s="158">
        <f>SUMIF('CHE-last month'!$A:$A,Used_before_Trf!A69,'CHE-last month'!C:C)</f>
        <v>0</v>
      </c>
      <c r="X69" s="520">
        <f t="shared" si="30"/>
        <v>0</v>
      </c>
      <c r="Y69" s="162">
        <f>SUMIF('CHE-last month'!$A:$A,Used_before_Trf!A69,'CHE-last month'!E:E)</f>
        <v>0</v>
      </c>
      <c r="Z69" s="159">
        <f t="shared" si="31"/>
        <v>0</v>
      </c>
      <c r="AA69" s="520">
        <f t="shared" si="32"/>
        <v>0</v>
      </c>
      <c r="AB69" s="159">
        <f t="shared" si="33"/>
        <v>0</v>
      </c>
      <c r="AC69" s="160">
        <f>SUMIFS(BalCom!M:M,BalCom!N:N,Used_before_Trf!A69,BalCom!C:C,Used_before_Trf!$AC$1)</f>
        <v>0</v>
      </c>
      <c r="AD69" s="171">
        <f t="shared" si="34"/>
        <v>0</v>
      </c>
      <c r="AE69" s="159">
        <f>SUMIFS(BalCom!P:P,BalCom!N:N,Used_before_Trf!A69,BalCom!C:C,Used_before_Trf!$AC$1)</f>
        <v>0</v>
      </c>
      <c r="AF69" s="160">
        <f>SUMIFS(BalDis!I:I,BalDis!J:J,Used_before_Trf!A69)</f>
        <v>0</v>
      </c>
      <c r="AG69" s="171">
        <f t="shared" si="35"/>
        <v>0</v>
      </c>
      <c r="AH69" s="162">
        <f>SUMIFS(BalDis!L:L,BalDis!J:J,Used_before_Trf!A69)</f>
        <v>0</v>
      </c>
      <c r="AI69" s="159">
        <f>SUMIFS(BalDip!$N$49:$N$75,BalDip!$C$49:$C$75,Used_before_Trf!A69)+SUMIFS(BalDip!$N$134:$N$157,BalDip!$C$134:$C$157,Used_before_Trf!A69)</f>
        <v>0</v>
      </c>
      <c r="AJ69" s="171">
        <f t="shared" si="36"/>
        <v>0</v>
      </c>
      <c r="AK69" s="177">
        <f>SUMIFS(BalDip!$N$80:$N$106,BalDip!$C$80:$C$106,Used_before_Trf!A69)+SUMIFS(BalDip!$N$161:$N$184,BalDip!$C$161:$C$184,Used_before_Trf!A69)</f>
        <v>0</v>
      </c>
      <c r="AL69" s="178">
        <f t="shared" si="37"/>
        <v>0</v>
      </c>
      <c r="AM69" s="179">
        <f t="shared" si="38"/>
        <v>0</v>
      </c>
      <c r="AN69" s="440">
        <f t="shared" si="39"/>
        <v>0</v>
      </c>
      <c r="AO69" s="180">
        <f t="shared" si="40"/>
        <v>0</v>
      </c>
    </row>
    <row r="70" spans="1:41" s="108" customFormat="1" ht="15" customHeight="1">
      <c r="A70" s="82" t="s">
        <v>303</v>
      </c>
      <c r="B70" s="140" t="s">
        <v>304</v>
      </c>
      <c r="C70" s="136">
        <f>SUMIF('Che-Store'!A:A,Used_before_Trf!A70,'Che-Store'!AC:AC)+SUMIF('Che-Comp'!A:A,Used_before_Trf!A70,'Che-Comp'!AC:AC)</f>
        <v>1855.48</v>
      </c>
      <c r="D70" s="137">
        <f t="shared" ref="D70:D133" si="41">IFERROR(E70/C70,0)</f>
        <v>14.054039924978982</v>
      </c>
      <c r="E70" s="138">
        <f>SUMIF('Che-Store'!A:A,Used_before_Trf!A70,'Che-Store'!AE:AE)+SUMIF('Che-Comp'!A:A,Used_before_Trf!A70,'Che-Comp'!AE:AE)</f>
        <v>26076.99</v>
      </c>
      <c r="F70" s="136">
        <f>SUMIFS('Che-Comp'!F:F,'Che-Comp'!$A:$A,Used_before_Trf!$A70)</f>
        <v>0</v>
      </c>
      <c r="G70" s="138">
        <f>SUMIFS('Che-Comp'!G:G,'Che-Comp'!$A:$A,Used_before_Trf!$A70)</f>
        <v>0</v>
      </c>
      <c r="H70" s="137">
        <f t="shared" ref="H70:H133" si="42">C70-F70</f>
        <v>1855.48</v>
      </c>
      <c r="I70" s="137">
        <f t="shared" ref="I70:I133" si="43">IFERROR(J70/H70,0)</f>
        <v>14.054039924978982</v>
      </c>
      <c r="J70" s="137">
        <f t="shared" ref="J70:J133" si="44">E70-G70</f>
        <v>26076.99</v>
      </c>
      <c r="K70" s="158">
        <f>SUMIF('Che.-Prod'!A:A,Used_before_Trf!A70,'Che.-Prod'!D:D)</f>
        <v>0</v>
      </c>
      <c r="L70" s="137">
        <f t="shared" ref="L70:L133" si="45">IFERROR(M70/K70,0)</f>
        <v>0</v>
      </c>
      <c r="M70" s="159">
        <f>SUMIF('Che.-Prod'!A:A,Used_before_Trf!A70,'Che.-Prod'!F:F)</f>
        <v>0</v>
      </c>
      <c r="N70" s="160">
        <f>SUMIF('Che.-Prod'!A:A,Used_before_Trf!A70,'Che.-Prod'!G:G)</f>
        <v>0</v>
      </c>
      <c r="O70" s="161">
        <f t="shared" ref="O70:O133" si="46">IF(N70=0,0,P70/N70)</f>
        <v>0</v>
      </c>
      <c r="P70" s="162">
        <f>SUMIF('Che.-Prod'!A:A,Used_before_Trf!A70,'Che.-Prod'!H:H)</f>
        <v>0</v>
      </c>
      <c r="Q70" s="160">
        <f>SUMIF('Che.-Prod'!A:A,Used_before_Trf!A70,'Che.-Prod'!P:P)</f>
        <v>0</v>
      </c>
      <c r="R70" s="161">
        <f t="shared" ref="R70:R133" si="47">IF(Q70=0,0,S70/Q70)</f>
        <v>0</v>
      </c>
      <c r="S70" s="159">
        <f>SUMIF('Che.-Prod'!A:A,Used_before_Trf!A70,'Che.-Prod'!R:R)</f>
        <v>0</v>
      </c>
      <c r="T70" s="169">
        <f t="shared" ref="T70:T133" si="48">H70+K70+N70-Q70</f>
        <v>1855.48</v>
      </c>
      <c r="U70" s="507">
        <f t="shared" ref="U70:U133" si="49">IF(T70=0,0,V70/T70)</f>
        <v>14.054039924978982</v>
      </c>
      <c r="V70" s="170">
        <f t="shared" ref="V70:V133" si="50">J70+M70+P70-S70</f>
        <v>26076.99</v>
      </c>
      <c r="W70" s="158">
        <f>SUMIF('CHE-last month'!$A:$A,Used_before_Trf!A70,'CHE-last month'!C:C)</f>
        <v>327.06877410686911</v>
      </c>
      <c r="X70" s="520">
        <f t="shared" ref="X70:X133" si="51">IF(W70=0,0,Y70/W70)</f>
        <v>14.07046579902581</v>
      </c>
      <c r="Y70" s="162">
        <f>SUMIF('CHE-last month'!$A:$A,Used_before_Trf!A70,'CHE-last month'!E:E)</f>
        <v>4602.01</v>
      </c>
      <c r="Z70" s="159">
        <f t="shared" ref="Z70:Z133" si="52">+AC70+AF70+AI70</f>
        <v>300.38831827575052</v>
      </c>
      <c r="AA70" s="520">
        <f t="shared" ref="AA70:AA133" si="53">IF(Z70=0,0,AB70/Z70)</f>
        <v>14.05400857207969</v>
      </c>
      <c r="AB70" s="159">
        <f t="shared" ref="AB70:AB133" si="54">+AE70+AH70+AK70</f>
        <v>4221.66</v>
      </c>
      <c r="AC70" s="160">
        <f>SUMIFS(BalCom!M:M,BalCom!N:N,Used_before_Trf!A70,BalCom!C:C,Used_before_Trf!$AC$1)</f>
        <v>256.35422079625772</v>
      </c>
      <c r="AD70" s="171">
        <f t="shared" ref="AD70:AD133" si="55">IF(AC70=0,0,AE70/AC70)</f>
        <v>14.053991343732907</v>
      </c>
      <c r="AE70" s="159">
        <f>SUMIFS(BalCom!P:P,BalCom!N:N,Used_before_Trf!A70,BalCom!C:C,Used_before_Trf!$AC$1)</f>
        <v>3602.8</v>
      </c>
      <c r="AF70" s="160">
        <f>SUMIFS(BalDis!I:I,BalDis!J:J,Used_before_Trf!A70)</f>
        <v>0</v>
      </c>
      <c r="AG70" s="171">
        <f t="shared" ref="AG70:AG133" si="56">IF(AF70=0,0,AH70/AF70)</f>
        <v>0</v>
      </c>
      <c r="AH70" s="162">
        <f>SUMIFS(BalDis!L:L,BalDis!J:J,Used_before_Trf!A70)</f>
        <v>0</v>
      </c>
      <c r="AI70" s="159">
        <f>SUMIFS(BalDip!$N$49:$N$75,BalDip!$C$49:$C$75,Used_before_Trf!A70)+SUMIFS(BalDip!$N$134:$N$157,BalDip!$C$134:$C$157,Used_before_Trf!A70)</f>
        <v>44.0340974794928</v>
      </c>
      <c r="AJ70" s="171">
        <f t="shared" ref="AJ70:AJ133" si="57">IF(AI70=0,0,AK70/AI70)</f>
        <v>14.054108870704352</v>
      </c>
      <c r="AK70" s="177">
        <f>SUMIFS(BalDip!$N$80:$N$106,BalDip!$C$80:$C$106,Used_before_Trf!A70)+SUMIFS(BalDip!$N$161:$N$184,BalDip!$C$161:$C$184,Used_before_Trf!A70)</f>
        <v>618.8599999999999</v>
      </c>
      <c r="AL70" s="178">
        <f t="shared" ref="AL70:AL133" si="58">+T70+W70-Z70</f>
        <v>1882.1604558311187</v>
      </c>
      <c r="AM70" s="179">
        <f t="shared" ref="AM70:AM133" si="59">IF(AL70=0,0,AN70/AL70)</f>
        <v>14.056899303155877</v>
      </c>
      <c r="AN70" s="440">
        <f t="shared" ref="AN70:AN133" si="60">+V70+Y70-AB70</f>
        <v>26457.34</v>
      </c>
      <c r="AO70" s="180">
        <f t="shared" si="40"/>
        <v>2.8593781768950777E-3</v>
      </c>
    </row>
    <row r="71" spans="1:41" s="108" customFormat="1" ht="15" customHeight="1">
      <c r="A71" s="82" t="s">
        <v>305</v>
      </c>
      <c r="B71" s="140" t="s">
        <v>306</v>
      </c>
      <c r="C71" s="136">
        <f>SUMIF('Che-Store'!A:A,Used_before_Trf!A71,'Che-Store'!AC:AC)+SUMIF('Che-Comp'!A:A,Used_before_Trf!A71,'Che-Comp'!AC:AC)</f>
        <v>0</v>
      </c>
      <c r="D71" s="137">
        <f t="shared" si="41"/>
        <v>0</v>
      </c>
      <c r="E71" s="138">
        <f>SUMIF('Che-Store'!A:A,Used_before_Trf!A71,'Che-Store'!AE:AE)+SUMIF('Che-Comp'!A:A,Used_before_Trf!A71,'Che-Comp'!AE:AE)</f>
        <v>0</v>
      </c>
      <c r="F71" s="136">
        <f>SUMIFS('Che-Comp'!F:F,'Che-Comp'!$A:$A,Used_before_Trf!$A71)</f>
        <v>0</v>
      </c>
      <c r="G71" s="138">
        <f>SUMIFS('Che-Comp'!G:G,'Che-Comp'!$A:$A,Used_before_Trf!$A71)</f>
        <v>0</v>
      </c>
      <c r="H71" s="137">
        <f t="shared" si="42"/>
        <v>0</v>
      </c>
      <c r="I71" s="137">
        <f t="shared" si="43"/>
        <v>0</v>
      </c>
      <c r="J71" s="137">
        <f t="shared" si="44"/>
        <v>0</v>
      </c>
      <c r="K71" s="158">
        <f>SUMIF('Che.-Prod'!A:A,Used_before_Trf!A71,'Che.-Prod'!D:D)</f>
        <v>0</v>
      </c>
      <c r="L71" s="137">
        <f t="shared" si="45"/>
        <v>0</v>
      </c>
      <c r="M71" s="159">
        <f>SUMIF('Che.-Prod'!A:A,Used_before_Trf!A71,'Che.-Prod'!F:F)</f>
        <v>0</v>
      </c>
      <c r="N71" s="160">
        <f>SUMIF('Che.-Prod'!A:A,Used_before_Trf!A71,'Che.-Prod'!G:G)</f>
        <v>0</v>
      </c>
      <c r="O71" s="161">
        <f t="shared" si="46"/>
        <v>0</v>
      </c>
      <c r="P71" s="162">
        <f>SUMIF('Che.-Prod'!A:A,Used_before_Trf!A71,'Che.-Prod'!H:H)</f>
        <v>0</v>
      </c>
      <c r="Q71" s="160">
        <f>SUMIF('Che.-Prod'!A:A,Used_before_Trf!A71,'Che.-Prod'!P:P)</f>
        <v>0</v>
      </c>
      <c r="R71" s="161">
        <f t="shared" si="47"/>
        <v>0</v>
      </c>
      <c r="S71" s="159">
        <f>SUMIF('Che.-Prod'!A:A,Used_before_Trf!A71,'Che.-Prod'!R:R)</f>
        <v>0</v>
      </c>
      <c r="T71" s="169">
        <f t="shared" si="48"/>
        <v>0</v>
      </c>
      <c r="U71" s="507">
        <f t="shared" si="49"/>
        <v>0</v>
      </c>
      <c r="V71" s="170">
        <f t="shared" si="50"/>
        <v>0</v>
      </c>
      <c r="W71" s="158">
        <f>SUMIF('CHE-last month'!$A:$A,Used_before_Trf!A71,'CHE-last month'!C:C)</f>
        <v>0</v>
      </c>
      <c r="X71" s="520">
        <f t="shared" si="51"/>
        <v>0</v>
      </c>
      <c r="Y71" s="162">
        <f>SUMIF('CHE-last month'!$A:$A,Used_before_Trf!A71,'CHE-last month'!E:E)</f>
        <v>0</v>
      </c>
      <c r="Z71" s="159">
        <f t="shared" si="52"/>
        <v>0</v>
      </c>
      <c r="AA71" s="520">
        <f t="shared" si="53"/>
        <v>0</v>
      </c>
      <c r="AB71" s="159">
        <f t="shared" si="54"/>
        <v>0</v>
      </c>
      <c r="AC71" s="160">
        <f>SUMIFS(BalCom!M:M,BalCom!N:N,Used_before_Trf!A71,BalCom!C:C,Used_before_Trf!$AC$1)</f>
        <v>0</v>
      </c>
      <c r="AD71" s="171">
        <f t="shared" si="55"/>
        <v>0</v>
      </c>
      <c r="AE71" s="159">
        <f>SUMIFS(BalCom!P:P,BalCom!N:N,Used_before_Trf!A71,BalCom!C:C,Used_before_Trf!$AC$1)</f>
        <v>0</v>
      </c>
      <c r="AF71" s="160">
        <f>SUMIFS(BalDis!I:I,BalDis!J:J,Used_before_Trf!A71)</f>
        <v>0</v>
      </c>
      <c r="AG71" s="171">
        <f t="shared" si="56"/>
        <v>0</v>
      </c>
      <c r="AH71" s="162">
        <f>SUMIFS(BalDis!L:L,BalDis!J:J,Used_before_Trf!A71)</f>
        <v>0</v>
      </c>
      <c r="AI71" s="159">
        <f>SUMIFS(BalDip!$N$49:$N$75,BalDip!$C$49:$C$75,Used_before_Trf!A71)+SUMIFS(BalDip!$N$134:$N$157,BalDip!$C$134:$C$157,Used_before_Trf!A71)</f>
        <v>0</v>
      </c>
      <c r="AJ71" s="171">
        <f t="shared" si="57"/>
        <v>0</v>
      </c>
      <c r="AK71" s="177">
        <f>SUMIFS(BalDip!$N$80:$N$106,BalDip!$C$80:$C$106,Used_before_Trf!A71)+SUMIFS(BalDip!$N$161:$N$184,BalDip!$C$161:$C$184,Used_before_Trf!A71)</f>
        <v>0</v>
      </c>
      <c r="AL71" s="178">
        <f t="shared" si="58"/>
        <v>0</v>
      </c>
      <c r="AM71" s="179">
        <f t="shared" si="59"/>
        <v>0</v>
      </c>
      <c r="AN71" s="440">
        <f t="shared" si="60"/>
        <v>0</v>
      </c>
      <c r="AO71" s="180">
        <f t="shared" si="40"/>
        <v>0</v>
      </c>
    </row>
    <row r="72" spans="1:41" s="108" customFormat="1" ht="15" customHeight="1">
      <c r="A72" s="82" t="s">
        <v>307</v>
      </c>
      <c r="B72" s="140" t="s">
        <v>308</v>
      </c>
      <c r="C72" s="136">
        <f>SUMIF('Che-Store'!A:A,Used_before_Trf!A72,'Che-Store'!AC:AC)+SUMIF('Che-Comp'!A:A,Used_before_Trf!A72,'Che-Comp'!AC:AC)</f>
        <v>0</v>
      </c>
      <c r="D72" s="137">
        <f t="shared" si="41"/>
        <v>0</v>
      </c>
      <c r="E72" s="138">
        <f>SUMIF('Che-Store'!A:A,Used_before_Trf!A72,'Che-Store'!AE:AE)+SUMIF('Che-Comp'!A:A,Used_before_Trf!A72,'Che-Comp'!AE:AE)</f>
        <v>0</v>
      </c>
      <c r="F72" s="136">
        <f>SUMIFS('Che-Comp'!F:F,'Che-Comp'!$A:$A,Used_before_Trf!$A72)</f>
        <v>0</v>
      </c>
      <c r="G72" s="138">
        <f>SUMIFS('Che-Comp'!G:G,'Che-Comp'!$A:$A,Used_before_Trf!$A72)</f>
        <v>0</v>
      </c>
      <c r="H72" s="137">
        <f t="shared" si="42"/>
        <v>0</v>
      </c>
      <c r="I72" s="137">
        <f t="shared" si="43"/>
        <v>0</v>
      </c>
      <c r="J72" s="137">
        <f t="shared" si="44"/>
        <v>0</v>
      </c>
      <c r="K72" s="158">
        <f>SUMIF('Che.-Prod'!A:A,Used_before_Trf!A72,'Che.-Prod'!D:D)</f>
        <v>0</v>
      </c>
      <c r="L72" s="137">
        <f t="shared" si="45"/>
        <v>0</v>
      </c>
      <c r="M72" s="159">
        <f>SUMIF('Che.-Prod'!A:A,Used_before_Trf!A72,'Che.-Prod'!F:F)</f>
        <v>0</v>
      </c>
      <c r="N72" s="160">
        <f>SUMIF('Che.-Prod'!A:A,Used_before_Trf!A72,'Che.-Prod'!G:G)</f>
        <v>0</v>
      </c>
      <c r="O72" s="161">
        <f t="shared" si="46"/>
        <v>0</v>
      </c>
      <c r="P72" s="162">
        <f>SUMIF('Che.-Prod'!A:A,Used_before_Trf!A72,'Che.-Prod'!H:H)</f>
        <v>0</v>
      </c>
      <c r="Q72" s="160">
        <f>SUMIF('Che.-Prod'!A:A,Used_before_Trf!A72,'Che.-Prod'!P:P)</f>
        <v>0</v>
      </c>
      <c r="R72" s="161">
        <f t="shared" si="47"/>
        <v>0</v>
      </c>
      <c r="S72" s="159">
        <f>SUMIF('Che.-Prod'!A:A,Used_before_Trf!A72,'Che.-Prod'!R:R)</f>
        <v>0</v>
      </c>
      <c r="T72" s="169">
        <f t="shared" si="48"/>
        <v>0</v>
      </c>
      <c r="U72" s="507">
        <v>13.07</v>
      </c>
      <c r="V72" s="170">
        <f t="shared" si="50"/>
        <v>0</v>
      </c>
      <c r="W72" s="158">
        <f>SUMIF('CHE-last month'!$A:$A,Used_before_Trf!A72,'CHE-last month'!C:C)</f>
        <v>1534.4433596425533</v>
      </c>
      <c r="X72" s="520">
        <f t="shared" si="51"/>
        <v>13.074343783320474</v>
      </c>
      <c r="Y72" s="162">
        <f>SUMIF('CHE-last month'!$A:$A,Used_before_Trf!A72,'CHE-last month'!E:E)</f>
        <v>20061.84</v>
      </c>
      <c r="Z72" s="159">
        <f t="shared" si="52"/>
        <v>1162.5153662486639</v>
      </c>
      <c r="AA72" s="520">
        <f t="shared" si="53"/>
        <v>13.069994979102894</v>
      </c>
      <c r="AB72" s="159">
        <f t="shared" si="54"/>
        <v>15194.07</v>
      </c>
      <c r="AC72" s="160">
        <f>SUMIFS(BalCom!M:M,BalCom!N:N,Used_before_Trf!A72,BalCom!C:C,Used_before_Trf!$AC$1)</f>
        <v>1162.5153662486639</v>
      </c>
      <c r="AD72" s="171">
        <f t="shared" si="55"/>
        <v>13.069994979102894</v>
      </c>
      <c r="AE72" s="159">
        <f>SUMIFS(BalCom!P:P,BalCom!N:N,Used_before_Trf!A72,BalCom!C:C,Used_before_Trf!$AC$1)</f>
        <v>15194.07</v>
      </c>
      <c r="AF72" s="160">
        <f>SUMIFS(BalDis!I:I,BalDis!J:J,Used_before_Trf!A72)</f>
        <v>0</v>
      </c>
      <c r="AG72" s="171">
        <f t="shared" si="56"/>
        <v>0</v>
      </c>
      <c r="AH72" s="162">
        <f>SUMIFS(BalDis!L:L,BalDis!J:J,Used_before_Trf!A72)</f>
        <v>0</v>
      </c>
      <c r="AI72" s="159">
        <f>SUMIFS(BalDip!$N$49:$N$75,BalDip!$C$49:$C$75,Used_before_Trf!A72)+SUMIFS(BalDip!$N$134:$N$157,BalDip!$C$134:$C$157,Used_before_Trf!A72)</f>
        <v>0</v>
      </c>
      <c r="AJ72" s="171">
        <f t="shared" si="57"/>
        <v>0</v>
      </c>
      <c r="AK72" s="177">
        <f>SUMIFS(BalDip!$N$80:$N$106,BalDip!$C$80:$C$106,Used_before_Trf!A72)+SUMIFS(BalDip!$N$161:$N$184,BalDip!$C$161:$C$184,Used_before_Trf!A72)</f>
        <v>0</v>
      </c>
      <c r="AL72" s="178">
        <f t="shared" si="58"/>
        <v>371.92799339388944</v>
      </c>
      <c r="AM72" s="179">
        <f t="shared" si="59"/>
        <v>13.087936607247523</v>
      </c>
      <c r="AN72" s="440">
        <f t="shared" si="60"/>
        <v>4867.7700000000004</v>
      </c>
      <c r="AO72" s="180">
        <f t="shared" ref="AO72:AO143" si="61">AM72-U72</f>
        <v>1.7936607247522218E-2</v>
      </c>
    </row>
    <row r="73" spans="1:41" s="108" customFormat="1" ht="15" customHeight="1">
      <c r="A73" s="135" t="s">
        <v>309</v>
      </c>
      <c r="B73" s="511" t="s">
        <v>310</v>
      </c>
      <c r="C73" s="136">
        <f>SUMIF('Che-Store'!A:A,Used_before_Trf!A73,'Che-Store'!AC:AC)+SUMIF('Che-Comp'!A:A,Used_before_Trf!A73,'Che-Comp'!AC:AC)</f>
        <v>492.8</v>
      </c>
      <c r="D73" s="137">
        <f t="shared" si="41"/>
        <v>15.839082792207792</v>
      </c>
      <c r="E73" s="138">
        <f>SUMIF('Che-Store'!A:A,Used_before_Trf!A73,'Che-Store'!AE:AE)+SUMIF('Che-Comp'!A:A,Used_before_Trf!A73,'Che-Comp'!AE:AE)</f>
        <v>7805.5</v>
      </c>
      <c r="F73" s="136">
        <f>SUMIFS('Che-Comp'!F:F,'Che-Comp'!$A:$A,Used_before_Trf!$A73)</f>
        <v>0</v>
      </c>
      <c r="G73" s="138">
        <f>SUMIFS('Che-Comp'!G:G,'Che-Comp'!$A:$A,Used_before_Trf!$A73)</f>
        <v>0</v>
      </c>
      <c r="H73" s="137">
        <f t="shared" si="42"/>
        <v>492.8</v>
      </c>
      <c r="I73" s="137">
        <f t="shared" si="43"/>
        <v>15.839082792207792</v>
      </c>
      <c r="J73" s="137">
        <f t="shared" si="44"/>
        <v>7805.5</v>
      </c>
      <c r="K73" s="158">
        <f>SUMIF('Che.-Prod'!A:A,Used_before_Trf!A73,'Che.-Prod'!D:D)</f>
        <v>720</v>
      </c>
      <c r="L73" s="137">
        <f t="shared" si="45"/>
        <v>16.2</v>
      </c>
      <c r="M73" s="159">
        <f>SUMIF('Che.-Prod'!A:A,Used_before_Trf!A73,'Che.-Prod'!F:F)</f>
        <v>11664</v>
      </c>
      <c r="N73" s="160">
        <f>SUMIF('Che.-Prod'!A:A,Used_before_Trf!A73,'Che.-Prod'!G:G)</f>
        <v>0</v>
      </c>
      <c r="O73" s="161">
        <f t="shared" si="46"/>
        <v>0</v>
      </c>
      <c r="P73" s="162">
        <f>SUMIF('Che.-Prod'!A:A,Used_before_Trf!A73,'Che.-Prod'!H:H)</f>
        <v>0</v>
      </c>
      <c r="Q73" s="160">
        <f>SUMIF('Che.-Prod'!A:A,Used_before_Trf!A73,'Che.-Prod'!P:P)</f>
        <v>720</v>
      </c>
      <c r="R73" s="161">
        <f t="shared" si="47"/>
        <v>16.2</v>
      </c>
      <c r="S73" s="159">
        <f>SUMIF('Che.-Prod'!A:A,Used_before_Trf!A73,'Che.-Prod'!R:R)</f>
        <v>11664</v>
      </c>
      <c r="T73" s="169">
        <f t="shared" si="48"/>
        <v>492.79999999999995</v>
      </c>
      <c r="U73" s="507">
        <f t="shared" si="49"/>
        <v>15.839082792207794</v>
      </c>
      <c r="V73" s="170">
        <f t="shared" si="50"/>
        <v>7805.5</v>
      </c>
      <c r="W73" s="158">
        <f>SUMIF('CHE-last month'!$A:$A,Used_before_Trf!A73,'CHE-last month'!C:C)</f>
        <v>32.201704000000007</v>
      </c>
      <c r="X73" s="520">
        <f t="shared" si="51"/>
        <v>10.826135163530475</v>
      </c>
      <c r="Y73" s="162">
        <f>SUMIF('CHE-last month'!$A:$A,Used_before_Trf!A73,'CHE-last month'!E:E)</f>
        <v>348.62</v>
      </c>
      <c r="Z73" s="159">
        <f t="shared" si="52"/>
        <v>16.130464</v>
      </c>
      <c r="AA73" s="520">
        <f t="shared" si="53"/>
        <v>15.838974005955439</v>
      </c>
      <c r="AB73" s="159">
        <f t="shared" si="54"/>
        <v>255.49</v>
      </c>
      <c r="AC73" s="160">
        <f>SUMIFS(BalCom!M:M,BalCom!N:N,Used_before_Trf!A73,BalCom!C:C,Used_before_Trf!$AC$1)</f>
        <v>0</v>
      </c>
      <c r="AD73" s="171">
        <f t="shared" si="55"/>
        <v>0</v>
      </c>
      <c r="AE73" s="159">
        <f>SUMIFS(BalCom!P:P,BalCom!N:N,Used_before_Trf!A73,BalCom!C:C,Used_before_Trf!$AC$1)</f>
        <v>0</v>
      </c>
      <c r="AF73" s="160">
        <f>SUMIFS(BalDis!I:I,BalDis!J:J,Used_before_Trf!A73)</f>
        <v>16.130464</v>
      </c>
      <c r="AG73" s="171">
        <f t="shared" si="56"/>
        <v>15.838974005955439</v>
      </c>
      <c r="AH73" s="162">
        <f>SUMIFS(BalDis!L:L,BalDis!J:J,Used_before_Trf!A73)</f>
        <v>255.49</v>
      </c>
      <c r="AI73" s="159">
        <f>SUMIFS(BalDip!$N$49:$N$75,BalDip!$C$49:$C$75,Used_before_Trf!A73)+SUMIFS(BalDip!$N$134:$N$157,BalDip!$C$134:$C$157,Used_before_Trf!A73)</f>
        <v>0</v>
      </c>
      <c r="AJ73" s="171">
        <f t="shared" si="57"/>
        <v>0</v>
      </c>
      <c r="AK73" s="177">
        <f>SUMIFS(BalDip!$N$80:$N$106,BalDip!$C$80:$C$106,Used_before_Trf!A73)+SUMIFS(BalDip!$N$161:$N$184,BalDip!$C$161:$C$184,Used_before_Trf!A73)</f>
        <v>0</v>
      </c>
      <c r="AL73" s="178">
        <f t="shared" si="58"/>
        <v>508.87124</v>
      </c>
      <c r="AM73" s="179">
        <f t="shared" si="59"/>
        <v>15.521863644720813</v>
      </c>
      <c r="AN73" s="440">
        <f t="shared" si="60"/>
        <v>7898.63</v>
      </c>
      <c r="AO73" s="180">
        <f>AM73-U73</f>
        <v>-0.31721914748698055</v>
      </c>
    </row>
    <row r="74" spans="1:41" s="108" customFormat="1" ht="15" customHeight="1">
      <c r="A74" s="135" t="s">
        <v>311</v>
      </c>
      <c r="B74" s="511" t="s">
        <v>312</v>
      </c>
      <c r="C74" s="136">
        <f>SUMIF('Che-Store'!A:A,Used_before_Trf!A74,'Che-Store'!AC:AC)+SUMIF('Che-Comp'!A:A,Used_before_Trf!A74,'Che-Comp'!AC:AC)</f>
        <v>0</v>
      </c>
      <c r="D74" s="137">
        <f t="shared" si="41"/>
        <v>0</v>
      </c>
      <c r="E74" s="138">
        <f>SUMIF('Che-Store'!A:A,Used_before_Trf!A74,'Che-Store'!AE:AE)+SUMIF('Che-Comp'!A:A,Used_before_Trf!A74,'Che-Comp'!AE:AE)</f>
        <v>0</v>
      </c>
      <c r="F74" s="136">
        <f>SUMIFS('Che-Comp'!F:F,'Che-Comp'!$A:$A,Used_before_Trf!$A74)</f>
        <v>0</v>
      </c>
      <c r="G74" s="138">
        <f>SUMIFS('Che-Comp'!G:G,'Che-Comp'!$A:$A,Used_before_Trf!$A74)</f>
        <v>0</v>
      </c>
      <c r="H74" s="137">
        <f t="shared" si="42"/>
        <v>0</v>
      </c>
      <c r="I74" s="137">
        <f t="shared" si="43"/>
        <v>0</v>
      </c>
      <c r="J74" s="137">
        <f t="shared" si="44"/>
        <v>0</v>
      </c>
      <c r="K74" s="158">
        <f>SUMIF('Che.-Prod'!A:A,Used_before_Trf!A74,'Che.-Prod'!D:D)</f>
        <v>0</v>
      </c>
      <c r="L74" s="137">
        <f t="shared" si="45"/>
        <v>0</v>
      </c>
      <c r="M74" s="159">
        <f>SUMIF('Che.-Prod'!A:A,Used_before_Trf!A74,'Che.-Prod'!F:F)</f>
        <v>0</v>
      </c>
      <c r="N74" s="160">
        <f>SUMIF('Che.-Prod'!A:A,Used_before_Trf!A74,'Che.-Prod'!G:G)</f>
        <v>0</v>
      </c>
      <c r="O74" s="161">
        <f t="shared" si="46"/>
        <v>0</v>
      </c>
      <c r="P74" s="162">
        <f>SUMIF('Che.-Prod'!A:A,Used_before_Trf!A74,'Che.-Prod'!H:H)</f>
        <v>0</v>
      </c>
      <c r="Q74" s="160">
        <f>SUMIF('Che.-Prod'!A:A,Used_before_Trf!A74,'Che.-Prod'!P:P)</f>
        <v>0</v>
      </c>
      <c r="R74" s="161">
        <f t="shared" si="47"/>
        <v>0</v>
      </c>
      <c r="S74" s="159">
        <f>SUMIF('Che.-Prod'!A:A,Used_before_Trf!A74,'Che.-Prod'!R:R)</f>
        <v>0</v>
      </c>
      <c r="T74" s="169">
        <f t="shared" si="48"/>
        <v>0</v>
      </c>
      <c r="U74" s="507">
        <f t="shared" si="49"/>
        <v>0</v>
      </c>
      <c r="V74" s="170">
        <f t="shared" si="50"/>
        <v>0</v>
      </c>
      <c r="W74" s="158">
        <f>SUMIF('CHE-last month'!$A:$A,Used_before_Trf!A74,'CHE-last month'!C:C)</f>
        <v>0</v>
      </c>
      <c r="X74" s="520">
        <f t="shared" si="51"/>
        <v>0</v>
      </c>
      <c r="Y74" s="162">
        <f>SUMIF('CHE-last month'!$A:$A,Used_before_Trf!A74,'CHE-last month'!E:E)</f>
        <v>0</v>
      </c>
      <c r="Z74" s="159">
        <f t="shared" si="52"/>
        <v>0</v>
      </c>
      <c r="AA74" s="520">
        <f t="shared" si="53"/>
        <v>0</v>
      </c>
      <c r="AB74" s="159">
        <f t="shared" si="54"/>
        <v>0</v>
      </c>
      <c r="AC74" s="160">
        <f>SUMIFS(BalCom!M:M,BalCom!N:N,Used_before_Trf!A74,BalCom!C:C,Used_before_Trf!$AC$1)</f>
        <v>0</v>
      </c>
      <c r="AD74" s="171">
        <f t="shared" si="55"/>
        <v>0</v>
      </c>
      <c r="AE74" s="159">
        <f>SUMIFS(BalCom!P:P,BalCom!N:N,Used_before_Trf!A74,BalCom!C:C,Used_before_Trf!$AC$1)</f>
        <v>0</v>
      </c>
      <c r="AF74" s="160">
        <f>SUMIFS(BalDis!I:I,BalDis!J:J,Used_before_Trf!A74)</f>
        <v>0</v>
      </c>
      <c r="AG74" s="171">
        <f t="shared" si="56"/>
        <v>0</v>
      </c>
      <c r="AH74" s="162">
        <f>SUMIFS(BalDis!L:L,BalDis!J:J,Used_before_Trf!A74)</f>
        <v>0</v>
      </c>
      <c r="AI74" s="159">
        <f>SUMIFS(BalDip!$N$49:$N$75,BalDip!$C$49:$C$75,Used_before_Trf!A74)+SUMIFS(BalDip!$N$134:$N$157,BalDip!$C$134:$C$157,Used_before_Trf!A74)</f>
        <v>0</v>
      </c>
      <c r="AJ74" s="171">
        <f t="shared" si="57"/>
        <v>0</v>
      </c>
      <c r="AK74" s="177">
        <f>SUMIFS(BalDip!$N$80:$N$106,BalDip!$C$80:$C$106,Used_before_Trf!A74)+SUMIFS(BalDip!$N$161:$N$184,BalDip!$C$161:$C$184,Used_before_Trf!A74)</f>
        <v>0</v>
      </c>
      <c r="AL74" s="178">
        <f t="shared" si="58"/>
        <v>0</v>
      </c>
      <c r="AM74" s="179">
        <f t="shared" si="59"/>
        <v>0</v>
      </c>
      <c r="AN74" s="440">
        <f t="shared" si="60"/>
        <v>0</v>
      </c>
      <c r="AO74" s="180">
        <f t="shared" ref="AO74:AO122" si="62">AM74-U74</f>
        <v>0</v>
      </c>
    </row>
    <row r="75" spans="1:41" s="108" customFormat="1" ht="15" customHeight="1">
      <c r="A75" s="135" t="s">
        <v>313</v>
      </c>
      <c r="B75" s="511" t="s">
        <v>314</v>
      </c>
      <c r="C75" s="136">
        <f>SUMIF('Che-Store'!A:A,Used_before_Trf!A75,'Che-Store'!AC:AC)+SUMIF('Che-Comp'!A:A,Used_before_Trf!A75,'Che-Comp'!AC:AC)</f>
        <v>12494.7</v>
      </c>
      <c r="D75" s="137">
        <f t="shared" si="41"/>
        <v>62.807467966417754</v>
      </c>
      <c r="E75" s="138">
        <f>SUMIF('Che-Store'!A:A,Used_before_Trf!A75,'Che-Store'!AE:AE)+SUMIF('Che-Comp'!A:A,Used_before_Trf!A75,'Che-Comp'!AE:AE)</f>
        <v>784760.47</v>
      </c>
      <c r="F75" s="136">
        <f>SUMIFS('Che-Comp'!F:F,'Che-Comp'!$A:$A,Used_before_Trf!$A75)</f>
        <v>0</v>
      </c>
      <c r="G75" s="138">
        <f>SUMIFS('Che-Comp'!G:G,'Che-Comp'!$A:$A,Used_before_Trf!$A75)</f>
        <v>0</v>
      </c>
      <c r="H75" s="137">
        <f t="shared" si="42"/>
        <v>12494.7</v>
      </c>
      <c r="I75" s="137">
        <f t="shared" si="43"/>
        <v>62.807467966417754</v>
      </c>
      <c r="J75" s="137">
        <f t="shared" si="44"/>
        <v>784760.47</v>
      </c>
      <c r="K75" s="158">
        <f>SUMIF('Che.-Prod'!A:A,Used_before_Trf!A75,'Che.-Prod'!D:D)</f>
        <v>0</v>
      </c>
      <c r="L75" s="137">
        <f t="shared" si="45"/>
        <v>0</v>
      </c>
      <c r="M75" s="159">
        <f>SUMIF('Che.-Prod'!A:A,Used_before_Trf!A75,'Che.-Prod'!F:F)</f>
        <v>0</v>
      </c>
      <c r="N75" s="160">
        <f>SUMIF('Che.-Prod'!A:A,Used_before_Trf!A75,'Che.-Prod'!G:G)</f>
        <v>0</v>
      </c>
      <c r="O75" s="161">
        <f t="shared" si="46"/>
        <v>0</v>
      </c>
      <c r="P75" s="162">
        <f>SUMIF('Che.-Prod'!A:A,Used_before_Trf!A75,'Che.-Prod'!H:H)</f>
        <v>0</v>
      </c>
      <c r="Q75" s="160">
        <f>SUMIF('Che.-Prod'!A:A,Used_before_Trf!A75,'Che.-Prod'!P:P)</f>
        <v>0</v>
      </c>
      <c r="R75" s="161">
        <f t="shared" si="47"/>
        <v>0</v>
      </c>
      <c r="S75" s="159">
        <f>SUMIF('Che.-Prod'!A:A,Used_before_Trf!A75,'Che.-Prod'!R:R)</f>
        <v>0</v>
      </c>
      <c r="T75" s="169">
        <f t="shared" si="48"/>
        <v>12494.7</v>
      </c>
      <c r="U75" s="507">
        <f t="shared" si="49"/>
        <v>62.807467966417754</v>
      </c>
      <c r="V75" s="170">
        <f t="shared" si="50"/>
        <v>784760.47</v>
      </c>
      <c r="W75" s="158">
        <f>SUMIF('CHE-last month'!$A:$A,Used_before_Trf!A75,'CHE-last month'!C:C)</f>
        <v>1579.2950000000001</v>
      </c>
      <c r="X75" s="520">
        <f t="shared" si="51"/>
        <v>62.664005141534666</v>
      </c>
      <c r="Y75" s="162">
        <f>SUMIF('CHE-last month'!$A:$A,Used_before_Trf!A75,'CHE-last month'!E:E)</f>
        <v>98964.95</v>
      </c>
      <c r="Z75" s="159">
        <f t="shared" si="52"/>
        <v>1019.22</v>
      </c>
      <c r="AA75" s="520">
        <f t="shared" si="53"/>
        <v>62.807470418555361</v>
      </c>
      <c r="AB75" s="159">
        <f t="shared" si="54"/>
        <v>64014.63</v>
      </c>
      <c r="AC75" s="160">
        <f>SUMIFS(BalCom!M:M,BalCom!N:N,Used_before_Trf!A75,BalCom!C:C,Used_before_Trf!$AC$1)</f>
        <v>0</v>
      </c>
      <c r="AD75" s="171">
        <f t="shared" si="55"/>
        <v>0</v>
      </c>
      <c r="AE75" s="159">
        <f>SUMIFS(BalCom!P:P,BalCom!N:N,Used_before_Trf!A75,BalCom!C:C,Used_before_Trf!$AC$1)</f>
        <v>0</v>
      </c>
      <c r="AF75" s="160">
        <f>SUMIFS(BalDis!I:I,BalDis!J:J,Used_before_Trf!A75)</f>
        <v>584.22</v>
      </c>
      <c r="AG75" s="171">
        <f t="shared" si="56"/>
        <v>62.807469788778192</v>
      </c>
      <c r="AH75" s="162">
        <f>SUMIFS(BalDis!L:L,BalDis!J:J,Used_before_Trf!A75)</f>
        <v>36693.379999999997</v>
      </c>
      <c r="AI75" s="159">
        <f>SUMIFS(BalDip!$N$49:$N$75,BalDip!$C$49:$C$75,Used_before_Trf!A75)+SUMIFS(BalDip!$N$134:$N$157,BalDip!$C$134:$C$157,Used_before_Trf!A75)</f>
        <v>435</v>
      </c>
      <c r="AJ75" s="171">
        <f t="shared" si="57"/>
        <v>62.807471264367813</v>
      </c>
      <c r="AK75" s="177">
        <f>SUMIFS(BalDip!$N$80:$N$106,BalDip!$C$80:$C$106,Used_before_Trf!A75)+SUMIFS(BalDip!$N$161:$N$184,BalDip!$C$161:$C$184,Used_before_Trf!A75)</f>
        <v>27321.25</v>
      </c>
      <c r="AL75" s="178">
        <f t="shared" si="58"/>
        <v>13054.775000000001</v>
      </c>
      <c r="AM75" s="179">
        <f t="shared" si="59"/>
        <v>62.790112430126129</v>
      </c>
      <c r="AN75" s="440">
        <f t="shared" si="60"/>
        <v>819710.78999999992</v>
      </c>
      <c r="AO75" s="180">
        <f t="shared" si="62"/>
        <v>-1.7355536291624674E-2</v>
      </c>
    </row>
    <row r="76" spans="1:41" s="108" customFormat="1" ht="15" customHeight="1">
      <c r="A76" s="82" t="s">
        <v>315</v>
      </c>
      <c r="B76" s="140" t="s">
        <v>316</v>
      </c>
      <c r="C76" s="136">
        <f>SUMIF('Che-Store'!A:A,Used_before_Trf!A76,'Che-Store'!AC:AC)+SUMIF('Che-Comp'!A:A,Used_before_Trf!A76,'Che-Comp'!AC:AC)</f>
        <v>0</v>
      </c>
      <c r="D76" s="137">
        <f t="shared" si="41"/>
        <v>0</v>
      </c>
      <c r="E76" s="138">
        <f>SUMIF('Che-Store'!A:A,Used_before_Trf!A76,'Che-Store'!AE:AE)+SUMIF('Che-Comp'!A:A,Used_before_Trf!A76,'Che-Comp'!AE:AE)</f>
        <v>0</v>
      </c>
      <c r="F76" s="136">
        <f>SUMIFS('Che-Comp'!F:F,'Che-Comp'!$A:$A,Used_before_Trf!$A76)</f>
        <v>0</v>
      </c>
      <c r="G76" s="138">
        <f>SUMIFS('Che-Comp'!G:G,'Che-Comp'!$A:$A,Used_before_Trf!$A76)</f>
        <v>0</v>
      </c>
      <c r="H76" s="137">
        <f t="shared" si="42"/>
        <v>0</v>
      </c>
      <c r="I76" s="137">
        <f t="shared" si="43"/>
        <v>0</v>
      </c>
      <c r="J76" s="137">
        <f t="shared" si="44"/>
        <v>0</v>
      </c>
      <c r="K76" s="158">
        <f>SUMIF('Che.-Prod'!A:A,Used_before_Trf!A76,'Che.-Prod'!D:D)</f>
        <v>0</v>
      </c>
      <c r="L76" s="137">
        <f t="shared" si="45"/>
        <v>0</v>
      </c>
      <c r="M76" s="159">
        <f>SUMIF('Che.-Prod'!A:A,Used_before_Trf!A76,'Che.-Prod'!F:F)</f>
        <v>0</v>
      </c>
      <c r="N76" s="160">
        <f>SUMIF('Che.-Prod'!A:A,Used_before_Trf!A76,'Che.-Prod'!G:G)</f>
        <v>0</v>
      </c>
      <c r="O76" s="161">
        <f t="shared" si="46"/>
        <v>0</v>
      </c>
      <c r="P76" s="162">
        <f>SUMIF('Che.-Prod'!A:A,Used_before_Trf!A76,'Che.-Prod'!H:H)</f>
        <v>0</v>
      </c>
      <c r="Q76" s="160">
        <f>SUMIF('Che.-Prod'!A:A,Used_before_Trf!A76,'Che.-Prod'!P:P)</f>
        <v>0</v>
      </c>
      <c r="R76" s="161">
        <f t="shared" si="47"/>
        <v>0</v>
      </c>
      <c r="S76" s="159">
        <f>SUMIF('Che.-Prod'!A:A,Used_before_Trf!A76,'Che.-Prod'!R:R)</f>
        <v>0</v>
      </c>
      <c r="T76" s="169">
        <f t="shared" si="48"/>
        <v>0</v>
      </c>
      <c r="U76" s="507">
        <f t="shared" si="49"/>
        <v>0</v>
      </c>
      <c r="V76" s="170">
        <f t="shared" si="50"/>
        <v>0</v>
      </c>
      <c r="W76" s="158">
        <f>SUMIF('CHE-last month'!$A:$A,Used_before_Trf!A76,'CHE-last month'!C:C)</f>
        <v>0</v>
      </c>
      <c r="X76" s="520">
        <f t="shared" si="51"/>
        <v>0</v>
      </c>
      <c r="Y76" s="162">
        <f>SUMIF('CHE-last month'!$A:$A,Used_before_Trf!A76,'CHE-last month'!E:E)</f>
        <v>0</v>
      </c>
      <c r="Z76" s="159">
        <f t="shared" si="52"/>
        <v>0</v>
      </c>
      <c r="AA76" s="520">
        <f t="shared" si="53"/>
        <v>0</v>
      </c>
      <c r="AB76" s="159">
        <f t="shared" si="54"/>
        <v>0</v>
      </c>
      <c r="AC76" s="160">
        <f>SUMIFS(BalCom!M:M,BalCom!N:N,Used_before_Trf!A76,BalCom!C:C,Used_before_Trf!$AC$1)</f>
        <v>0</v>
      </c>
      <c r="AD76" s="171">
        <f t="shared" si="55"/>
        <v>0</v>
      </c>
      <c r="AE76" s="159">
        <f>SUMIFS(BalCom!P:P,BalCom!N:N,Used_before_Trf!A76,BalCom!C:C,Used_before_Trf!$AC$1)</f>
        <v>0</v>
      </c>
      <c r="AF76" s="160">
        <f>SUMIFS(BalDis!I:I,BalDis!J:J,Used_before_Trf!A76)</f>
        <v>0</v>
      </c>
      <c r="AG76" s="171">
        <f t="shared" si="56"/>
        <v>0</v>
      </c>
      <c r="AH76" s="162">
        <f>SUMIFS(BalDis!L:L,BalDis!J:J,Used_before_Trf!A76)</f>
        <v>0</v>
      </c>
      <c r="AI76" s="159">
        <f>SUMIFS(BalDip!$N$49:$N$75,BalDip!$C$49:$C$75,Used_before_Trf!A76)+SUMIFS(BalDip!$N$134:$N$157,BalDip!$C$134:$C$157,Used_before_Trf!A76)</f>
        <v>0</v>
      </c>
      <c r="AJ76" s="171">
        <f t="shared" si="57"/>
        <v>0</v>
      </c>
      <c r="AK76" s="177">
        <f>SUMIFS(BalDip!$N$80:$N$106,BalDip!$C$80:$C$106,Used_before_Trf!A76)+SUMIFS(BalDip!$N$161:$N$184,BalDip!$C$161:$C$184,Used_before_Trf!A76)</f>
        <v>0</v>
      </c>
      <c r="AL76" s="178">
        <f t="shared" si="58"/>
        <v>0</v>
      </c>
      <c r="AM76" s="179">
        <f t="shared" si="59"/>
        <v>0</v>
      </c>
      <c r="AN76" s="440">
        <f t="shared" si="60"/>
        <v>0</v>
      </c>
      <c r="AO76" s="180">
        <f t="shared" si="62"/>
        <v>0</v>
      </c>
    </row>
    <row r="77" spans="1:41" s="108" customFormat="1" ht="15" customHeight="1">
      <c r="A77" s="135" t="s">
        <v>317</v>
      </c>
      <c r="B77" s="511" t="s">
        <v>318</v>
      </c>
      <c r="C77" s="136">
        <f>SUMIF('Che-Store'!A:A,Used_before_Trf!A77,'Che-Store'!AC:AC)+SUMIF('Che-Comp'!A:A,Used_before_Trf!A77,'Che-Comp'!AC:AC)</f>
        <v>3130</v>
      </c>
      <c r="D77" s="137">
        <f t="shared" si="41"/>
        <v>51.835463258785943</v>
      </c>
      <c r="E77" s="138">
        <f>SUMIF('Che-Store'!A:A,Used_before_Trf!A77,'Che-Store'!AE:AE)+SUMIF('Che-Comp'!A:A,Used_before_Trf!A77,'Che-Comp'!AE:AE)</f>
        <v>162245</v>
      </c>
      <c r="F77" s="136">
        <f>SUMIFS('Che-Comp'!F:F,'Che-Comp'!$A:$A,Used_before_Trf!$A77)</f>
        <v>0</v>
      </c>
      <c r="G77" s="138">
        <f>SUMIFS('Che-Comp'!G:G,'Che-Comp'!$A:$A,Used_before_Trf!$A77)</f>
        <v>0</v>
      </c>
      <c r="H77" s="137">
        <f t="shared" si="42"/>
        <v>3130</v>
      </c>
      <c r="I77" s="137">
        <f t="shared" si="43"/>
        <v>51.835463258785943</v>
      </c>
      <c r="J77" s="137">
        <f t="shared" si="44"/>
        <v>162245</v>
      </c>
      <c r="K77" s="158">
        <f>SUMIF('Che.-Prod'!A:A,Used_before_Trf!A77,'Che.-Prod'!D:D)</f>
        <v>0</v>
      </c>
      <c r="L77" s="137">
        <f t="shared" si="45"/>
        <v>0</v>
      </c>
      <c r="M77" s="159">
        <f>SUMIF('Che.-Prod'!A:A,Used_before_Trf!A77,'Che.-Prod'!F:F)</f>
        <v>0</v>
      </c>
      <c r="N77" s="160">
        <f>SUMIF('Che.-Prod'!A:A,Used_before_Trf!A77,'Che.-Prod'!G:G)</f>
        <v>0</v>
      </c>
      <c r="O77" s="161">
        <f t="shared" si="46"/>
        <v>0</v>
      </c>
      <c r="P77" s="162">
        <f>SUMIF('Che.-Prod'!A:A,Used_before_Trf!A77,'Che.-Prod'!H:H)</f>
        <v>0</v>
      </c>
      <c r="Q77" s="160">
        <f>SUMIF('Che.-Prod'!A:A,Used_before_Trf!A77,'Che.-Prod'!P:P)</f>
        <v>0</v>
      </c>
      <c r="R77" s="161">
        <f t="shared" si="47"/>
        <v>0</v>
      </c>
      <c r="S77" s="159">
        <f>SUMIF('Che.-Prod'!A:A,Used_before_Trf!A77,'Che.-Prod'!R:R)</f>
        <v>0</v>
      </c>
      <c r="T77" s="169">
        <f t="shared" si="48"/>
        <v>3130</v>
      </c>
      <c r="U77" s="507">
        <f t="shared" si="49"/>
        <v>51.835463258785943</v>
      </c>
      <c r="V77" s="170">
        <f t="shared" si="50"/>
        <v>162245</v>
      </c>
      <c r="W77" s="158">
        <f>SUMIF('CHE-last month'!$A:$A,Used_before_Trf!A77,'CHE-last month'!C:C)</f>
        <v>473.45058741258742</v>
      </c>
      <c r="X77" s="520">
        <f t="shared" si="51"/>
        <v>51.85533750031054</v>
      </c>
      <c r="Y77" s="162">
        <f>SUMIF('CHE-last month'!$A:$A,Used_before_Trf!A77,'CHE-last month'!E:E)</f>
        <v>24550.94</v>
      </c>
      <c r="Z77" s="159">
        <f t="shared" si="52"/>
        <v>378.58519999999999</v>
      </c>
      <c r="AA77" s="520">
        <f t="shared" si="53"/>
        <v>51.83546530609226</v>
      </c>
      <c r="AB77" s="159">
        <f t="shared" si="54"/>
        <v>19624.14</v>
      </c>
      <c r="AC77" s="160">
        <f>SUMIFS(BalCom!M:M,BalCom!N:N,Used_before_Trf!A77,BalCom!C:C,Used_before_Trf!$AC$1)</f>
        <v>0</v>
      </c>
      <c r="AD77" s="171">
        <f t="shared" si="55"/>
        <v>0</v>
      </c>
      <c r="AE77" s="159">
        <f>SUMIFS(BalCom!P:P,BalCom!N:N,Used_before_Trf!A77,BalCom!C:C,Used_before_Trf!$AC$1)</f>
        <v>0</v>
      </c>
      <c r="AF77" s="160">
        <f>SUMIFS(BalDis!I:I,BalDis!J:J,Used_before_Trf!A77)</f>
        <v>74.155199999999994</v>
      </c>
      <c r="AG77" s="171">
        <f t="shared" si="56"/>
        <v>51.835474788012171</v>
      </c>
      <c r="AH77" s="162">
        <f>SUMIFS(BalDis!L:L,BalDis!J:J,Used_before_Trf!A77)</f>
        <v>3843.87</v>
      </c>
      <c r="AI77" s="159">
        <f>SUMIFS(BalDip!$N$49:$N$75,BalDip!$C$49:$C$75,Used_before_Trf!A77)+SUMIFS(BalDip!$N$134:$N$157,BalDip!$C$134:$C$157,Used_before_Trf!A77)</f>
        <v>304.43</v>
      </c>
      <c r="AJ77" s="171">
        <f t="shared" si="57"/>
        <v>51.835462996419537</v>
      </c>
      <c r="AK77" s="177">
        <f>SUMIFS(BalDip!$N$80:$N$106,BalDip!$C$80:$C$106,Used_before_Trf!A77)+SUMIFS(BalDip!$N$161:$N$184,BalDip!$C$161:$C$184,Used_before_Trf!A77)</f>
        <v>15780.27</v>
      </c>
      <c r="AL77" s="178">
        <f t="shared" si="58"/>
        <v>3224.8653874125876</v>
      </c>
      <c r="AM77" s="179">
        <f t="shared" si="59"/>
        <v>51.838380805757375</v>
      </c>
      <c r="AN77" s="440">
        <f t="shared" si="60"/>
        <v>167171.79999999999</v>
      </c>
      <c r="AO77" s="180">
        <f t="shared" si="62"/>
        <v>2.9175469714317614E-3</v>
      </c>
    </row>
    <row r="78" spans="1:41" s="108" customFormat="1" ht="15" customHeight="1">
      <c r="A78" s="135" t="s">
        <v>319</v>
      </c>
      <c r="B78" s="511" t="s">
        <v>320</v>
      </c>
      <c r="C78" s="136">
        <f>SUMIF('Che-Store'!A:A,Used_before_Trf!A78,'Che-Store'!AC:AC)+SUMIF('Che-Comp'!A:A,Used_before_Trf!A78,'Che-Comp'!AC:AC)</f>
        <v>0</v>
      </c>
      <c r="D78" s="137">
        <f t="shared" si="41"/>
        <v>0</v>
      </c>
      <c r="E78" s="138">
        <f>SUMIF('Che-Store'!A:A,Used_before_Trf!A78,'Che-Store'!AE:AE)+SUMIF('Che-Comp'!A:A,Used_before_Trf!A78,'Che-Comp'!AE:AE)</f>
        <v>0</v>
      </c>
      <c r="F78" s="136">
        <f>SUMIFS('Che-Comp'!F:F,'Che-Comp'!$A:$A,Used_before_Trf!$A78)</f>
        <v>0</v>
      </c>
      <c r="G78" s="138">
        <f>SUMIFS('Che-Comp'!G:G,'Che-Comp'!$A:$A,Used_before_Trf!$A78)</f>
        <v>0</v>
      </c>
      <c r="H78" s="137">
        <f t="shared" si="42"/>
        <v>0</v>
      </c>
      <c r="I78" s="137">
        <f t="shared" si="43"/>
        <v>0</v>
      </c>
      <c r="J78" s="137">
        <f t="shared" si="44"/>
        <v>0</v>
      </c>
      <c r="K78" s="158">
        <f>SUMIF('Che.-Prod'!A:A,Used_before_Trf!A78,'Che.-Prod'!D:D)</f>
        <v>0</v>
      </c>
      <c r="L78" s="137">
        <f t="shared" si="45"/>
        <v>0</v>
      </c>
      <c r="M78" s="159">
        <f>SUMIF('Che.-Prod'!A:A,Used_before_Trf!A78,'Che.-Prod'!F:F)</f>
        <v>0</v>
      </c>
      <c r="N78" s="160">
        <f>SUMIF('Che.-Prod'!A:A,Used_before_Trf!A78,'Che.-Prod'!G:G)</f>
        <v>0</v>
      </c>
      <c r="O78" s="161">
        <f t="shared" si="46"/>
        <v>0</v>
      </c>
      <c r="P78" s="162">
        <f>SUMIF('Che.-Prod'!A:A,Used_before_Trf!A78,'Che.-Prod'!H:H)</f>
        <v>0</v>
      </c>
      <c r="Q78" s="160">
        <f>SUMIF('Che.-Prod'!A:A,Used_before_Trf!A78,'Che.-Prod'!P:P)</f>
        <v>0</v>
      </c>
      <c r="R78" s="161">
        <f t="shared" si="47"/>
        <v>0</v>
      </c>
      <c r="S78" s="159">
        <f>SUMIF('Che.-Prod'!A:A,Used_before_Trf!A78,'Che.-Prod'!R:R)</f>
        <v>0</v>
      </c>
      <c r="T78" s="169">
        <f t="shared" si="48"/>
        <v>0</v>
      </c>
      <c r="U78" s="507">
        <f t="shared" si="49"/>
        <v>0</v>
      </c>
      <c r="V78" s="170">
        <f t="shared" si="50"/>
        <v>0</v>
      </c>
      <c r="W78" s="158">
        <f>SUMIF('CHE-last month'!$A:$A,Used_before_Trf!A78,'CHE-last month'!C:C)</f>
        <v>0</v>
      </c>
      <c r="X78" s="520">
        <f t="shared" si="51"/>
        <v>0</v>
      </c>
      <c r="Y78" s="162">
        <f>SUMIF('CHE-last month'!$A:$A,Used_before_Trf!A78,'CHE-last month'!E:E)</f>
        <v>0</v>
      </c>
      <c r="Z78" s="159">
        <f t="shared" si="52"/>
        <v>0</v>
      </c>
      <c r="AA78" s="520">
        <f t="shared" si="53"/>
        <v>0</v>
      </c>
      <c r="AB78" s="159">
        <f t="shared" si="54"/>
        <v>0</v>
      </c>
      <c r="AC78" s="160">
        <f>SUMIFS(BalCom!M:M,BalCom!N:N,Used_before_Trf!A78,BalCom!C:C,Used_before_Trf!$AC$1)</f>
        <v>0</v>
      </c>
      <c r="AD78" s="171">
        <f t="shared" si="55"/>
        <v>0</v>
      </c>
      <c r="AE78" s="159">
        <f>SUMIFS(BalCom!P:P,BalCom!N:N,Used_before_Trf!A78,BalCom!C:C,Used_before_Trf!$AC$1)</f>
        <v>0</v>
      </c>
      <c r="AF78" s="160">
        <f>SUMIFS(BalDis!I:I,BalDis!J:J,Used_before_Trf!A78)</f>
        <v>0</v>
      </c>
      <c r="AG78" s="171">
        <f t="shared" si="56"/>
        <v>0</v>
      </c>
      <c r="AH78" s="162">
        <f>SUMIFS(BalDis!L:L,BalDis!J:J,Used_before_Trf!A78)</f>
        <v>0</v>
      </c>
      <c r="AI78" s="159">
        <f>SUMIFS(BalDip!$N$49:$N$75,BalDip!$C$49:$C$75,Used_before_Trf!A78)+SUMIFS(BalDip!$N$134:$N$157,BalDip!$C$134:$C$157,Used_before_Trf!A78)</f>
        <v>0</v>
      </c>
      <c r="AJ78" s="171">
        <f t="shared" si="57"/>
        <v>0</v>
      </c>
      <c r="AK78" s="177">
        <f>SUMIFS(BalDip!$N$80:$N$106,BalDip!$C$80:$C$106,Used_before_Trf!A78)+SUMIFS(BalDip!$N$161:$N$184,BalDip!$C$161:$C$184,Used_before_Trf!A78)</f>
        <v>0</v>
      </c>
      <c r="AL78" s="178">
        <f t="shared" si="58"/>
        <v>0</v>
      </c>
      <c r="AM78" s="179">
        <f t="shared" si="59"/>
        <v>0</v>
      </c>
      <c r="AN78" s="440">
        <f t="shared" si="60"/>
        <v>0</v>
      </c>
      <c r="AO78" s="180">
        <f t="shared" si="62"/>
        <v>0</v>
      </c>
    </row>
    <row r="79" spans="1:41" s="108" customFormat="1" ht="15" customHeight="1">
      <c r="A79" s="135" t="s">
        <v>321</v>
      </c>
      <c r="B79" s="511" t="s">
        <v>322</v>
      </c>
      <c r="C79" s="136">
        <f>SUMIF('Che-Store'!A:A,Used_before_Trf!A79,'Che-Store'!AC:AC)+SUMIF('Che-Comp'!A:A,Used_before_Trf!A79,'Che-Comp'!AC:AC)</f>
        <v>407.34</v>
      </c>
      <c r="D79" s="137">
        <f t="shared" si="41"/>
        <v>77.639858594785693</v>
      </c>
      <c r="E79" s="138">
        <f>SUMIF('Che-Store'!A:A,Used_before_Trf!A79,'Che-Store'!AE:AE)+SUMIF('Che-Comp'!A:A,Used_before_Trf!A79,'Che-Comp'!AE:AE)</f>
        <v>31625.82</v>
      </c>
      <c r="F79" s="136">
        <f>SUMIFS('Che-Comp'!F:F,'Che-Comp'!$A:$A,Used_before_Trf!$A79)</f>
        <v>0</v>
      </c>
      <c r="G79" s="138">
        <f>SUMIFS('Che-Comp'!G:G,'Che-Comp'!$A:$A,Used_before_Trf!$A79)</f>
        <v>0</v>
      </c>
      <c r="H79" s="137">
        <f t="shared" si="42"/>
        <v>407.34</v>
      </c>
      <c r="I79" s="137">
        <f t="shared" si="43"/>
        <v>77.639858594785693</v>
      </c>
      <c r="J79" s="137">
        <f t="shared" si="44"/>
        <v>31625.82</v>
      </c>
      <c r="K79" s="158">
        <f>SUMIF('Che.-Prod'!A:A,Used_before_Trf!A79,'Che.-Prod'!D:D)</f>
        <v>0</v>
      </c>
      <c r="L79" s="137">
        <f t="shared" si="45"/>
        <v>0</v>
      </c>
      <c r="M79" s="159">
        <f>SUMIF('Che.-Prod'!A:A,Used_before_Trf!A79,'Che.-Prod'!F:F)</f>
        <v>0</v>
      </c>
      <c r="N79" s="160">
        <f>SUMIF('Che.-Prod'!A:A,Used_before_Trf!A79,'Che.-Prod'!G:G)</f>
        <v>0</v>
      </c>
      <c r="O79" s="161">
        <f t="shared" si="46"/>
        <v>0</v>
      </c>
      <c r="P79" s="162">
        <f>SUMIF('Che.-Prod'!A:A,Used_before_Trf!A79,'Che.-Prod'!H:H)</f>
        <v>0</v>
      </c>
      <c r="Q79" s="160">
        <f>SUMIF('Che.-Prod'!A:A,Used_before_Trf!A79,'Che.-Prod'!P:P)</f>
        <v>0</v>
      </c>
      <c r="R79" s="161">
        <f t="shared" si="47"/>
        <v>0</v>
      </c>
      <c r="S79" s="159">
        <f>SUMIF('Che.-Prod'!A:A,Used_before_Trf!A79,'Che.-Prod'!R:R)</f>
        <v>0</v>
      </c>
      <c r="T79" s="169">
        <f t="shared" si="48"/>
        <v>407.34</v>
      </c>
      <c r="U79" s="507">
        <f t="shared" si="49"/>
        <v>77.639858594785693</v>
      </c>
      <c r="V79" s="170">
        <f t="shared" si="50"/>
        <v>31625.82</v>
      </c>
      <c r="W79" s="158">
        <f>SUMIF('CHE-last month'!$A:$A,Used_before_Trf!A79,'CHE-last month'!C:C)</f>
        <v>265.60419791288166</v>
      </c>
      <c r="X79" s="520">
        <f t="shared" si="51"/>
        <v>77.640527378877934</v>
      </c>
      <c r="Y79" s="162">
        <f>SUMIF('CHE-last month'!$A:$A,Used_before_Trf!A79,'CHE-last month'!E:E)</f>
        <v>20621.650000000001</v>
      </c>
      <c r="Z79" s="159">
        <f t="shared" si="52"/>
        <v>36.473959598298464</v>
      </c>
      <c r="AA79" s="520">
        <f t="shared" si="53"/>
        <v>77.639774545676332</v>
      </c>
      <c r="AB79" s="159">
        <f t="shared" si="54"/>
        <v>2831.83</v>
      </c>
      <c r="AC79" s="160">
        <f>SUMIFS(BalCom!M:M,BalCom!N:N,Used_before_Trf!A79,BalCom!C:C,Used_before_Trf!$AC$1)</f>
        <v>36.473959598298464</v>
      </c>
      <c r="AD79" s="171">
        <f t="shared" si="55"/>
        <v>77.639774545676332</v>
      </c>
      <c r="AE79" s="159">
        <f>SUMIFS(BalCom!P:P,BalCom!N:N,Used_before_Trf!A79,BalCom!C:C,Used_before_Trf!$AC$1)</f>
        <v>2831.83</v>
      </c>
      <c r="AF79" s="160">
        <f>SUMIFS(BalDis!I:I,BalDis!J:J,Used_before_Trf!A79)</f>
        <v>0</v>
      </c>
      <c r="AG79" s="171">
        <f t="shared" si="56"/>
        <v>0</v>
      </c>
      <c r="AH79" s="162">
        <f>SUMIFS(BalDis!L:L,BalDis!J:J,Used_before_Trf!A79)</f>
        <v>0</v>
      </c>
      <c r="AI79" s="159">
        <f>SUMIFS(BalDip!$N$49:$N$75,BalDip!$C$49:$C$75,Used_before_Trf!A79)+SUMIFS(BalDip!$N$134:$N$157,BalDip!$C$134:$C$157,Used_before_Trf!A79)</f>
        <v>0</v>
      </c>
      <c r="AJ79" s="171">
        <f t="shared" si="57"/>
        <v>0</v>
      </c>
      <c r="AK79" s="177">
        <f>SUMIFS(BalDip!$N$80:$N$106,BalDip!$C$80:$C$106,Used_before_Trf!A79)+SUMIFS(BalDip!$N$161:$N$184,BalDip!$C$161:$C$184,Used_before_Trf!A79)</f>
        <v>0</v>
      </c>
      <c r="AL79" s="178">
        <f t="shared" si="58"/>
        <v>636.47023831458318</v>
      </c>
      <c r="AM79" s="179">
        <f t="shared" si="59"/>
        <v>77.640142500387768</v>
      </c>
      <c r="AN79" s="440">
        <f t="shared" si="60"/>
        <v>49415.64</v>
      </c>
      <c r="AO79" s="180">
        <f t="shared" si="62"/>
        <v>2.8390560207469662E-4</v>
      </c>
    </row>
    <row r="80" spans="1:41" s="108" customFormat="1" ht="15" customHeight="1">
      <c r="A80" s="82" t="s">
        <v>585</v>
      </c>
      <c r="B80" s="140" t="s">
        <v>586</v>
      </c>
      <c r="C80" s="136">
        <f>SUMIF('Che-Store'!A:A,Used_before_Trf!A80,'Che-Store'!AC:AC)+SUMIF('Che-Comp'!A:A,Used_before_Trf!A80,'Che-Comp'!AC:AC)</f>
        <v>8280</v>
      </c>
      <c r="D80" s="137">
        <f t="shared" si="41"/>
        <v>9.5761545893719813</v>
      </c>
      <c r="E80" s="138">
        <f>SUMIF('Che-Store'!A:A,Used_before_Trf!A80,'Che-Store'!AE:AE)+SUMIF('Che-Comp'!A:A,Used_before_Trf!A80,'Che-Comp'!AE:AE)</f>
        <v>79290.559999999998</v>
      </c>
      <c r="F80" s="136">
        <f>SUMIFS('Che-Comp'!F:F,'Che-Comp'!$A:$A,Used_before_Trf!$A80)</f>
        <v>0</v>
      </c>
      <c r="G80" s="138">
        <f>SUMIFS('Che-Comp'!G:G,'Che-Comp'!$A:$A,Used_before_Trf!$A80)</f>
        <v>0</v>
      </c>
      <c r="H80" s="137">
        <f t="shared" si="42"/>
        <v>8280</v>
      </c>
      <c r="I80" s="137">
        <f t="shared" si="43"/>
        <v>9.5761545893719813</v>
      </c>
      <c r="J80" s="137">
        <f t="shared" si="44"/>
        <v>79290.559999999998</v>
      </c>
      <c r="K80" s="158">
        <f>SUMIF('Che.-Prod'!A:A,Used_before_Trf!A80,'Che.-Prod'!D:D)</f>
        <v>0</v>
      </c>
      <c r="L80" s="137">
        <f t="shared" si="45"/>
        <v>0</v>
      </c>
      <c r="M80" s="159">
        <f>SUMIF('Che.-Prod'!A:A,Used_before_Trf!A80,'Che.-Prod'!F:F)</f>
        <v>0</v>
      </c>
      <c r="N80" s="160">
        <f>SUMIF('Che.-Prod'!A:A,Used_before_Trf!A80,'Che.-Prod'!G:G)</f>
        <v>0</v>
      </c>
      <c r="O80" s="161">
        <f t="shared" si="46"/>
        <v>0</v>
      </c>
      <c r="P80" s="162">
        <f>SUMIF('Che.-Prod'!A:A,Used_before_Trf!A80,'Che.-Prod'!H:H)</f>
        <v>0</v>
      </c>
      <c r="Q80" s="160">
        <f>SUMIF('Che.-Prod'!A:A,Used_before_Trf!A80,'Che.-Prod'!P:P)</f>
        <v>1150</v>
      </c>
      <c r="R80" s="161">
        <f t="shared" si="47"/>
        <v>9.58</v>
      </c>
      <c r="S80" s="159">
        <f>SUMIF('Che.-Prod'!A:A,Used_before_Trf!A80,'Che.-Prod'!R:R)</f>
        <v>11017</v>
      </c>
      <c r="T80" s="169">
        <f t="shared" si="48"/>
        <v>7130</v>
      </c>
      <c r="U80" s="507">
        <f t="shared" si="49"/>
        <v>9.5755343618513322</v>
      </c>
      <c r="V80" s="170">
        <f t="shared" si="50"/>
        <v>68273.56</v>
      </c>
      <c r="W80" s="158">
        <f>SUMIF('CHE-last month'!$A:$A,Used_before_Trf!A80,'CHE-last month'!C:C)</f>
        <v>0</v>
      </c>
      <c r="X80" s="520">
        <f t="shared" si="51"/>
        <v>0</v>
      </c>
      <c r="Y80" s="162">
        <f>SUMIF('CHE-last month'!$A:$A,Used_before_Trf!A80,'CHE-last month'!E:E)</f>
        <v>0</v>
      </c>
      <c r="Z80" s="159">
        <f t="shared" si="52"/>
        <v>225.10999999999999</v>
      </c>
      <c r="AA80" s="520">
        <f t="shared" si="53"/>
        <v>9.5755408466971712</v>
      </c>
      <c r="AB80" s="159">
        <f t="shared" si="54"/>
        <v>2155.5500000000002</v>
      </c>
      <c r="AC80" s="160">
        <f>SUMIFS(BalCom!M:M,BalCom!N:N,Used_before_Trf!A80,BalCom!C:C,Used_before_Trf!$AC$1)</f>
        <v>0</v>
      </c>
      <c r="AD80" s="171">
        <f t="shared" si="55"/>
        <v>0</v>
      </c>
      <c r="AE80" s="159">
        <f>SUMIFS(BalCom!P:P,BalCom!N:N,Used_before_Trf!A80,BalCom!C:C,Used_before_Trf!$AC$1)</f>
        <v>0</v>
      </c>
      <c r="AF80" s="160">
        <f>SUMIFS(BalDis!I:I,BalDis!J:J,Used_before_Trf!A80)</f>
        <v>0</v>
      </c>
      <c r="AG80" s="171">
        <f t="shared" si="56"/>
        <v>0</v>
      </c>
      <c r="AH80" s="162">
        <f>SUMIFS(BalDis!L:L,BalDis!J:J,Used_before_Trf!A80)</f>
        <v>0</v>
      </c>
      <c r="AI80" s="159">
        <f>SUMIFS(BalDip!$N$49:$N$75,BalDip!$C$49:$C$75,Used_before_Trf!A80)+SUMIFS(BalDip!$N$134:$N$157,BalDip!$C$134:$C$157,Used_before_Trf!A80)</f>
        <v>225.10999999999999</v>
      </c>
      <c r="AJ80" s="171">
        <f t="shared" si="57"/>
        <v>9.5755408466971712</v>
      </c>
      <c r="AK80" s="177">
        <f>SUMIFS(BalDip!$N$80:$N$106,BalDip!$C$80:$C$106,Used_before_Trf!A80)+SUMIFS(BalDip!$N$161:$N$184,BalDip!$C$161:$C$184,Used_before_Trf!A80)</f>
        <v>2155.5500000000002</v>
      </c>
      <c r="AL80" s="178">
        <f t="shared" si="58"/>
        <v>6904.89</v>
      </c>
      <c r="AM80" s="179">
        <f t="shared" si="59"/>
        <v>9.5755341504354146</v>
      </c>
      <c r="AN80" s="440">
        <f t="shared" si="60"/>
        <v>66118.009999999995</v>
      </c>
      <c r="AO80" s="180"/>
    </row>
    <row r="81" spans="1:41" s="108" customFormat="1" ht="15" customHeight="1">
      <c r="A81" s="135" t="s">
        <v>323</v>
      </c>
      <c r="B81" s="511" t="s">
        <v>324</v>
      </c>
      <c r="C81" s="136">
        <f>SUMIF('Che-Store'!A:A,Used_before_Trf!A81,'Che-Store'!AC:AC)+SUMIF('Che-Comp'!A:A,Used_before_Trf!A81,'Che-Comp'!AC:AC)</f>
        <v>0</v>
      </c>
      <c r="D81" s="137">
        <f t="shared" si="41"/>
        <v>0</v>
      </c>
      <c r="E81" s="138">
        <f>SUMIF('Che-Store'!A:A,Used_before_Trf!A81,'Che-Store'!AE:AE)+SUMIF('Che-Comp'!A:A,Used_before_Trf!A81,'Che-Comp'!AE:AE)</f>
        <v>0</v>
      </c>
      <c r="F81" s="136">
        <f>SUMIFS('Che-Comp'!F:F,'Che-Comp'!$A:$A,Used_before_Trf!$A81)</f>
        <v>0</v>
      </c>
      <c r="G81" s="138">
        <f>SUMIFS('Che-Comp'!G:G,'Che-Comp'!$A:$A,Used_before_Trf!$A81)</f>
        <v>0</v>
      </c>
      <c r="H81" s="137">
        <f t="shared" si="42"/>
        <v>0</v>
      </c>
      <c r="I81" s="137">
        <f t="shared" si="43"/>
        <v>0</v>
      </c>
      <c r="J81" s="137">
        <f t="shared" si="44"/>
        <v>0</v>
      </c>
      <c r="K81" s="158">
        <f>SUMIF('Che.-Prod'!A:A,Used_before_Trf!A81,'Che.-Prod'!D:D)</f>
        <v>0</v>
      </c>
      <c r="L81" s="137">
        <f t="shared" si="45"/>
        <v>0</v>
      </c>
      <c r="M81" s="159">
        <f>SUMIF('Che.-Prod'!A:A,Used_before_Trf!A81,'Che.-Prod'!F:F)</f>
        <v>0</v>
      </c>
      <c r="N81" s="160">
        <f>SUMIF('Che.-Prod'!A:A,Used_before_Trf!A81,'Che.-Prod'!G:G)</f>
        <v>0</v>
      </c>
      <c r="O81" s="161">
        <f t="shared" si="46"/>
        <v>0</v>
      </c>
      <c r="P81" s="162">
        <f>SUMIF('Che.-Prod'!A:A,Used_before_Trf!A81,'Che.-Prod'!H:H)</f>
        <v>0</v>
      </c>
      <c r="Q81" s="160">
        <f>SUMIF('Che.-Prod'!A:A,Used_before_Trf!A81,'Che.-Prod'!P:P)</f>
        <v>0</v>
      </c>
      <c r="R81" s="161">
        <f t="shared" si="47"/>
        <v>0</v>
      </c>
      <c r="S81" s="159">
        <f>SUMIF('Che.-Prod'!A:A,Used_before_Trf!A81,'Che.-Prod'!R:R)</f>
        <v>0</v>
      </c>
      <c r="T81" s="169">
        <f t="shared" si="48"/>
        <v>0</v>
      </c>
      <c r="U81" s="507">
        <f t="shared" si="49"/>
        <v>0</v>
      </c>
      <c r="V81" s="170">
        <f t="shared" si="50"/>
        <v>0</v>
      </c>
      <c r="W81" s="158">
        <f>SUMIF('CHE-last month'!$A:$A,Used_before_Trf!A81,'CHE-last month'!C:C)</f>
        <v>0</v>
      </c>
      <c r="X81" s="520">
        <f t="shared" si="51"/>
        <v>0</v>
      </c>
      <c r="Y81" s="162">
        <f>SUMIF('CHE-last month'!$A:$A,Used_before_Trf!A81,'CHE-last month'!E:E)</f>
        <v>0</v>
      </c>
      <c r="Z81" s="159">
        <f t="shared" si="52"/>
        <v>0</v>
      </c>
      <c r="AA81" s="520">
        <f t="shared" si="53"/>
        <v>0</v>
      </c>
      <c r="AB81" s="159">
        <f t="shared" si="54"/>
        <v>0</v>
      </c>
      <c r="AC81" s="160">
        <f>SUMIFS(BalCom!M:M,BalCom!N:N,Used_before_Trf!A81,BalCom!C:C,Used_before_Trf!$AC$1)</f>
        <v>0</v>
      </c>
      <c r="AD81" s="171">
        <f t="shared" si="55"/>
        <v>0</v>
      </c>
      <c r="AE81" s="159">
        <f>SUMIFS(BalCom!P:P,BalCom!N:N,Used_before_Trf!A81,BalCom!C:C,Used_before_Trf!$AC$1)</f>
        <v>0</v>
      </c>
      <c r="AF81" s="160">
        <f>SUMIFS(BalDis!I:I,BalDis!J:J,Used_before_Trf!A81)</f>
        <v>0</v>
      </c>
      <c r="AG81" s="171">
        <f t="shared" si="56"/>
        <v>0</v>
      </c>
      <c r="AH81" s="162">
        <f>SUMIFS(BalDis!L:L,BalDis!J:J,Used_before_Trf!A81)</f>
        <v>0</v>
      </c>
      <c r="AI81" s="159">
        <f>SUMIFS(BalDip!$N$49:$N$75,BalDip!$C$49:$C$75,Used_before_Trf!A81)+SUMIFS(BalDip!$N$134:$N$157,BalDip!$C$134:$C$157,Used_before_Trf!A81)</f>
        <v>0</v>
      </c>
      <c r="AJ81" s="171">
        <f t="shared" si="57"/>
        <v>0</v>
      </c>
      <c r="AK81" s="177">
        <f>SUMIFS(BalDip!$N$80:$N$106,BalDip!$C$80:$C$106,Used_before_Trf!A81)+SUMIFS(BalDip!$N$161:$N$184,BalDip!$C$161:$C$184,Used_before_Trf!A81)</f>
        <v>0</v>
      </c>
      <c r="AL81" s="178">
        <f t="shared" si="58"/>
        <v>0</v>
      </c>
      <c r="AM81" s="179">
        <f t="shared" si="59"/>
        <v>0</v>
      </c>
      <c r="AN81" s="440">
        <f t="shared" si="60"/>
        <v>0</v>
      </c>
      <c r="AO81" s="180">
        <f t="shared" si="62"/>
        <v>0</v>
      </c>
    </row>
    <row r="82" spans="1:41" s="108" customFormat="1" ht="15" customHeight="1">
      <c r="A82" s="135" t="s">
        <v>325</v>
      </c>
      <c r="B82" s="511" t="s">
        <v>326</v>
      </c>
      <c r="C82" s="136">
        <f>SUMIF('Che-Store'!A:A,Used_before_Trf!A82,'Che-Store'!AC:AC)+SUMIF('Che-Comp'!A:A,Used_before_Trf!A82,'Che-Comp'!AC:AC)</f>
        <v>0</v>
      </c>
      <c r="D82" s="137">
        <f t="shared" si="41"/>
        <v>0</v>
      </c>
      <c r="E82" s="138">
        <f>SUMIF('Che-Store'!A:A,Used_before_Trf!A82,'Che-Store'!AE:AE)+SUMIF('Che-Comp'!A:A,Used_before_Trf!A82,'Che-Comp'!AE:AE)</f>
        <v>0</v>
      </c>
      <c r="F82" s="136">
        <f>SUMIFS('Che-Comp'!F:F,'Che-Comp'!$A:$A,Used_before_Trf!$A82)</f>
        <v>0</v>
      </c>
      <c r="G82" s="138">
        <f>SUMIFS('Che-Comp'!G:G,'Che-Comp'!$A:$A,Used_before_Trf!$A82)</f>
        <v>0</v>
      </c>
      <c r="H82" s="137">
        <f t="shared" si="42"/>
        <v>0</v>
      </c>
      <c r="I82" s="137">
        <f t="shared" si="43"/>
        <v>0</v>
      </c>
      <c r="J82" s="137">
        <f t="shared" si="44"/>
        <v>0</v>
      </c>
      <c r="K82" s="158">
        <f>SUMIF('Che.-Prod'!A:A,Used_before_Trf!A82,'Che.-Prod'!D:D)</f>
        <v>0</v>
      </c>
      <c r="L82" s="137">
        <f t="shared" si="45"/>
        <v>0</v>
      </c>
      <c r="M82" s="159">
        <f>SUMIF('Che.-Prod'!A:A,Used_before_Trf!A82,'Che.-Prod'!F:F)</f>
        <v>0</v>
      </c>
      <c r="N82" s="160">
        <f>SUMIF('Che.-Prod'!A:A,Used_before_Trf!A82,'Che.-Prod'!G:G)</f>
        <v>0</v>
      </c>
      <c r="O82" s="161">
        <f t="shared" si="46"/>
        <v>0</v>
      </c>
      <c r="P82" s="162">
        <f>SUMIF('Che.-Prod'!A:A,Used_before_Trf!A82,'Che.-Prod'!H:H)</f>
        <v>0</v>
      </c>
      <c r="Q82" s="160">
        <f>SUMIF('Che.-Prod'!A:A,Used_before_Trf!A82,'Che.-Prod'!P:P)</f>
        <v>0</v>
      </c>
      <c r="R82" s="161">
        <f t="shared" si="47"/>
        <v>0</v>
      </c>
      <c r="S82" s="159">
        <f>SUMIF('Che.-Prod'!A:A,Used_before_Trf!A82,'Che.-Prod'!R:R)</f>
        <v>0</v>
      </c>
      <c r="T82" s="169">
        <f t="shared" si="48"/>
        <v>0</v>
      </c>
      <c r="U82" s="507">
        <f t="shared" si="49"/>
        <v>0</v>
      </c>
      <c r="V82" s="170">
        <f t="shared" si="50"/>
        <v>0</v>
      </c>
      <c r="W82" s="158">
        <f>SUMIF('CHE-last month'!$A:$A,Used_before_Trf!A82,'CHE-last month'!C:C)</f>
        <v>0</v>
      </c>
      <c r="X82" s="520">
        <f t="shared" si="51"/>
        <v>0</v>
      </c>
      <c r="Y82" s="162">
        <f>SUMIF('CHE-last month'!$A:$A,Used_before_Trf!A82,'CHE-last month'!E:E)</f>
        <v>0</v>
      </c>
      <c r="Z82" s="159">
        <f t="shared" si="52"/>
        <v>0</v>
      </c>
      <c r="AA82" s="520">
        <f t="shared" si="53"/>
        <v>0</v>
      </c>
      <c r="AB82" s="159">
        <f t="shared" si="54"/>
        <v>0</v>
      </c>
      <c r="AC82" s="160">
        <f>SUMIFS(BalCom!M:M,BalCom!N:N,Used_before_Trf!A82,BalCom!C:C,Used_before_Trf!$AC$1)</f>
        <v>0</v>
      </c>
      <c r="AD82" s="171">
        <f t="shared" si="55"/>
        <v>0</v>
      </c>
      <c r="AE82" s="159">
        <f>SUMIFS(BalCom!P:P,BalCom!N:N,Used_before_Trf!A82,BalCom!C:C,Used_before_Trf!$AC$1)</f>
        <v>0</v>
      </c>
      <c r="AF82" s="160">
        <f>SUMIFS(BalDis!I:I,BalDis!J:J,Used_before_Trf!A82)</f>
        <v>0</v>
      </c>
      <c r="AG82" s="171">
        <f t="shared" si="56"/>
        <v>0</v>
      </c>
      <c r="AH82" s="162">
        <f>SUMIFS(BalDis!L:L,BalDis!J:J,Used_before_Trf!A82)</f>
        <v>0</v>
      </c>
      <c r="AI82" s="159">
        <f>SUMIFS(BalDip!$N$49:$N$75,BalDip!$C$49:$C$75,Used_before_Trf!A82)+SUMIFS(BalDip!$N$134:$N$157,BalDip!$C$134:$C$157,Used_before_Trf!A82)</f>
        <v>0</v>
      </c>
      <c r="AJ82" s="171">
        <f t="shared" si="57"/>
        <v>0</v>
      </c>
      <c r="AK82" s="177">
        <f>SUMIFS(BalDip!$N$80:$N$106,BalDip!$C$80:$C$106,Used_before_Trf!A82)+SUMIFS(BalDip!$N$161:$N$184,BalDip!$C$161:$C$184,Used_before_Trf!A82)</f>
        <v>0</v>
      </c>
      <c r="AL82" s="178">
        <f t="shared" si="58"/>
        <v>0</v>
      </c>
      <c r="AM82" s="179">
        <f t="shared" si="59"/>
        <v>0</v>
      </c>
      <c r="AN82" s="440">
        <f t="shared" si="60"/>
        <v>0</v>
      </c>
      <c r="AO82" s="180">
        <f t="shared" si="62"/>
        <v>0</v>
      </c>
    </row>
    <row r="83" spans="1:41" s="108" customFormat="1" ht="15" customHeight="1">
      <c r="A83" s="135" t="s">
        <v>327</v>
      </c>
      <c r="B83" s="511" t="s">
        <v>328</v>
      </c>
      <c r="C83" s="136">
        <f>SUMIF('Che-Store'!A:A,Used_before_Trf!A83,'Che-Store'!AC:AC)+SUMIF('Che-Comp'!A:A,Used_before_Trf!A83,'Che-Comp'!AC:AC)</f>
        <v>0</v>
      </c>
      <c r="D83" s="137">
        <f t="shared" si="41"/>
        <v>0</v>
      </c>
      <c r="E83" s="138">
        <f>SUMIF('Che-Store'!A:A,Used_before_Trf!A83,'Che-Store'!AE:AE)+SUMIF('Che-Comp'!A:A,Used_before_Trf!A83,'Che-Comp'!AE:AE)</f>
        <v>0</v>
      </c>
      <c r="F83" s="136">
        <f>SUMIFS('Che-Comp'!F:F,'Che-Comp'!$A:$A,Used_before_Trf!$A83)</f>
        <v>0</v>
      </c>
      <c r="G83" s="138">
        <f>SUMIFS('Che-Comp'!G:G,'Che-Comp'!$A:$A,Used_before_Trf!$A83)</f>
        <v>0</v>
      </c>
      <c r="H83" s="137">
        <f t="shared" si="42"/>
        <v>0</v>
      </c>
      <c r="I83" s="137">
        <f t="shared" si="43"/>
        <v>0</v>
      </c>
      <c r="J83" s="137">
        <f t="shared" si="44"/>
        <v>0</v>
      </c>
      <c r="K83" s="158">
        <f>SUMIF('Che.-Prod'!A:A,Used_before_Trf!A83,'Che.-Prod'!D:D)</f>
        <v>0</v>
      </c>
      <c r="L83" s="137">
        <f t="shared" si="45"/>
        <v>0</v>
      </c>
      <c r="M83" s="159">
        <f>SUMIF('Che.-Prod'!A:A,Used_before_Trf!A83,'Che.-Prod'!F:F)</f>
        <v>0</v>
      </c>
      <c r="N83" s="160">
        <f>SUMIF('Che.-Prod'!A:A,Used_before_Trf!A83,'Che.-Prod'!G:G)</f>
        <v>0</v>
      </c>
      <c r="O83" s="161">
        <f t="shared" si="46"/>
        <v>0</v>
      </c>
      <c r="P83" s="162">
        <f>SUMIF('Che.-Prod'!A:A,Used_before_Trf!A83,'Che.-Prod'!H:H)</f>
        <v>0</v>
      </c>
      <c r="Q83" s="160">
        <f>SUMIF('Che.-Prod'!A:A,Used_before_Trf!A83,'Che.-Prod'!P:P)</f>
        <v>0</v>
      </c>
      <c r="R83" s="161">
        <f t="shared" si="47"/>
        <v>0</v>
      </c>
      <c r="S83" s="159">
        <f>SUMIF('Che.-Prod'!A:A,Used_before_Trf!A83,'Che.-Prod'!R:R)</f>
        <v>0</v>
      </c>
      <c r="T83" s="169">
        <f t="shared" si="48"/>
        <v>0</v>
      </c>
      <c r="U83" s="507">
        <f t="shared" si="49"/>
        <v>0</v>
      </c>
      <c r="V83" s="170">
        <f t="shared" si="50"/>
        <v>0</v>
      </c>
      <c r="W83" s="158">
        <f>SUMIF('CHE-last month'!$A:$A,Used_before_Trf!A83,'CHE-last month'!C:C)</f>
        <v>0</v>
      </c>
      <c r="X83" s="520">
        <f t="shared" si="51"/>
        <v>0</v>
      </c>
      <c r="Y83" s="162">
        <f>SUMIF('CHE-last month'!$A:$A,Used_before_Trf!A83,'CHE-last month'!E:E)</f>
        <v>0</v>
      </c>
      <c r="Z83" s="159">
        <f t="shared" si="52"/>
        <v>0</v>
      </c>
      <c r="AA83" s="520">
        <f t="shared" si="53"/>
        <v>0</v>
      </c>
      <c r="AB83" s="159">
        <f t="shared" si="54"/>
        <v>0</v>
      </c>
      <c r="AC83" s="160">
        <f>SUMIFS(BalCom!M:M,BalCom!N:N,Used_before_Trf!A83,BalCom!C:C,Used_before_Trf!$AC$1)</f>
        <v>0</v>
      </c>
      <c r="AD83" s="171">
        <f t="shared" si="55"/>
        <v>0</v>
      </c>
      <c r="AE83" s="159">
        <f>SUMIFS(BalCom!P:P,BalCom!N:N,Used_before_Trf!A83,BalCom!C:C,Used_before_Trf!$AC$1)</f>
        <v>0</v>
      </c>
      <c r="AF83" s="160">
        <f>SUMIFS(BalDis!I:I,BalDis!J:J,Used_before_Trf!A83)</f>
        <v>0</v>
      </c>
      <c r="AG83" s="171">
        <f t="shared" si="56"/>
        <v>0</v>
      </c>
      <c r="AH83" s="162">
        <f>SUMIFS(BalDis!L:L,BalDis!J:J,Used_before_Trf!A83)</f>
        <v>0</v>
      </c>
      <c r="AI83" s="159">
        <f>SUMIFS(BalDip!$N$49:$N$75,BalDip!$C$49:$C$75,Used_before_Trf!A83)+SUMIFS(BalDip!$N$134:$N$157,BalDip!$C$134:$C$157,Used_before_Trf!A83)</f>
        <v>0</v>
      </c>
      <c r="AJ83" s="171">
        <f t="shared" si="57"/>
        <v>0</v>
      </c>
      <c r="AK83" s="177">
        <f>SUMIFS(BalDip!$N$80:$N$106,BalDip!$C$80:$C$106,Used_before_Trf!A83)+SUMIFS(BalDip!$N$161:$N$184,BalDip!$C$161:$C$184,Used_before_Trf!A83)</f>
        <v>0</v>
      </c>
      <c r="AL83" s="178">
        <f t="shared" si="58"/>
        <v>0</v>
      </c>
      <c r="AM83" s="179">
        <f t="shared" si="59"/>
        <v>0</v>
      </c>
      <c r="AN83" s="440">
        <f t="shared" si="60"/>
        <v>0</v>
      </c>
      <c r="AO83" s="180">
        <f t="shared" si="62"/>
        <v>0</v>
      </c>
    </row>
    <row r="84" spans="1:41" s="108" customFormat="1" ht="15" customHeight="1">
      <c r="A84" s="135" t="s">
        <v>329</v>
      </c>
      <c r="B84" s="511" t="s">
        <v>330</v>
      </c>
      <c r="C84" s="136">
        <f>SUMIF('Che-Store'!A:A,Used_before_Trf!A84,'Che-Store'!AC:AC)+SUMIF('Che-Comp'!A:A,Used_before_Trf!A84,'Che-Comp'!AC:AC)</f>
        <v>900</v>
      </c>
      <c r="D84" s="137">
        <f t="shared" si="41"/>
        <v>9.5</v>
      </c>
      <c r="E84" s="138">
        <f>SUMIF('Che-Store'!A:A,Used_before_Trf!A84,'Che-Store'!AE:AE)+SUMIF('Che-Comp'!A:A,Used_before_Trf!A84,'Che-Comp'!AE:AE)</f>
        <v>8550</v>
      </c>
      <c r="F84" s="136">
        <f>SUMIFS('Che-Comp'!F:F,'Che-Comp'!$A:$A,Used_before_Trf!$A84)</f>
        <v>0</v>
      </c>
      <c r="G84" s="138">
        <f>SUMIFS('Che-Comp'!G:G,'Che-Comp'!$A:$A,Used_before_Trf!$A84)</f>
        <v>0</v>
      </c>
      <c r="H84" s="137">
        <f t="shared" si="42"/>
        <v>900</v>
      </c>
      <c r="I84" s="137">
        <f t="shared" si="43"/>
        <v>9.5</v>
      </c>
      <c r="J84" s="137">
        <f t="shared" si="44"/>
        <v>8550</v>
      </c>
      <c r="K84" s="158">
        <f>SUMIF('Che.-Prod'!A:A,Used_before_Trf!A84,'Che.-Prod'!D:D)</f>
        <v>1125</v>
      </c>
      <c r="L84" s="137">
        <f t="shared" si="45"/>
        <v>10.35</v>
      </c>
      <c r="M84" s="159">
        <f>SUMIF('Che.-Prod'!A:A,Used_before_Trf!A84,'Che.-Prod'!F:F)</f>
        <v>11643.75</v>
      </c>
      <c r="N84" s="160">
        <f>SUMIF('Che.-Prod'!A:A,Used_before_Trf!A84,'Che.-Prod'!G:G)</f>
        <v>0</v>
      </c>
      <c r="O84" s="161">
        <f t="shared" si="46"/>
        <v>0</v>
      </c>
      <c r="P84" s="162">
        <f>SUMIF('Che.-Prod'!A:A,Used_before_Trf!A84,'Che.-Prod'!H:H)</f>
        <v>0</v>
      </c>
      <c r="Q84" s="160">
        <f>SUMIF('Che.-Prod'!A:A,Used_before_Trf!A84,'Che.-Prod'!P:P)</f>
        <v>0</v>
      </c>
      <c r="R84" s="161">
        <f t="shared" si="47"/>
        <v>0</v>
      </c>
      <c r="S84" s="159">
        <f>SUMIF('Che.-Prod'!A:A,Used_before_Trf!A84,'Che.-Prod'!R:R)</f>
        <v>0</v>
      </c>
      <c r="T84" s="169">
        <f t="shared" si="48"/>
        <v>2025</v>
      </c>
      <c r="U84" s="507">
        <f t="shared" si="49"/>
        <v>9.9722222222222214</v>
      </c>
      <c r="V84" s="170">
        <f t="shared" si="50"/>
        <v>20193.75</v>
      </c>
      <c r="W84" s="158">
        <f>SUMIF('CHE-last month'!$A:$A,Used_before_Trf!A84,'CHE-last month'!C:C)</f>
        <v>107.01</v>
      </c>
      <c r="X84" s="520">
        <f t="shared" si="51"/>
        <v>10.121297075039715</v>
      </c>
      <c r="Y84" s="162">
        <f>SUMIF('CHE-last month'!$A:$A,Used_before_Trf!A84,'CHE-last month'!E:E)</f>
        <v>1083.08</v>
      </c>
      <c r="Z84" s="159">
        <f t="shared" si="52"/>
        <v>0</v>
      </c>
      <c r="AA84" s="520">
        <f t="shared" si="53"/>
        <v>0</v>
      </c>
      <c r="AB84" s="159">
        <f t="shared" si="54"/>
        <v>0</v>
      </c>
      <c r="AC84" s="160">
        <f>SUMIFS(BalCom!M:M,BalCom!N:N,Used_before_Trf!A84,BalCom!C:C,Used_before_Trf!$AC$1)</f>
        <v>0</v>
      </c>
      <c r="AD84" s="171">
        <f t="shared" si="55"/>
        <v>0</v>
      </c>
      <c r="AE84" s="159">
        <f>SUMIFS(BalCom!P:P,BalCom!N:N,Used_before_Trf!A84,BalCom!C:C,Used_before_Trf!$AC$1)</f>
        <v>0</v>
      </c>
      <c r="AF84" s="160">
        <f>SUMIFS(BalDis!I:I,BalDis!J:J,Used_before_Trf!A84)</f>
        <v>0</v>
      </c>
      <c r="AG84" s="171">
        <f t="shared" si="56"/>
        <v>0</v>
      </c>
      <c r="AH84" s="162">
        <f>SUMIFS(BalDis!L:L,BalDis!J:J,Used_before_Trf!A84)</f>
        <v>0</v>
      </c>
      <c r="AI84" s="159">
        <f>SUMIFS(BalDip!$N$49:$N$75,BalDip!$C$49:$C$75,Used_before_Trf!A84)+SUMIFS(BalDip!$N$134:$N$157,BalDip!$C$134:$C$157,Used_before_Trf!A84)</f>
        <v>0</v>
      </c>
      <c r="AJ84" s="171">
        <f t="shared" si="57"/>
        <v>0</v>
      </c>
      <c r="AK84" s="177">
        <f>SUMIFS(BalDip!$N$80:$N$106,BalDip!$C$80:$C$106,Used_before_Trf!A84)+SUMIFS(BalDip!$N$161:$N$184,BalDip!$C$161:$C$184,Used_before_Trf!A84)</f>
        <v>0</v>
      </c>
      <c r="AL84" s="178">
        <f t="shared" si="58"/>
        <v>2132.0100000000002</v>
      </c>
      <c r="AM84" s="179">
        <f t="shared" si="59"/>
        <v>9.9797045980084516</v>
      </c>
      <c r="AN84" s="440">
        <f t="shared" si="60"/>
        <v>21276.83</v>
      </c>
      <c r="AO84" s="180">
        <f t="shared" ref="AO84" si="63">AM84-U84</f>
        <v>7.4823757862301221E-3</v>
      </c>
    </row>
    <row r="85" spans="1:41" s="108" customFormat="1" ht="15" customHeight="1">
      <c r="A85" s="135" t="s">
        <v>331</v>
      </c>
      <c r="B85" s="511" t="s">
        <v>72</v>
      </c>
      <c r="C85" s="136">
        <f>SUMIF('Che-Store'!A:A,Used_before_Trf!A85,'Che-Store'!AC:AC)+SUMIF('Che-Comp'!A:A,Used_before_Trf!A85,'Che-Comp'!AC:AC)</f>
        <v>3360</v>
      </c>
      <c r="D85" s="137">
        <f t="shared" si="41"/>
        <v>15.5</v>
      </c>
      <c r="E85" s="138">
        <f>SUMIF('Che-Store'!A:A,Used_before_Trf!A85,'Che-Store'!AE:AE)+SUMIF('Che-Comp'!A:A,Used_before_Trf!A85,'Che-Comp'!AE:AE)</f>
        <v>52080</v>
      </c>
      <c r="F85" s="136">
        <f>SUMIFS('Che-Comp'!F:F,'Che-Comp'!$A:$A,Used_before_Trf!$A85)</f>
        <v>0</v>
      </c>
      <c r="G85" s="138">
        <f>SUMIFS('Che-Comp'!G:G,'Che-Comp'!$A:$A,Used_before_Trf!$A85)</f>
        <v>0</v>
      </c>
      <c r="H85" s="137">
        <f t="shared" si="42"/>
        <v>3360</v>
      </c>
      <c r="I85" s="137">
        <f t="shared" si="43"/>
        <v>15.5</v>
      </c>
      <c r="J85" s="137">
        <f t="shared" si="44"/>
        <v>52080</v>
      </c>
      <c r="K85" s="158">
        <f>SUMIF('Che.-Prod'!A:A,Used_before_Trf!A85,'Che.-Prod'!D:D)</f>
        <v>1960</v>
      </c>
      <c r="L85" s="137">
        <f t="shared" si="45"/>
        <v>13</v>
      </c>
      <c r="M85" s="159">
        <f>SUMIF('Che.-Prod'!A:A,Used_before_Trf!A85,'Che.-Prod'!F:F)</f>
        <v>25480</v>
      </c>
      <c r="N85" s="160">
        <f>SUMIF('Che.-Prod'!A:A,Used_before_Trf!A85,'Che.-Prod'!G:G)</f>
        <v>0</v>
      </c>
      <c r="O85" s="161">
        <f t="shared" si="46"/>
        <v>0</v>
      </c>
      <c r="P85" s="162">
        <f>SUMIF('Che.-Prod'!A:A,Used_before_Trf!A85,'Che.-Prod'!H:H)</f>
        <v>0</v>
      </c>
      <c r="Q85" s="160">
        <f>SUMIF('Che.-Prod'!A:A,Used_before_Trf!A85,'Che.-Prod'!P:P)</f>
        <v>1120</v>
      </c>
      <c r="R85" s="161">
        <f t="shared" si="47"/>
        <v>13</v>
      </c>
      <c r="S85" s="159">
        <f>SUMIF('Che.-Prod'!A:A,Used_before_Trf!A85,'Che.-Prod'!R:R)</f>
        <v>14560</v>
      </c>
      <c r="T85" s="169">
        <f t="shared" si="48"/>
        <v>4200</v>
      </c>
      <c r="U85" s="507">
        <f t="shared" si="49"/>
        <v>15</v>
      </c>
      <c r="V85" s="170">
        <f t="shared" si="50"/>
        <v>63000</v>
      </c>
      <c r="W85" s="158">
        <f>SUMIF('CHE-last month'!$A:$A,Used_before_Trf!A85,'CHE-last month'!C:C)</f>
        <v>87.62</v>
      </c>
      <c r="X85" s="520">
        <f t="shared" si="51"/>
        <v>13.088906642319104</v>
      </c>
      <c r="Y85" s="162">
        <f>SUMIF('CHE-last month'!$A:$A,Used_before_Trf!A85,'CHE-last month'!E:E)</f>
        <v>1146.8499999999999</v>
      </c>
      <c r="Z85" s="159">
        <f t="shared" si="52"/>
        <v>51.61</v>
      </c>
      <c r="AA85" s="520">
        <f t="shared" si="53"/>
        <v>15.000000000000002</v>
      </c>
      <c r="AB85" s="159">
        <f t="shared" si="54"/>
        <v>774.15000000000009</v>
      </c>
      <c r="AC85" s="160">
        <f>SUMIFS(BalCom!M:M,BalCom!N:N,Used_before_Trf!A85,BalCom!C:C,Used_before_Trf!$AC$1)</f>
        <v>0</v>
      </c>
      <c r="AD85" s="171">
        <f t="shared" si="55"/>
        <v>0</v>
      </c>
      <c r="AE85" s="159">
        <f>SUMIFS(BalCom!P:P,BalCom!N:N,Used_before_Trf!A85,BalCom!C:C,Used_before_Trf!$AC$1)</f>
        <v>0</v>
      </c>
      <c r="AF85" s="160">
        <f>SUMIFS(BalDis!I:I,BalDis!J:J,Used_before_Trf!A85)</f>
        <v>0</v>
      </c>
      <c r="AG85" s="171">
        <f t="shared" si="56"/>
        <v>0</v>
      </c>
      <c r="AH85" s="162">
        <f>SUMIFS(BalDis!L:L,BalDis!J:J,Used_before_Trf!A85)</f>
        <v>0</v>
      </c>
      <c r="AI85" s="159">
        <f>SUMIFS(BalDip!$N$49:$N$75,BalDip!$C$49:$C$75,Used_before_Trf!A85)+SUMIFS(BalDip!$N$134:$N$157,BalDip!$C$134:$C$157,Used_before_Trf!A85)</f>
        <v>51.61</v>
      </c>
      <c r="AJ85" s="171">
        <f t="shared" si="57"/>
        <v>15.000000000000002</v>
      </c>
      <c r="AK85" s="177">
        <f>SUMIFS(BalDip!$N$80:$N$106,BalDip!$C$80:$C$106,Used_before_Trf!A85)+SUMIFS(BalDip!$N$161:$N$184,BalDip!$C$161:$C$184,Used_before_Trf!A85)</f>
        <v>774.15000000000009</v>
      </c>
      <c r="AL85" s="178">
        <f t="shared" si="58"/>
        <v>4236.01</v>
      </c>
      <c r="AM85" s="179">
        <f t="shared" si="59"/>
        <v>14.960469876133436</v>
      </c>
      <c r="AN85" s="440">
        <f t="shared" si="60"/>
        <v>63372.7</v>
      </c>
      <c r="AO85" s="180">
        <f t="shared" si="62"/>
        <v>-3.9530123866564182E-2</v>
      </c>
    </row>
    <row r="86" spans="1:41" s="108" customFormat="1" ht="15" customHeight="1">
      <c r="A86" s="135" t="s">
        <v>332</v>
      </c>
      <c r="B86" s="511" t="s">
        <v>333</v>
      </c>
      <c r="C86" s="136">
        <f>SUMIF('Che-Store'!A:A,Used_before_Trf!A86,'Che-Store'!AC:AC)+SUMIF('Che-Comp'!A:A,Used_before_Trf!A86,'Che-Comp'!AC:AC)</f>
        <v>0</v>
      </c>
      <c r="D86" s="137">
        <f t="shared" si="41"/>
        <v>0</v>
      </c>
      <c r="E86" s="138">
        <f>SUMIF('Che-Store'!A:A,Used_before_Trf!A86,'Che-Store'!AE:AE)+SUMIF('Che-Comp'!A:A,Used_before_Trf!A86,'Che-Comp'!AE:AE)</f>
        <v>0</v>
      </c>
      <c r="F86" s="136">
        <f>SUMIFS('Che-Comp'!F:F,'Che-Comp'!$A:$A,Used_before_Trf!$A86)</f>
        <v>0</v>
      </c>
      <c r="G86" s="138">
        <f>SUMIFS('Che-Comp'!G:G,'Che-Comp'!$A:$A,Used_before_Trf!$A86)</f>
        <v>0</v>
      </c>
      <c r="H86" s="137">
        <f t="shared" si="42"/>
        <v>0</v>
      </c>
      <c r="I86" s="137">
        <f t="shared" si="43"/>
        <v>0</v>
      </c>
      <c r="J86" s="137">
        <f t="shared" si="44"/>
        <v>0</v>
      </c>
      <c r="K86" s="158">
        <f>SUMIF('Che.-Prod'!A:A,Used_before_Trf!A86,'Che.-Prod'!D:D)</f>
        <v>0</v>
      </c>
      <c r="L86" s="137">
        <f t="shared" si="45"/>
        <v>0</v>
      </c>
      <c r="M86" s="159">
        <f>SUMIF('Che.-Prod'!A:A,Used_before_Trf!A86,'Che.-Prod'!F:F)</f>
        <v>0</v>
      </c>
      <c r="N86" s="160">
        <f>SUMIF('Che.-Prod'!A:A,Used_before_Trf!A86,'Che.-Prod'!G:G)</f>
        <v>0</v>
      </c>
      <c r="O86" s="161">
        <f t="shared" si="46"/>
        <v>0</v>
      </c>
      <c r="P86" s="162">
        <f>SUMIF('Che.-Prod'!A:A,Used_before_Trf!A86,'Che.-Prod'!H:H)</f>
        <v>0</v>
      </c>
      <c r="Q86" s="160">
        <f>SUMIF('Che.-Prod'!A:A,Used_before_Trf!A86,'Che.-Prod'!P:P)</f>
        <v>0</v>
      </c>
      <c r="R86" s="161">
        <f t="shared" si="47"/>
        <v>0</v>
      </c>
      <c r="S86" s="159">
        <f>SUMIF('Che.-Prod'!A:A,Used_before_Trf!A86,'Che.-Prod'!R:R)</f>
        <v>0</v>
      </c>
      <c r="T86" s="169">
        <f t="shared" si="48"/>
        <v>0</v>
      </c>
      <c r="U86" s="507">
        <f t="shared" si="49"/>
        <v>0</v>
      </c>
      <c r="V86" s="170">
        <f t="shared" si="50"/>
        <v>0</v>
      </c>
      <c r="W86" s="158">
        <f>SUMIF('CHE-last month'!$A:$A,Used_before_Trf!A86,'CHE-last month'!C:C)</f>
        <v>0</v>
      </c>
      <c r="X86" s="520">
        <f t="shared" si="51"/>
        <v>0</v>
      </c>
      <c r="Y86" s="162">
        <f>SUMIF('CHE-last month'!$A:$A,Used_before_Trf!A86,'CHE-last month'!E:E)</f>
        <v>0</v>
      </c>
      <c r="Z86" s="159">
        <f t="shared" si="52"/>
        <v>0</v>
      </c>
      <c r="AA86" s="520">
        <f t="shared" si="53"/>
        <v>0</v>
      </c>
      <c r="AB86" s="159">
        <f t="shared" si="54"/>
        <v>0</v>
      </c>
      <c r="AC86" s="160">
        <f>SUMIFS(BalCom!M:M,BalCom!N:N,Used_before_Trf!A86,BalCom!C:C,Used_before_Trf!$AC$1)</f>
        <v>0</v>
      </c>
      <c r="AD86" s="171">
        <f t="shared" si="55"/>
        <v>0</v>
      </c>
      <c r="AE86" s="159">
        <f>SUMIFS(BalCom!P:P,BalCom!N:N,Used_before_Trf!A86,BalCom!C:C,Used_before_Trf!$AC$1)</f>
        <v>0</v>
      </c>
      <c r="AF86" s="160">
        <f>SUMIFS(BalDis!I:I,BalDis!J:J,Used_before_Trf!A86)</f>
        <v>0</v>
      </c>
      <c r="AG86" s="171">
        <f t="shared" si="56"/>
        <v>0</v>
      </c>
      <c r="AH86" s="162">
        <f>SUMIFS(BalDis!L:L,BalDis!J:J,Used_before_Trf!A86)</f>
        <v>0</v>
      </c>
      <c r="AI86" s="159">
        <f>SUMIFS(BalDip!$N$49:$N$75,BalDip!$C$49:$C$75,Used_before_Trf!A86)+SUMIFS(BalDip!$N$134:$N$157,BalDip!$C$134:$C$157,Used_before_Trf!A86)</f>
        <v>0</v>
      </c>
      <c r="AJ86" s="171">
        <f t="shared" si="57"/>
        <v>0</v>
      </c>
      <c r="AK86" s="177">
        <f>SUMIFS(BalDip!$N$80:$N$106,BalDip!$C$80:$C$106,Used_before_Trf!A86)+SUMIFS(BalDip!$N$161:$N$184,BalDip!$C$161:$C$184,Used_before_Trf!A86)</f>
        <v>0</v>
      </c>
      <c r="AL86" s="178">
        <f t="shared" si="58"/>
        <v>0</v>
      </c>
      <c r="AM86" s="179">
        <f t="shared" si="59"/>
        <v>0</v>
      </c>
      <c r="AN86" s="440">
        <f t="shared" si="60"/>
        <v>0</v>
      </c>
      <c r="AO86" s="180">
        <f t="shared" si="62"/>
        <v>0</v>
      </c>
    </row>
    <row r="87" spans="1:41" s="108" customFormat="1" ht="15" customHeight="1">
      <c r="A87" s="135" t="s">
        <v>334</v>
      </c>
      <c r="B87" s="511" t="s">
        <v>335</v>
      </c>
      <c r="C87" s="136">
        <f>SUMIF('Che-Store'!A:A,Used_before_Trf!A87,'Che-Store'!AC:AC)+SUMIF('Che-Comp'!A:A,Used_before_Trf!A87,'Che-Comp'!AC:AC)</f>
        <v>0</v>
      </c>
      <c r="D87" s="137">
        <f t="shared" si="41"/>
        <v>0</v>
      </c>
      <c r="E87" s="138">
        <f>SUMIF('Che-Store'!A:A,Used_before_Trf!A87,'Che-Store'!AE:AE)+SUMIF('Che-Comp'!A:A,Used_before_Trf!A87,'Che-Comp'!AE:AE)</f>
        <v>0</v>
      </c>
      <c r="F87" s="136">
        <f>SUMIFS('Che-Comp'!F:F,'Che-Comp'!$A:$A,Used_before_Trf!$A87)</f>
        <v>0</v>
      </c>
      <c r="G87" s="138">
        <f>SUMIFS('Che-Comp'!G:G,'Che-Comp'!$A:$A,Used_before_Trf!$A87)</f>
        <v>0</v>
      </c>
      <c r="H87" s="137">
        <f t="shared" si="42"/>
        <v>0</v>
      </c>
      <c r="I87" s="137">
        <f t="shared" si="43"/>
        <v>0</v>
      </c>
      <c r="J87" s="137">
        <f t="shared" si="44"/>
        <v>0</v>
      </c>
      <c r="K87" s="158">
        <f>SUMIF('Che.-Prod'!A:A,Used_before_Trf!A87,'Che.-Prod'!D:D)</f>
        <v>0</v>
      </c>
      <c r="L87" s="137">
        <f t="shared" si="45"/>
        <v>0</v>
      </c>
      <c r="M87" s="159">
        <f>SUMIF('Che.-Prod'!A:A,Used_before_Trf!A87,'Che.-Prod'!F:F)</f>
        <v>0</v>
      </c>
      <c r="N87" s="160">
        <f>SUMIF('Che.-Prod'!A:A,Used_before_Trf!A87,'Che.-Prod'!G:G)</f>
        <v>0</v>
      </c>
      <c r="O87" s="161">
        <f t="shared" si="46"/>
        <v>0</v>
      </c>
      <c r="P87" s="162">
        <f>SUMIF('Che.-Prod'!A:A,Used_before_Trf!A87,'Che.-Prod'!H:H)</f>
        <v>0</v>
      </c>
      <c r="Q87" s="160">
        <f>SUMIF('Che.-Prod'!A:A,Used_before_Trf!A87,'Che.-Prod'!P:P)</f>
        <v>0</v>
      </c>
      <c r="R87" s="161">
        <f t="shared" si="47"/>
        <v>0</v>
      </c>
      <c r="S87" s="159">
        <f>SUMIF('Che.-Prod'!A:A,Used_before_Trf!A87,'Che.-Prod'!R:R)</f>
        <v>0</v>
      </c>
      <c r="T87" s="169">
        <f t="shared" si="48"/>
        <v>0</v>
      </c>
      <c r="U87" s="507">
        <f t="shared" si="49"/>
        <v>0</v>
      </c>
      <c r="V87" s="170">
        <f t="shared" si="50"/>
        <v>0</v>
      </c>
      <c r="W87" s="158">
        <f>SUMIF('CHE-last month'!$A:$A,Used_before_Trf!A87,'CHE-last month'!C:C)</f>
        <v>0</v>
      </c>
      <c r="X87" s="520">
        <f t="shared" si="51"/>
        <v>0</v>
      </c>
      <c r="Y87" s="162">
        <f>SUMIF('CHE-last month'!$A:$A,Used_before_Trf!A87,'CHE-last month'!E:E)</f>
        <v>0</v>
      </c>
      <c r="Z87" s="159">
        <f t="shared" si="52"/>
        <v>0</v>
      </c>
      <c r="AA87" s="520">
        <f t="shared" si="53"/>
        <v>0</v>
      </c>
      <c r="AB87" s="159">
        <f t="shared" si="54"/>
        <v>0</v>
      </c>
      <c r="AC87" s="160">
        <f>SUMIFS(BalCom!M:M,BalCom!N:N,Used_before_Trf!A87,BalCom!C:C,Used_before_Trf!$AC$1)</f>
        <v>0</v>
      </c>
      <c r="AD87" s="171">
        <f t="shared" si="55"/>
        <v>0</v>
      </c>
      <c r="AE87" s="159">
        <f>SUMIFS(BalCom!P:P,BalCom!N:N,Used_before_Trf!A87,BalCom!C:C,Used_before_Trf!$AC$1)</f>
        <v>0</v>
      </c>
      <c r="AF87" s="160">
        <f>SUMIFS(BalDis!I:I,BalDis!J:J,Used_before_Trf!A87)</f>
        <v>0</v>
      </c>
      <c r="AG87" s="171">
        <f t="shared" si="56"/>
        <v>0</v>
      </c>
      <c r="AH87" s="162">
        <f>SUMIFS(BalDis!L:L,BalDis!J:J,Used_before_Trf!A87)</f>
        <v>0</v>
      </c>
      <c r="AI87" s="159">
        <f>SUMIFS(BalDip!$N$49:$N$75,BalDip!$C$49:$C$75,Used_before_Trf!A87)+SUMIFS(BalDip!$N$134:$N$157,BalDip!$C$134:$C$157,Used_before_Trf!A87)</f>
        <v>0</v>
      </c>
      <c r="AJ87" s="171">
        <f t="shared" si="57"/>
        <v>0</v>
      </c>
      <c r="AK87" s="177">
        <f>SUMIFS(BalDip!$N$80:$N$106,BalDip!$C$80:$C$106,Used_before_Trf!A87)+SUMIFS(BalDip!$N$161:$N$184,BalDip!$C$161:$C$184,Used_before_Trf!A87)</f>
        <v>0</v>
      </c>
      <c r="AL87" s="178">
        <f t="shared" si="58"/>
        <v>0</v>
      </c>
      <c r="AM87" s="179">
        <f t="shared" si="59"/>
        <v>0</v>
      </c>
      <c r="AN87" s="440">
        <f t="shared" si="60"/>
        <v>0</v>
      </c>
      <c r="AO87" s="180">
        <f t="shared" si="62"/>
        <v>0</v>
      </c>
    </row>
    <row r="88" spans="1:41" s="108" customFormat="1" ht="15" customHeight="1">
      <c r="A88" s="135" t="s">
        <v>336</v>
      </c>
      <c r="B88" s="511" t="s">
        <v>337</v>
      </c>
      <c r="C88" s="136">
        <f>SUMIF('Che-Store'!A:A,Used_before_Trf!A88,'Che-Store'!AC:AC)+SUMIF('Che-Comp'!A:A,Used_before_Trf!A88,'Che-Comp'!AC:AC)</f>
        <v>0</v>
      </c>
      <c r="D88" s="137">
        <f t="shared" si="41"/>
        <v>0</v>
      </c>
      <c r="E88" s="138">
        <f>SUMIF('Che-Store'!A:A,Used_before_Trf!A88,'Che-Store'!AE:AE)+SUMIF('Che-Comp'!A:A,Used_before_Trf!A88,'Che-Comp'!AE:AE)</f>
        <v>0</v>
      </c>
      <c r="F88" s="136">
        <f>SUMIFS('Che-Comp'!F:F,'Che-Comp'!$A:$A,Used_before_Trf!$A88)</f>
        <v>0</v>
      </c>
      <c r="G88" s="138">
        <f>SUMIFS('Che-Comp'!G:G,'Che-Comp'!$A:$A,Used_before_Trf!$A88)</f>
        <v>0</v>
      </c>
      <c r="H88" s="137">
        <f t="shared" si="42"/>
        <v>0</v>
      </c>
      <c r="I88" s="137">
        <f t="shared" si="43"/>
        <v>0</v>
      </c>
      <c r="J88" s="137">
        <f t="shared" si="44"/>
        <v>0</v>
      </c>
      <c r="K88" s="158">
        <f>SUMIF('Che.-Prod'!A:A,Used_before_Trf!A88,'Che.-Prod'!D:D)</f>
        <v>0</v>
      </c>
      <c r="L88" s="137">
        <f t="shared" si="45"/>
        <v>0</v>
      </c>
      <c r="M88" s="159">
        <f>SUMIF('Che.-Prod'!A:A,Used_before_Trf!A88,'Che.-Prod'!F:F)</f>
        <v>0</v>
      </c>
      <c r="N88" s="160">
        <f>SUMIF('Che.-Prod'!A:A,Used_before_Trf!A88,'Che.-Prod'!G:G)</f>
        <v>0</v>
      </c>
      <c r="O88" s="161">
        <f t="shared" si="46"/>
        <v>0</v>
      </c>
      <c r="P88" s="162">
        <f>SUMIF('Che.-Prod'!A:A,Used_before_Trf!A88,'Che.-Prod'!H:H)</f>
        <v>0</v>
      </c>
      <c r="Q88" s="160">
        <f>SUMIF('Che.-Prod'!A:A,Used_before_Trf!A88,'Che.-Prod'!P:P)</f>
        <v>0</v>
      </c>
      <c r="R88" s="161">
        <f t="shared" si="47"/>
        <v>0</v>
      </c>
      <c r="S88" s="159">
        <f>SUMIF('Che.-Prod'!A:A,Used_before_Trf!A88,'Che.-Prod'!R:R)</f>
        <v>0</v>
      </c>
      <c r="T88" s="169">
        <f t="shared" si="48"/>
        <v>0</v>
      </c>
      <c r="U88" s="507">
        <f t="shared" si="49"/>
        <v>0</v>
      </c>
      <c r="V88" s="170">
        <f t="shared" si="50"/>
        <v>0</v>
      </c>
      <c r="W88" s="158">
        <f>SUMIF('CHE-last month'!$A:$A,Used_before_Trf!A88,'CHE-last month'!C:C)</f>
        <v>0</v>
      </c>
      <c r="X88" s="520">
        <f t="shared" si="51"/>
        <v>0</v>
      </c>
      <c r="Y88" s="162">
        <f>SUMIF('CHE-last month'!$A:$A,Used_before_Trf!A88,'CHE-last month'!E:E)</f>
        <v>0</v>
      </c>
      <c r="Z88" s="159">
        <f t="shared" si="52"/>
        <v>0</v>
      </c>
      <c r="AA88" s="520">
        <f t="shared" si="53"/>
        <v>0</v>
      </c>
      <c r="AB88" s="159">
        <f t="shared" si="54"/>
        <v>0</v>
      </c>
      <c r="AC88" s="160">
        <f>SUMIFS(BalCom!M:M,BalCom!N:N,Used_before_Trf!A88,BalCom!C:C,Used_before_Trf!$AC$1)</f>
        <v>0</v>
      </c>
      <c r="AD88" s="171">
        <f t="shared" si="55"/>
        <v>0</v>
      </c>
      <c r="AE88" s="159">
        <f>SUMIFS(BalCom!P:P,BalCom!N:N,Used_before_Trf!A88,BalCom!C:C,Used_before_Trf!$AC$1)</f>
        <v>0</v>
      </c>
      <c r="AF88" s="160">
        <f>SUMIFS(BalDis!I:I,BalDis!J:J,Used_before_Trf!A88)</f>
        <v>0</v>
      </c>
      <c r="AG88" s="171">
        <f t="shared" si="56"/>
        <v>0</v>
      </c>
      <c r="AH88" s="162">
        <f>SUMIFS(BalDis!L:L,BalDis!J:J,Used_before_Trf!A88)</f>
        <v>0</v>
      </c>
      <c r="AI88" s="159">
        <f>SUMIFS(BalDip!$N$49:$N$75,BalDip!$C$49:$C$75,Used_before_Trf!A88)+SUMIFS(BalDip!$N$134:$N$157,BalDip!$C$134:$C$157,Used_before_Trf!A88)</f>
        <v>0</v>
      </c>
      <c r="AJ88" s="171">
        <f t="shared" si="57"/>
        <v>0</v>
      </c>
      <c r="AK88" s="177">
        <f>SUMIFS(BalDip!$N$80:$N$106,BalDip!$C$80:$C$106,Used_before_Trf!A88)+SUMIFS(BalDip!$N$161:$N$184,BalDip!$C$161:$C$184,Used_before_Trf!A88)</f>
        <v>0</v>
      </c>
      <c r="AL88" s="178">
        <f t="shared" si="58"/>
        <v>0</v>
      </c>
      <c r="AM88" s="179">
        <f t="shared" si="59"/>
        <v>0</v>
      </c>
      <c r="AN88" s="440">
        <f t="shared" si="60"/>
        <v>0</v>
      </c>
      <c r="AO88" s="180">
        <f t="shared" si="62"/>
        <v>0</v>
      </c>
    </row>
    <row r="89" spans="1:41" s="108" customFormat="1" ht="15" customHeight="1">
      <c r="A89" s="135" t="s">
        <v>338</v>
      </c>
      <c r="B89" s="511" t="s">
        <v>339</v>
      </c>
      <c r="C89" s="136">
        <f>SUMIF('Che-Store'!A:A,Used_before_Trf!A89,'Che-Store'!AC:AC)+SUMIF('Che-Comp'!A:A,Used_before_Trf!A89,'Che-Comp'!AC:AC)</f>
        <v>0</v>
      </c>
      <c r="D89" s="137">
        <f t="shared" si="41"/>
        <v>0</v>
      </c>
      <c r="E89" s="138">
        <f>SUMIF('Che-Store'!A:A,Used_before_Trf!A89,'Che-Store'!AE:AE)+SUMIF('Che-Comp'!A:A,Used_before_Trf!A89,'Che-Comp'!AE:AE)</f>
        <v>0</v>
      </c>
      <c r="F89" s="136">
        <f>SUMIFS('Che-Comp'!F:F,'Che-Comp'!$A:$A,Used_before_Trf!$A89)</f>
        <v>0</v>
      </c>
      <c r="G89" s="138">
        <f>SUMIFS('Che-Comp'!G:G,'Che-Comp'!$A:$A,Used_before_Trf!$A89)</f>
        <v>0</v>
      </c>
      <c r="H89" s="137">
        <f t="shared" si="42"/>
        <v>0</v>
      </c>
      <c r="I89" s="137">
        <f t="shared" si="43"/>
        <v>0</v>
      </c>
      <c r="J89" s="137">
        <f t="shared" si="44"/>
        <v>0</v>
      </c>
      <c r="K89" s="158">
        <f>SUMIF('Che.-Prod'!A:A,Used_before_Trf!A89,'Che.-Prod'!D:D)</f>
        <v>0</v>
      </c>
      <c r="L89" s="137">
        <f t="shared" si="45"/>
        <v>0</v>
      </c>
      <c r="M89" s="159">
        <f>SUMIF('Che.-Prod'!A:A,Used_before_Trf!A89,'Che.-Prod'!F:F)</f>
        <v>0</v>
      </c>
      <c r="N89" s="160">
        <f>SUMIF('Che.-Prod'!A:A,Used_before_Trf!A89,'Che.-Prod'!G:G)</f>
        <v>0</v>
      </c>
      <c r="O89" s="161">
        <f t="shared" si="46"/>
        <v>0</v>
      </c>
      <c r="P89" s="162">
        <f>SUMIF('Che.-Prod'!A:A,Used_before_Trf!A89,'Che.-Prod'!H:H)</f>
        <v>0</v>
      </c>
      <c r="Q89" s="160">
        <f>SUMIF('Che.-Prod'!A:A,Used_before_Trf!A89,'Che.-Prod'!P:P)</f>
        <v>0</v>
      </c>
      <c r="R89" s="161">
        <f t="shared" si="47"/>
        <v>0</v>
      </c>
      <c r="S89" s="159">
        <f>SUMIF('Che.-Prod'!A:A,Used_before_Trf!A89,'Che.-Prod'!R:R)</f>
        <v>0</v>
      </c>
      <c r="T89" s="169">
        <f t="shared" si="48"/>
        <v>0</v>
      </c>
      <c r="U89" s="507">
        <f t="shared" si="49"/>
        <v>0</v>
      </c>
      <c r="V89" s="170">
        <f t="shared" si="50"/>
        <v>0</v>
      </c>
      <c r="W89" s="158">
        <f>SUMIF('CHE-last month'!$A:$A,Used_before_Trf!A89,'CHE-last month'!C:C)</f>
        <v>0</v>
      </c>
      <c r="X89" s="520">
        <f t="shared" si="51"/>
        <v>0</v>
      </c>
      <c r="Y89" s="162">
        <f>SUMIF('CHE-last month'!$A:$A,Used_before_Trf!A89,'CHE-last month'!E:E)</f>
        <v>0</v>
      </c>
      <c r="Z89" s="159">
        <f t="shared" si="52"/>
        <v>0</v>
      </c>
      <c r="AA89" s="520">
        <f t="shared" si="53"/>
        <v>0</v>
      </c>
      <c r="AB89" s="159">
        <f t="shared" si="54"/>
        <v>0</v>
      </c>
      <c r="AC89" s="160">
        <f>SUMIFS(BalCom!M:M,BalCom!N:N,Used_before_Trf!A89,BalCom!C:C,Used_before_Trf!$AC$1)</f>
        <v>0</v>
      </c>
      <c r="AD89" s="171">
        <f t="shared" si="55"/>
        <v>0</v>
      </c>
      <c r="AE89" s="159">
        <f>SUMIFS(BalCom!P:P,BalCom!N:N,Used_before_Trf!A89,BalCom!C:C,Used_before_Trf!$AC$1)</f>
        <v>0</v>
      </c>
      <c r="AF89" s="160">
        <f>SUMIFS(BalDis!I:I,BalDis!J:J,Used_before_Trf!A89)</f>
        <v>0</v>
      </c>
      <c r="AG89" s="171">
        <f t="shared" si="56"/>
        <v>0</v>
      </c>
      <c r="AH89" s="162">
        <f>SUMIFS(BalDis!L:L,BalDis!J:J,Used_before_Trf!A89)</f>
        <v>0</v>
      </c>
      <c r="AI89" s="159">
        <f>SUMIFS(BalDip!$N$49:$N$75,BalDip!$C$49:$C$75,Used_before_Trf!A89)+SUMIFS(BalDip!$N$134:$N$157,BalDip!$C$134:$C$157,Used_before_Trf!A89)</f>
        <v>0</v>
      </c>
      <c r="AJ89" s="171">
        <f t="shared" si="57"/>
        <v>0</v>
      </c>
      <c r="AK89" s="177">
        <f>SUMIFS(BalDip!$N$80:$N$106,BalDip!$C$80:$C$106,Used_before_Trf!A89)+SUMIFS(BalDip!$N$161:$N$184,BalDip!$C$161:$C$184,Used_before_Trf!A89)</f>
        <v>0</v>
      </c>
      <c r="AL89" s="178">
        <f t="shared" si="58"/>
        <v>0</v>
      </c>
      <c r="AM89" s="179">
        <f t="shared" si="59"/>
        <v>0</v>
      </c>
      <c r="AN89" s="440">
        <f t="shared" si="60"/>
        <v>0</v>
      </c>
      <c r="AO89" s="180">
        <f t="shared" si="62"/>
        <v>0</v>
      </c>
    </row>
    <row r="90" spans="1:41" s="108" customFormat="1" ht="15" customHeight="1">
      <c r="A90" s="135" t="s">
        <v>340</v>
      </c>
      <c r="B90" s="511" t="s">
        <v>341</v>
      </c>
      <c r="C90" s="136">
        <f>SUMIF('Che-Store'!A:A,Used_before_Trf!A90,'Che-Store'!AC:AC)+SUMIF('Che-Comp'!A:A,Used_before_Trf!A90,'Che-Comp'!AC:AC)</f>
        <v>0</v>
      </c>
      <c r="D90" s="137">
        <f t="shared" si="41"/>
        <v>0</v>
      </c>
      <c r="E90" s="138">
        <f>SUMIF('Che-Store'!A:A,Used_before_Trf!A90,'Che-Store'!AE:AE)+SUMIF('Che-Comp'!A:A,Used_before_Trf!A90,'Che-Comp'!AE:AE)</f>
        <v>0</v>
      </c>
      <c r="F90" s="136">
        <f>SUMIFS('Che-Comp'!F:F,'Che-Comp'!$A:$A,Used_before_Trf!$A90)</f>
        <v>0</v>
      </c>
      <c r="G90" s="138">
        <f>SUMIFS('Che-Comp'!G:G,'Che-Comp'!$A:$A,Used_before_Trf!$A90)</f>
        <v>0</v>
      </c>
      <c r="H90" s="137">
        <f t="shared" si="42"/>
        <v>0</v>
      </c>
      <c r="I90" s="137">
        <f t="shared" si="43"/>
        <v>0</v>
      </c>
      <c r="J90" s="137">
        <f t="shared" si="44"/>
        <v>0</v>
      </c>
      <c r="K90" s="158">
        <f>SUMIF('Che.-Prod'!A:A,Used_before_Trf!A90,'Che.-Prod'!D:D)</f>
        <v>0</v>
      </c>
      <c r="L90" s="137">
        <f t="shared" si="45"/>
        <v>0</v>
      </c>
      <c r="M90" s="159">
        <f>SUMIF('Che.-Prod'!A:A,Used_before_Trf!A90,'Che.-Prod'!F:F)</f>
        <v>0</v>
      </c>
      <c r="N90" s="160">
        <f>SUMIF('Che.-Prod'!A:A,Used_before_Trf!A90,'Che.-Prod'!G:G)</f>
        <v>0</v>
      </c>
      <c r="O90" s="161">
        <f t="shared" si="46"/>
        <v>0</v>
      </c>
      <c r="P90" s="162">
        <f>SUMIF('Che.-Prod'!A:A,Used_before_Trf!A90,'Che.-Prod'!H:H)</f>
        <v>0</v>
      </c>
      <c r="Q90" s="160">
        <f>SUMIF('Che.-Prod'!A:A,Used_before_Trf!A90,'Che.-Prod'!P:P)</f>
        <v>0</v>
      </c>
      <c r="R90" s="161">
        <f t="shared" si="47"/>
        <v>0</v>
      </c>
      <c r="S90" s="159">
        <f>SUMIF('Che.-Prod'!A:A,Used_before_Trf!A90,'Che.-Prod'!R:R)</f>
        <v>0</v>
      </c>
      <c r="T90" s="169">
        <f t="shared" si="48"/>
        <v>0</v>
      </c>
      <c r="U90" s="507">
        <f t="shared" si="49"/>
        <v>0</v>
      </c>
      <c r="V90" s="170">
        <f t="shared" si="50"/>
        <v>0</v>
      </c>
      <c r="W90" s="158">
        <f>SUMIF('CHE-last month'!$A:$A,Used_before_Trf!A90,'CHE-last month'!C:C)</f>
        <v>0</v>
      </c>
      <c r="X90" s="520">
        <f t="shared" si="51"/>
        <v>0</v>
      </c>
      <c r="Y90" s="162">
        <f>SUMIF('CHE-last month'!$A:$A,Used_before_Trf!A90,'CHE-last month'!E:E)</f>
        <v>0</v>
      </c>
      <c r="Z90" s="159">
        <f t="shared" si="52"/>
        <v>0</v>
      </c>
      <c r="AA90" s="520">
        <f t="shared" si="53"/>
        <v>0</v>
      </c>
      <c r="AB90" s="159">
        <f t="shared" si="54"/>
        <v>0</v>
      </c>
      <c r="AC90" s="160">
        <f>SUMIFS(BalCom!M:M,BalCom!N:N,Used_before_Trf!A90,BalCom!C:C,Used_before_Trf!$AC$1)</f>
        <v>0</v>
      </c>
      <c r="AD90" s="171">
        <f t="shared" si="55"/>
        <v>0</v>
      </c>
      <c r="AE90" s="159">
        <f>SUMIFS(BalCom!P:P,BalCom!N:N,Used_before_Trf!A90,BalCom!C:C,Used_before_Trf!$AC$1)</f>
        <v>0</v>
      </c>
      <c r="AF90" s="160">
        <f>SUMIFS(BalDis!I:I,BalDis!J:J,Used_before_Trf!A90)</f>
        <v>0</v>
      </c>
      <c r="AG90" s="171">
        <f t="shared" si="56"/>
        <v>0</v>
      </c>
      <c r="AH90" s="162">
        <f>SUMIFS(BalDis!L:L,BalDis!J:J,Used_before_Trf!A90)</f>
        <v>0</v>
      </c>
      <c r="AI90" s="159">
        <f>SUMIFS(BalDip!$N$49:$N$75,BalDip!$C$49:$C$75,Used_before_Trf!A90)+SUMIFS(BalDip!$N$134:$N$157,BalDip!$C$134:$C$157,Used_before_Trf!A90)</f>
        <v>0</v>
      </c>
      <c r="AJ90" s="171">
        <f t="shared" si="57"/>
        <v>0</v>
      </c>
      <c r="AK90" s="177">
        <f>SUMIFS(BalDip!$N$80:$N$106,BalDip!$C$80:$C$106,Used_before_Trf!A90)+SUMIFS(BalDip!$N$161:$N$184,BalDip!$C$161:$C$184,Used_before_Trf!A90)</f>
        <v>0</v>
      </c>
      <c r="AL90" s="178">
        <f t="shared" si="58"/>
        <v>0</v>
      </c>
      <c r="AM90" s="179">
        <f t="shared" si="59"/>
        <v>0</v>
      </c>
      <c r="AN90" s="440">
        <f t="shared" si="60"/>
        <v>0</v>
      </c>
      <c r="AO90" s="180">
        <f t="shared" si="62"/>
        <v>0</v>
      </c>
    </row>
    <row r="91" spans="1:41" s="108" customFormat="1" ht="15" customHeight="1">
      <c r="A91" s="135" t="s">
        <v>342</v>
      </c>
      <c r="B91" s="511" t="s">
        <v>343</v>
      </c>
      <c r="C91" s="136">
        <f>SUMIF('Che-Store'!A:A,Used_before_Trf!A91,'Che-Store'!AC:AC)+SUMIF('Che-Comp'!A:A,Used_before_Trf!A91,'Che-Comp'!AC:AC)</f>
        <v>0</v>
      </c>
      <c r="D91" s="137">
        <f t="shared" si="41"/>
        <v>0</v>
      </c>
      <c r="E91" s="138">
        <f>SUMIF('Che-Store'!A:A,Used_before_Trf!A91,'Che-Store'!AE:AE)+SUMIF('Che-Comp'!A:A,Used_before_Trf!A91,'Che-Comp'!AE:AE)</f>
        <v>0</v>
      </c>
      <c r="F91" s="136">
        <f>SUMIFS('Che-Comp'!F:F,'Che-Comp'!$A:$A,Used_before_Trf!$A91)</f>
        <v>0</v>
      </c>
      <c r="G91" s="138">
        <f>SUMIFS('Che-Comp'!G:G,'Che-Comp'!$A:$A,Used_before_Trf!$A91)</f>
        <v>0</v>
      </c>
      <c r="H91" s="137">
        <f t="shared" si="42"/>
        <v>0</v>
      </c>
      <c r="I91" s="137">
        <f t="shared" si="43"/>
        <v>0</v>
      </c>
      <c r="J91" s="137">
        <f t="shared" si="44"/>
        <v>0</v>
      </c>
      <c r="K91" s="158">
        <f>SUMIF('Che.-Prod'!A:A,Used_before_Trf!A91,'Che.-Prod'!D:D)</f>
        <v>0</v>
      </c>
      <c r="L91" s="137">
        <f t="shared" si="45"/>
        <v>0</v>
      </c>
      <c r="M91" s="159">
        <f>SUMIF('Che.-Prod'!A:A,Used_before_Trf!A91,'Che.-Prod'!F:F)</f>
        <v>0</v>
      </c>
      <c r="N91" s="160">
        <f>SUMIF('Che.-Prod'!A:A,Used_before_Trf!A91,'Che.-Prod'!G:G)</f>
        <v>0</v>
      </c>
      <c r="O91" s="161">
        <f t="shared" si="46"/>
        <v>0</v>
      </c>
      <c r="P91" s="162">
        <f>SUMIF('Che.-Prod'!A:A,Used_before_Trf!A91,'Che.-Prod'!H:H)</f>
        <v>0</v>
      </c>
      <c r="Q91" s="160">
        <f>SUMIF('Che.-Prod'!A:A,Used_before_Trf!A91,'Che.-Prod'!P:P)</f>
        <v>0</v>
      </c>
      <c r="R91" s="161">
        <f t="shared" si="47"/>
        <v>0</v>
      </c>
      <c r="S91" s="159">
        <f>SUMIF('Che.-Prod'!A:A,Used_before_Trf!A91,'Che.-Prod'!R:R)</f>
        <v>0</v>
      </c>
      <c r="T91" s="169">
        <f t="shared" si="48"/>
        <v>0</v>
      </c>
      <c r="U91" s="507">
        <f t="shared" si="49"/>
        <v>0</v>
      </c>
      <c r="V91" s="170">
        <f t="shared" si="50"/>
        <v>0</v>
      </c>
      <c r="W91" s="158">
        <f>SUMIF('CHE-last month'!$A:$A,Used_before_Trf!A91,'CHE-last month'!C:C)</f>
        <v>0</v>
      </c>
      <c r="X91" s="520">
        <f t="shared" si="51"/>
        <v>0</v>
      </c>
      <c r="Y91" s="162">
        <f>SUMIF('CHE-last month'!$A:$A,Used_before_Trf!A91,'CHE-last month'!E:E)</f>
        <v>0</v>
      </c>
      <c r="Z91" s="159">
        <f t="shared" si="52"/>
        <v>0</v>
      </c>
      <c r="AA91" s="520">
        <f t="shared" si="53"/>
        <v>0</v>
      </c>
      <c r="AB91" s="159">
        <f t="shared" si="54"/>
        <v>0</v>
      </c>
      <c r="AC91" s="160">
        <f>SUMIFS(BalCom!M:M,BalCom!N:N,Used_before_Trf!A91,BalCom!C:C,Used_before_Trf!$AC$1)</f>
        <v>0</v>
      </c>
      <c r="AD91" s="171">
        <f t="shared" si="55"/>
        <v>0</v>
      </c>
      <c r="AE91" s="159">
        <f>SUMIFS(BalCom!P:P,BalCom!N:N,Used_before_Trf!A91,BalCom!C:C,Used_before_Trf!$AC$1)</f>
        <v>0</v>
      </c>
      <c r="AF91" s="160">
        <f>SUMIFS(BalDis!I:I,BalDis!J:J,Used_before_Trf!A91)</f>
        <v>0</v>
      </c>
      <c r="AG91" s="171">
        <f t="shared" si="56"/>
        <v>0</v>
      </c>
      <c r="AH91" s="162">
        <f>SUMIFS(BalDis!L:L,BalDis!J:J,Used_before_Trf!A91)</f>
        <v>0</v>
      </c>
      <c r="AI91" s="159">
        <f>SUMIFS(BalDip!$N$49:$N$75,BalDip!$C$49:$C$75,Used_before_Trf!A91)+SUMIFS(BalDip!$N$134:$N$157,BalDip!$C$134:$C$157,Used_before_Trf!A91)</f>
        <v>0</v>
      </c>
      <c r="AJ91" s="171">
        <f t="shared" si="57"/>
        <v>0</v>
      </c>
      <c r="AK91" s="177">
        <f>SUMIFS(BalDip!$N$80:$N$106,BalDip!$C$80:$C$106,Used_before_Trf!A91)+SUMIFS(BalDip!$N$161:$N$184,BalDip!$C$161:$C$184,Used_before_Trf!A91)</f>
        <v>0</v>
      </c>
      <c r="AL91" s="178">
        <f t="shared" si="58"/>
        <v>0</v>
      </c>
      <c r="AM91" s="179">
        <f t="shared" si="59"/>
        <v>0</v>
      </c>
      <c r="AN91" s="440">
        <f t="shared" si="60"/>
        <v>0</v>
      </c>
      <c r="AO91" s="180">
        <f t="shared" si="62"/>
        <v>0</v>
      </c>
    </row>
    <row r="92" spans="1:41" s="108" customFormat="1" ht="15" customHeight="1">
      <c r="A92" s="135" t="s">
        <v>344</v>
      </c>
      <c r="B92" s="511" t="s">
        <v>345</v>
      </c>
      <c r="C92" s="136">
        <f>SUMIF('Che-Store'!A:A,Used_before_Trf!A92,'Che-Store'!AC:AC)+SUMIF('Che-Comp'!A:A,Used_before_Trf!A92,'Che-Comp'!AC:AC)</f>
        <v>1090.7</v>
      </c>
      <c r="D92" s="137">
        <f t="shared" si="41"/>
        <v>50.317319152837626</v>
      </c>
      <c r="E92" s="138">
        <f>SUMIF('Che-Store'!A:A,Used_before_Trf!A92,'Che-Store'!AE:AE)+SUMIF('Che-Comp'!A:A,Used_before_Trf!A92,'Che-Comp'!AE:AE)</f>
        <v>54881.1</v>
      </c>
      <c r="F92" s="136">
        <f>SUMIFS('Che-Comp'!F:F,'Che-Comp'!$A:$A,Used_before_Trf!$A92)</f>
        <v>0</v>
      </c>
      <c r="G92" s="138">
        <f>SUMIFS('Che-Comp'!G:G,'Che-Comp'!$A:$A,Used_before_Trf!$A92)</f>
        <v>0</v>
      </c>
      <c r="H92" s="137">
        <f t="shared" si="42"/>
        <v>1090.7</v>
      </c>
      <c r="I92" s="137">
        <f t="shared" si="43"/>
        <v>50.317319152837626</v>
      </c>
      <c r="J92" s="137">
        <f t="shared" si="44"/>
        <v>54881.1</v>
      </c>
      <c r="K92" s="158">
        <f>SUMIF('Che.-Prod'!A:A,Used_before_Trf!A92,'Che.-Prod'!D:D)</f>
        <v>0</v>
      </c>
      <c r="L92" s="137">
        <f t="shared" si="45"/>
        <v>0</v>
      </c>
      <c r="M92" s="159">
        <f>SUMIF('Che.-Prod'!A:A,Used_before_Trf!A92,'Che.-Prod'!F:F)</f>
        <v>0</v>
      </c>
      <c r="N92" s="160">
        <f>SUMIF('Che.-Prod'!A:A,Used_before_Trf!A92,'Che.-Prod'!G:G)</f>
        <v>0</v>
      </c>
      <c r="O92" s="161">
        <f t="shared" si="46"/>
        <v>0</v>
      </c>
      <c r="P92" s="162">
        <f>SUMIF('Che.-Prod'!A:A,Used_before_Trf!A92,'Che.-Prod'!H:H)</f>
        <v>0</v>
      </c>
      <c r="Q92" s="160">
        <f>SUMIF('Che.-Prod'!A:A,Used_before_Trf!A92,'Che.-Prod'!P:P)</f>
        <v>0</v>
      </c>
      <c r="R92" s="161">
        <f t="shared" si="47"/>
        <v>0</v>
      </c>
      <c r="S92" s="159">
        <f>SUMIF('Che.-Prod'!A:A,Used_before_Trf!A92,'Che.-Prod'!R:R)</f>
        <v>0</v>
      </c>
      <c r="T92" s="169">
        <f t="shared" si="48"/>
        <v>1090.7</v>
      </c>
      <c r="U92" s="507">
        <f t="shared" si="49"/>
        <v>50.317319152837626</v>
      </c>
      <c r="V92" s="170">
        <f t="shared" si="50"/>
        <v>54881.1</v>
      </c>
      <c r="W92" s="158">
        <f>SUMIF('CHE-last month'!$A:$A,Used_before_Trf!A92,'CHE-last month'!C:C)</f>
        <v>119.11671445513331</v>
      </c>
      <c r="X92" s="520">
        <f t="shared" si="51"/>
        <v>48.444586692940966</v>
      </c>
      <c r="Y92" s="162">
        <f>SUMIF('CHE-last month'!$A:$A,Used_before_Trf!A92,'CHE-last month'!E:E)</f>
        <v>5770.5599999999995</v>
      </c>
      <c r="Z92" s="159">
        <f t="shared" si="52"/>
        <v>224.76311706094748</v>
      </c>
      <c r="AA92" s="520">
        <f t="shared" si="53"/>
        <v>50.317241315590451</v>
      </c>
      <c r="AB92" s="159">
        <f t="shared" si="54"/>
        <v>11309.46</v>
      </c>
      <c r="AC92" s="160">
        <f>SUMIFS(BalCom!M:M,BalCom!N:N,Used_before_Trf!A92,BalCom!C:C,Used_before_Trf!$AC$1)</f>
        <v>185.13242932940395</v>
      </c>
      <c r="AD92" s="171">
        <f t="shared" si="55"/>
        <v>50.317224452477241</v>
      </c>
      <c r="AE92" s="159">
        <f>SUMIFS(BalCom!P:P,BalCom!N:N,Used_before_Trf!A92,BalCom!C:C,Used_before_Trf!$AC$1)</f>
        <v>9315.3499999999985</v>
      </c>
      <c r="AF92" s="160">
        <f>SUMIFS(BalDis!I:I,BalDis!J:J,Used_before_Trf!A92)</f>
        <v>0</v>
      </c>
      <c r="AG92" s="171">
        <f t="shared" si="56"/>
        <v>0</v>
      </c>
      <c r="AH92" s="162">
        <f>SUMIFS(BalDis!L:L,BalDis!J:J,Used_before_Trf!A92)</f>
        <v>0</v>
      </c>
      <c r="AI92" s="159">
        <f>SUMIFS(BalDip!$N$49:$N$75,BalDip!$C$49:$C$75,Used_before_Trf!A92)+SUMIFS(BalDip!$N$134:$N$157,BalDip!$C$134:$C$157,Used_before_Trf!A92)</f>
        <v>39.630687731543517</v>
      </c>
      <c r="AJ92" s="171">
        <f t="shared" si="57"/>
        <v>50.317320090633061</v>
      </c>
      <c r="AK92" s="177">
        <f>SUMIFS(BalDip!$N$80:$N$106,BalDip!$C$80:$C$106,Used_before_Trf!A92)+SUMIFS(BalDip!$N$161:$N$184,BalDip!$C$161:$C$184,Used_before_Trf!A92)</f>
        <v>1994.11</v>
      </c>
      <c r="AL92" s="178">
        <f t="shared" si="58"/>
        <v>985.05359739418577</v>
      </c>
      <c r="AM92" s="179">
        <f t="shared" si="59"/>
        <v>50.0908784359831</v>
      </c>
      <c r="AN92" s="440">
        <f t="shared" si="60"/>
        <v>49342.2</v>
      </c>
      <c r="AO92" s="180">
        <f t="shared" si="62"/>
        <v>-0.22644071685452616</v>
      </c>
    </row>
    <row r="93" spans="1:41" s="108" customFormat="1" ht="15" customHeight="1">
      <c r="A93" s="135" t="s">
        <v>346</v>
      </c>
      <c r="B93" s="511" t="s">
        <v>347</v>
      </c>
      <c r="C93" s="136">
        <f>SUMIF('Che-Store'!A:A,Used_before_Trf!A93,'Che-Store'!AC:AC)+SUMIF('Che-Comp'!A:A,Used_before_Trf!A93,'Che-Comp'!AC:AC)</f>
        <v>1781.29</v>
      </c>
      <c r="D93" s="137">
        <f t="shared" si="41"/>
        <v>28.016027710254928</v>
      </c>
      <c r="E93" s="138">
        <f>SUMIF('Che-Store'!A:A,Used_before_Trf!A93,'Che-Store'!AE:AE)+SUMIF('Che-Comp'!A:A,Used_before_Trf!A93,'Che-Comp'!AE:AE)</f>
        <v>49904.67</v>
      </c>
      <c r="F93" s="136">
        <f>SUMIFS('Che-Comp'!F:F,'Che-Comp'!$A:$A,Used_before_Trf!$A93)</f>
        <v>0</v>
      </c>
      <c r="G93" s="138">
        <f>SUMIFS('Che-Comp'!G:G,'Che-Comp'!$A:$A,Used_before_Trf!$A93)</f>
        <v>0</v>
      </c>
      <c r="H93" s="137">
        <f t="shared" si="42"/>
        <v>1781.29</v>
      </c>
      <c r="I93" s="137">
        <f t="shared" si="43"/>
        <v>28.016027710254928</v>
      </c>
      <c r="J93" s="137">
        <f t="shared" si="44"/>
        <v>49904.67</v>
      </c>
      <c r="K93" s="158">
        <f>SUMIF('Che.-Prod'!A:A,Used_before_Trf!A93,'Che.-Prod'!D:D)</f>
        <v>0</v>
      </c>
      <c r="L93" s="137">
        <f t="shared" si="45"/>
        <v>0</v>
      </c>
      <c r="M93" s="159">
        <f>SUMIF('Che.-Prod'!A:A,Used_before_Trf!A93,'Che.-Prod'!F:F)</f>
        <v>0</v>
      </c>
      <c r="N93" s="160">
        <f>SUMIF('Che.-Prod'!A:A,Used_before_Trf!A93,'Che.-Prod'!G:G)</f>
        <v>0</v>
      </c>
      <c r="O93" s="161">
        <f t="shared" si="46"/>
        <v>0</v>
      </c>
      <c r="P93" s="162">
        <f>SUMIF('Che.-Prod'!A:A,Used_before_Trf!A93,'Che.-Prod'!H:H)</f>
        <v>0</v>
      </c>
      <c r="Q93" s="160">
        <f>SUMIF('Che.-Prod'!A:A,Used_before_Trf!A93,'Che.-Prod'!P:P)</f>
        <v>0</v>
      </c>
      <c r="R93" s="161">
        <f t="shared" si="47"/>
        <v>0</v>
      </c>
      <c r="S93" s="159">
        <f>SUMIF('Che.-Prod'!A:A,Used_before_Trf!A93,'Che.-Prod'!R:R)</f>
        <v>0</v>
      </c>
      <c r="T93" s="169">
        <f t="shared" si="48"/>
        <v>1781.29</v>
      </c>
      <c r="U93" s="507">
        <f t="shared" si="49"/>
        <v>28.016027710254928</v>
      </c>
      <c r="V93" s="170">
        <f t="shared" si="50"/>
        <v>49904.67</v>
      </c>
      <c r="W93" s="158">
        <f>SUMIF('CHE-last month'!$A:$A,Used_before_Trf!A93,'CHE-last month'!C:C)</f>
        <v>199.90175096635912</v>
      </c>
      <c r="X93" s="520">
        <f t="shared" si="51"/>
        <v>20.192619526775925</v>
      </c>
      <c r="Y93" s="162">
        <f>SUMIF('CHE-last month'!$A:$A,Used_before_Trf!A93,'CHE-last month'!E:E)</f>
        <v>4036.5400000000009</v>
      </c>
      <c r="Z93" s="159">
        <f t="shared" si="52"/>
        <v>321.75253291815829</v>
      </c>
      <c r="AA93" s="520">
        <f t="shared" si="53"/>
        <v>28.01597214556466</v>
      </c>
      <c r="AB93" s="159">
        <f t="shared" si="54"/>
        <v>9014.2099999999991</v>
      </c>
      <c r="AC93" s="160">
        <f>SUMIFS(BalCom!M:M,BalCom!N:N,Used_before_Trf!A93,BalCom!C:C,Used_before_Trf!$AC$1)</f>
        <v>266.70991106879228</v>
      </c>
      <c r="AD93" s="171">
        <f t="shared" si="55"/>
        <v>28.015981746072853</v>
      </c>
      <c r="AE93" s="159">
        <f>SUMIFS(BalCom!P:P,BalCom!N:N,Used_before_Trf!A93,BalCom!C:C,Used_before_Trf!$AC$1)</f>
        <v>7472.1399999999985</v>
      </c>
      <c r="AF93" s="160">
        <f>SUMIFS(BalDis!I:I,BalDis!J:J,Used_before_Trf!A93)</f>
        <v>0</v>
      </c>
      <c r="AG93" s="171">
        <f t="shared" si="56"/>
        <v>0</v>
      </c>
      <c r="AH93" s="162">
        <f>SUMIFS(BalDis!L:L,BalDis!J:J,Used_before_Trf!A93)</f>
        <v>0</v>
      </c>
      <c r="AI93" s="159">
        <f>SUMIFS(BalDip!$N$49:$N$75,BalDip!$C$49:$C$75,Used_before_Trf!A93)+SUMIFS(BalDip!$N$134:$N$157,BalDip!$C$134:$C$157,Used_before_Trf!A93)</f>
        <v>55.042621849366</v>
      </c>
      <c r="AJ93" s="171">
        <f t="shared" si="57"/>
        <v>28.015925626147517</v>
      </c>
      <c r="AK93" s="177">
        <f>SUMIFS(BalDip!$N$80:$N$106,BalDip!$C$80:$C$106,Used_before_Trf!A93)+SUMIFS(BalDip!$N$161:$N$184,BalDip!$C$161:$C$184,Used_before_Trf!A93)</f>
        <v>1542.0700000000002</v>
      </c>
      <c r="AL93" s="178">
        <f t="shared" si="58"/>
        <v>1659.4392180482007</v>
      </c>
      <c r="AM93" s="179">
        <f t="shared" si="59"/>
        <v>27.073603848438776</v>
      </c>
      <c r="AN93" s="440">
        <f t="shared" si="60"/>
        <v>44927</v>
      </c>
      <c r="AO93" s="180">
        <f t="shared" si="62"/>
        <v>-0.94242386181615245</v>
      </c>
    </row>
    <row r="94" spans="1:41" s="108" customFormat="1" ht="15" customHeight="1">
      <c r="A94" s="135" t="s">
        <v>348</v>
      </c>
      <c r="B94" s="511" t="s">
        <v>349</v>
      </c>
      <c r="C94" s="136">
        <f>SUMIF('Che-Store'!A:A,Used_before_Trf!A94,'Che-Store'!AC:AC)+SUMIF('Che-Comp'!A:A,Used_before_Trf!A94,'Che-Comp'!AC:AC)</f>
        <v>2259</v>
      </c>
      <c r="D94" s="137">
        <f t="shared" si="41"/>
        <v>69.839849490925189</v>
      </c>
      <c r="E94" s="138">
        <f>SUMIF('Che-Store'!A:A,Used_before_Trf!A94,'Che-Store'!AE:AE)+SUMIF('Che-Comp'!A:A,Used_before_Trf!A94,'Che-Comp'!AE:AE)</f>
        <v>157768.22</v>
      </c>
      <c r="F94" s="136">
        <f>SUMIFS('Che-Comp'!F:F,'Che-Comp'!$A:$A,Used_before_Trf!$A94)</f>
        <v>0</v>
      </c>
      <c r="G94" s="138">
        <f>SUMIFS('Che-Comp'!G:G,'Che-Comp'!$A:$A,Used_before_Trf!$A94)</f>
        <v>0</v>
      </c>
      <c r="H94" s="137">
        <f t="shared" si="42"/>
        <v>2259</v>
      </c>
      <c r="I94" s="137">
        <f t="shared" si="43"/>
        <v>69.839849490925189</v>
      </c>
      <c r="J94" s="137">
        <f t="shared" si="44"/>
        <v>157768.22</v>
      </c>
      <c r="K94" s="158">
        <f>SUMIF('Che.-Prod'!A:A,Used_before_Trf!A94,'Che.-Prod'!D:D)</f>
        <v>0</v>
      </c>
      <c r="L94" s="137">
        <f t="shared" si="45"/>
        <v>0</v>
      </c>
      <c r="M94" s="159">
        <f>SUMIF('Che.-Prod'!A:A,Used_before_Trf!A94,'Che.-Prod'!F:F)</f>
        <v>0</v>
      </c>
      <c r="N94" s="160">
        <f>SUMIF('Che.-Prod'!A:A,Used_before_Trf!A94,'Che.-Prod'!G:G)</f>
        <v>0</v>
      </c>
      <c r="O94" s="161">
        <f t="shared" si="46"/>
        <v>0</v>
      </c>
      <c r="P94" s="162">
        <f>SUMIF('Che.-Prod'!A:A,Used_before_Trf!A94,'Che.-Prod'!H:H)</f>
        <v>0</v>
      </c>
      <c r="Q94" s="160">
        <f>SUMIF('Che.-Prod'!A:A,Used_before_Trf!A94,'Che.-Prod'!P:P)</f>
        <v>0</v>
      </c>
      <c r="R94" s="161">
        <f t="shared" si="47"/>
        <v>0</v>
      </c>
      <c r="S94" s="159">
        <f>SUMIF('Che.-Prod'!A:A,Used_before_Trf!A94,'Che.-Prod'!R:R)</f>
        <v>0</v>
      </c>
      <c r="T94" s="169">
        <f t="shared" si="48"/>
        <v>2259</v>
      </c>
      <c r="U94" s="507">
        <f t="shared" si="49"/>
        <v>69.839849490925189</v>
      </c>
      <c r="V94" s="170">
        <f t="shared" si="50"/>
        <v>157768.22</v>
      </c>
      <c r="W94" s="158">
        <f>SUMIF('CHE-last month'!$A:$A,Used_before_Trf!A94,'CHE-last month'!C:C)</f>
        <v>324.70813995446849</v>
      </c>
      <c r="X94" s="520">
        <f t="shared" si="51"/>
        <v>68.32609740892542</v>
      </c>
      <c r="Y94" s="162">
        <f>SUMIF('CHE-last month'!$A:$A,Used_before_Trf!A94,'CHE-last month'!E:E)</f>
        <v>22186.04</v>
      </c>
      <c r="Z94" s="159">
        <f t="shared" si="52"/>
        <v>291.09111241599868</v>
      </c>
      <c r="AA94" s="520">
        <f t="shared" si="53"/>
        <v>69.839851279783204</v>
      </c>
      <c r="AB94" s="159">
        <f t="shared" si="54"/>
        <v>20329.760000000002</v>
      </c>
      <c r="AC94" s="160">
        <f>SUMIFS(BalCom!M:M,BalCom!N:N,Used_before_Trf!A94,BalCom!C:C,Used_before_Trf!$AC$1)</f>
        <v>252.75869676721996</v>
      </c>
      <c r="AD94" s="171">
        <f t="shared" si="55"/>
        <v>69.839852103120009</v>
      </c>
      <c r="AE94" s="159">
        <f>SUMIFS(BalCom!P:P,BalCom!N:N,Used_before_Trf!A94,BalCom!C:C,Used_before_Trf!$AC$1)</f>
        <v>17652.63</v>
      </c>
      <c r="AF94" s="160">
        <f>SUMIFS(BalDis!I:I,BalDis!J:J,Used_before_Trf!A94)</f>
        <v>0</v>
      </c>
      <c r="AG94" s="171">
        <f t="shared" si="56"/>
        <v>0</v>
      </c>
      <c r="AH94" s="162">
        <f>SUMIFS(BalDis!L:L,BalDis!J:J,Used_before_Trf!A94)</f>
        <v>0</v>
      </c>
      <c r="AI94" s="159">
        <f>SUMIFS(BalDip!$N$49:$N$75,BalDip!$C$49:$C$75,Used_before_Trf!A94)+SUMIFS(BalDip!$N$134:$N$157,BalDip!$C$134:$C$157,Used_before_Trf!A94)</f>
        <v>38.332415648778706</v>
      </c>
      <c r="AJ94" s="171">
        <f t="shared" si="57"/>
        <v>69.839845850813091</v>
      </c>
      <c r="AK94" s="177">
        <f>SUMIFS(BalDip!$N$80:$N$106,BalDip!$C$80:$C$106,Used_before_Trf!A94)+SUMIFS(BalDip!$N$161:$N$184,BalDip!$C$161:$C$184,Used_before_Trf!A94)</f>
        <v>2677.13</v>
      </c>
      <c r="AL94" s="178">
        <f t="shared" si="58"/>
        <v>2292.6170275384698</v>
      </c>
      <c r="AM94" s="179">
        <f t="shared" si="59"/>
        <v>69.625453393489437</v>
      </c>
      <c r="AN94" s="440">
        <f t="shared" si="60"/>
        <v>159624.5</v>
      </c>
      <c r="AO94" s="180">
        <f t="shared" si="62"/>
        <v>-0.21439609743575261</v>
      </c>
    </row>
    <row r="95" spans="1:41" s="108" customFormat="1" ht="15" customHeight="1">
      <c r="A95" s="135" t="s">
        <v>350</v>
      </c>
      <c r="B95" s="511" t="s">
        <v>351</v>
      </c>
      <c r="C95" s="136">
        <f>SUMIF('Che-Store'!A:A,Used_before_Trf!A95,'Che-Store'!AC:AC)+SUMIF('Che-Comp'!A:A,Used_before_Trf!A95,'Che-Comp'!AC:AC)</f>
        <v>720.84</v>
      </c>
      <c r="D95" s="137">
        <f t="shared" si="41"/>
        <v>52.941651406692188</v>
      </c>
      <c r="E95" s="138">
        <f>SUMIF('Che-Store'!A:A,Used_before_Trf!A95,'Che-Store'!AE:AE)+SUMIF('Che-Comp'!A:A,Used_before_Trf!A95,'Che-Comp'!AE:AE)</f>
        <v>38162.46</v>
      </c>
      <c r="F95" s="136">
        <f>SUMIFS('Che-Comp'!F:F,'Che-Comp'!$A:$A,Used_before_Trf!$A95)</f>
        <v>0</v>
      </c>
      <c r="G95" s="138">
        <f>SUMIFS('Che-Comp'!G:G,'Che-Comp'!$A:$A,Used_before_Trf!$A95)</f>
        <v>0</v>
      </c>
      <c r="H95" s="137">
        <f t="shared" si="42"/>
        <v>720.84</v>
      </c>
      <c r="I95" s="137">
        <f t="shared" si="43"/>
        <v>52.941651406692188</v>
      </c>
      <c r="J95" s="137">
        <f t="shared" si="44"/>
        <v>38162.46</v>
      </c>
      <c r="K95" s="158">
        <f>SUMIF('Che.-Prod'!A:A,Used_before_Trf!A95,'Che.-Prod'!D:D)</f>
        <v>0</v>
      </c>
      <c r="L95" s="137">
        <f t="shared" si="45"/>
        <v>0</v>
      </c>
      <c r="M95" s="159">
        <f>SUMIF('Che.-Prod'!A:A,Used_before_Trf!A95,'Che.-Prod'!F:F)</f>
        <v>0</v>
      </c>
      <c r="N95" s="160">
        <f>SUMIF('Che.-Prod'!A:A,Used_before_Trf!A95,'Che.-Prod'!G:G)</f>
        <v>0</v>
      </c>
      <c r="O95" s="161">
        <f t="shared" si="46"/>
        <v>0</v>
      </c>
      <c r="P95" s="162">
        <f>SUMIF('Che.-Prod'!A:A,Used_before_Trf!A95,'Che.-Prod'!H:H)</f>
        <v>0</v>
      </c>
      <c r="Q95" s="160">
        <f>SUMIF('Che.-Prod'!A:A,Used_before_Trf!A95,'Che.-Prod'!P:P)</f>
        <v>0</v>
      </c>
      <c r="R95" s="161">
        <f t="shared" si="47"/>
        <v>0</v>
      </c>
      <c r="S95" s="159">
        <f>SUMIF('Che.-Prod'!A:A,Used_before_Trf!A95,'Che.-Prod'!R:R)</f>
        <v>0</v>
      </c>
      <c r="T95" s="169">
        <f t="shared" si="48"/>
        <v>720.84</v>
      </c>
      <c r="U95" s="507">
        <f t="shared" si="49"/>
        <v>52.941651406692188</v>
      </c>
      <c r="V95" s="170">
        <f t="shared" si="50"/>
        <v>38162.46</v>
      </c>
      <c r="W95" s="158">
        <f>SUMIF('CHE-last month'!$A:$A,Used_before_Trf!A95,'CHE-last month'!C:C)</f>
        <v>415.24741532256348</v>
      </c>
      <c r="X95" s="520">
        <f t="shared" si="51"/>
        <v>53.191348542994334</v>
      </c>
      <c r="Y95" s="162">
        <f>SUMIF('CHE-last month'!$A:$A,Used_before_Trf!A95,'CHE-last month'!E:E)</f>
        <v>22087.57</v>
      </c>
      <c r="Z95" s="159">
        <f t="shared" si="52"/>
        <v>136.93901192533281</v>
      </c>
      <c r="AA95" s="520">
        <f t="shared" si="53"/>
        <v>52.941524099450895</v>
      </c>
      <c r="AB95" s="159">
        <f t="shared" si="54"/>
        <v>7249.76</v>
      </c>
      <c r="AC95" s="160">
        <f>SUMIFS(BalCom!M:M,BalCom!N:N,Used_before_Trf!A95,BalCom!C:C,Used_before_Trf!$AC$1)</f>
        <v>136.93901192533281</v>
      </c>
      <c r="AD95" s="171">
        <f t="shared" si="55"/>
        <v>52.941524099450895</v>
      </c>
      <c r="AE95" s="159">
        <f>SUMIFS(BalCom!P:P,BalCom!N:N,Used_before_Trf!A95,BalCom!C:C,Used_before_Trf!$AC$1)</f>
        <v>7249.76</v>
      </c>
      <c r="AF95" s="160">
        <f>SUMIFS(BalDis!I:I,BalDis!J:J,Used_before_Trf!A95)</f>
        <v>0</v>
      </c>
      <c r="AG95" s="171">
        <f t="shared" si="56"/>
        <v>0</v>
      </c>
      <c r="AH95" s="162">
        <f>SUMIFS(BalDis!L:L,BalDis!J:J,Used_before_Trf!A95)</f>
        <v>0</v>
      </c>
      <c r="AI95" s="159">
        <f>SUMIFS(BalDip!$N$49:$N$75,BalDip!$C$49:$C$75,Used_before_Trf!A95)+SUMIFS(BalDip!$N$134:$N$157,BalDip!$C$134:$C$157,Used_before_Trf!A95)</f>
        <v>0</v>
      </c>
      <c r="AJ95" s="171">
        <f t="shared" si="57"/>
        <v>0</v>
      </c>
      <c r="AK95" s="177">
        <f>SUMIFS(BalDip!$N$80:$N$106,BalDip!$C$80:$C$106,Used_before_Trf!A95)+SUMIFS(BalDip!$N$161:$N$184,BalDip!$C$161:$C$184,Used_before_Trf!A95)</f>
        <v>0</v>
      </c>
      <c r="AL95" s="178">
        <f t="shared" si="58"/>
        <v>999.14840339723082</v>
      </c>
      <c r="AM95" s="179">
        <f t="shared" si="59"/>
        <v>53.04544331932312</v>
      </c>
      <c r="AN95" s="440">
        <f t="shared" si="60"/>
        <v>53000.27</v>
      </c>
      <c r="AO95" s="180">
        <f t="shared" si="62"/>
        <v>0.1037919126309319</v>
      </c>
    </row>
    <row r="96" spans="1:41" s="108" customFormat="1" ht="15" customHeight="1">
      <c r="A96" s="135" t="s">
        <v>352</v>
      </c>
      <c r="B96" s="511" t="s">
        <v>353</v>
      </c>
      <c r="C96" s="136">
        <f>SUMIF('Che-Store'!A:A,Used_before_Trf!A96,'Che-Store'!AC:AC)+SUMIF('Che-Comp'!A:A,Used_before_Trf!A96,'Che-Comp'!AC:AC)</f>
        <v>0</v>
      </c>
      <c r="D96" s="137">
        <f t="shared" si="41"/>
        <v>0</v>
      </c>
      <c r="E96" s="138">
        <f>SUMIF('Che-Store'!A:A,Used_before_Trf!A96,'Che-Store'!AE:AE)+SUMIF('Che-Comp'!A:A,Used_before_Trf!A96,'Che-Comp'!AE:AE)</f>
        <v>0</v>
      </c>
      <c r="F96" s="136">
        <f>SUMIFS('Che-Comp'!F:F,'Che-Comp'!$A:$A,Used_before_Trf!$A96)</f>
        <v>0</v>
      </c>
      <c r="G96" s="138">
        <f>SUMIFS('Che-Comp'!G:G,'Che-Comp'!$A:$A,Used_before_Trf!$A96)</f>
        <v>0</v>
      </c>
      <c r="H96" s="137">
        <f t="shared" si="42"/>
        <v>0</v>
      </c>
      <c r="I96" s="137">
        <f t="shared" si="43"/>
        <v>0</v>
      </c>
      <c r="J96" s="137">
        <f t="shared" si="44"/>
        <v>0</v>
      </c>
      <c r="K96" s="158">
        <f>SUMIF('Che.-Prod'!A:A,Used_before_Trf!A96,'Che.-Prod'!D:D)</f>
        <v>0</v>
      </c>
      <c r="L96" s="137">
        <f t="shared" si="45"/>
        <v>0</v>
      </c>
      <c r="M96" s="159">
        <f>SUMIF('Che.-Prod'!A:A,Used_before_Trf!A96,'Che.-Prod'!F:F)</f>
        <v>0</v>
      </c>
      <c r="N96" s="160">
        <f>SUMIF('Che.-Prod'!A:A,Used_before_Trf!A96,'Che.-Prod'!G:G)</f>
        <v>0</v>
      </c>
      <c r="O96" s="161">
        <f t="shared" si="46"/>
        <v>0</v>
      </c>
      <c r="P96" s="162">
        <f>SUMIF('Che.-Prod'!A:A,Used_before_Trf!A96,'Che.-Prod'!H:H)</f>
        <v>0</v>
      </c>
      <c r="Q96" s="160">
        <f>SUMIF('Che.-Prod'!A:A,Used_before_Trf!A96,'Che.-Prod'!P:P)</f>
        <v>0</v>
      </c>
      <c r="R96" s="161">
        <f t="shared" si="47"/>
        <v>0</v>
      </c>
      <c r="S96" s="159">
        <f>SUMIF('Che.-Prod'!A:A,Used_before_Trf!A96,'Che.-Prod'!R:R)</f>
        <v>0</v>
      </c>
      <c r="T96" s="169">
        <f t="shared" si="48"/>
        <v>0</v>
      </c>
      <c r="U96" s="507">
        <f t="shared" si="49"/>
        <v>0</v>
      </c>
      <c r="V96" s="170">
        <f t="shared" si="50"/>
        <v>0</v>
      </c>
      <c r="W96" s="158">
        <f>SUMIF('CHE-last month'!$A:$A,Used_before_Trf!A96,'CHE-last month'!C:C)</f>
        <v>0</v>
      </c>
      <c r="X96" s="520">
        <f t="shared" si="51"/>
        <v>0</v>
      </c>
      <c r="Y96" s="162">
        <f>SUMIF('CHE-last month'!$A:$A,Used_before_Trf!A96,'CHE-last month'!E:E)</f>
        <v>0</v>
      </c>
      <c r="Z96" s="159">
        <f t="shared" si="52"/>
        <v>0</v>
      </c>
      <c r="AA96" s="520">
        <f t="shared" si="53"/>
        <v>0</v>
      </c>
      <c r="AB96" s="159">
        <f t="shared" si="54"/>
        <v>0</v>
      </c>
      <c r="AC96" s="160">
        <f>SUMIFS(BalCom!M:M,BalCom!N:N,Used_before_Trf!A96,BalCom!C:C,Used_before_Trf!$AC$1)</f>
        <v>0</v>
      </c>
      <c r="AD96" s="171">
        <f t="shared" si="55"/>
        <v>0</v>
      </c>
      <c r="AE96" s="159">
        <f>SUMIFS(BalCom!P:P,BalCom!N:N,Used_before_Trf!A96,BalCom!C:C,Used_before_Trf!$AC$1)</f>
        <v>0</v>
      </c>
      <c r="AF96" s="160">
        <f>SUMIFS(BalDis!I:I,BalDis!J:J,Used_before_Trf!A96)</f>
        <v>0</v>
      </c>
      <c r="AG96" s="171">
        <f t="shared" si="56"/>
        <v>0</v>
      </c>
      <c r="AH96" s="162">
        <f>SUMIFS(BalDis!L:L,BalDis!J:J,Used_before_Trf!A96)</f>
        <v>0</v>
      </c>
      <c r="AI96" s="159">
        <f>SUMIFS(BalDip!$N$49:$N$75,BalDip!$C$49:$C$75,Used_before_Trf!A96)+SUMIFS(BalDip!$N$134:$N$157,BalDip!$C$134:$C$157,Used_before_Trf!A96)</f>
        <v>0</v>
      </c>
      <c r="AJ96" s="171">
        <f t="shared" si="57"/>
        <v>0</v>
      </c>
      <c r="AK96" s="177">
        <f>SUMIFS(BalDip!$N$80:$N$106,BalDip!$C$80:$C$106,Used_before_Trf!A96)+SUMIFS(BalDip!$N$161:$N$184,BalDip!$C$161:$C$184,Used_before_Trf!A96)</f>
        <v>0</v>
      </c>
      <c r="AL96" s="178">
        <f t="shared" si="58"/>
        <v>0</v>
      </c>
      <c r="AM96" s="179">
        <f t="shared" si="59"/>
        <v>0</v>
      </c>
      <c r="AN96" s="440">
        <f t="shared" si="60"/>
        <v>0</v>
      </c>
      <c r="AO96" s="180">
        <f t="shared" si="62"/>
        <v>0</v>
      </c>
    </row>
    <row r="97" spans="1:41" s="108" customFormat="1" ht="15" customHeight="1">
      <c r="A97" s="135" t="s">
        <v>354</v>
      </c>
      <c r="B97" s="511" t="s">
        <v>355</v>
      </c>
      <c r="C97" s="136">
        <f>SUMIF('Che-Store'!A:A,Used_before_Trf!A97,'Che-Store'!AC:AC)+SUMIF('Che-Comp'!A:A,Used_before_Trf!A97,'Che-Comp'!AC:AC)</f>
        <v>0</v>
      </c>
      <c r="D97" s="137">
        <f t="shared" si="41"/>
        <v>0</v>
      </c>
      <c r="E97" s="138">
        <f>SUMIF('Che-Store'!A:A,Used_before_Trf!A97,'Che-Store'!AE:AE)+SUMIF('Che-Comp'!A:A,Used_before_Trf!A97,'Che-Comp'!AE:AE)</f>
        <v>0</v>
      </c>
      <c r="F97" s="136">
        <f>SUMIFS('Che-Comp'!F:F,'Che-Comp'!$A:$A,Used_before_Trf!$A97)</f>
        <v>0</v>
      </c>
      <c r="G97" s="138">
        <f>SUMIFS('Che-Comp'!G:G,'Che-Comp'!$A:$A,Used_before_Trf!$A97)</f>
        <v>0</v>
      </c>
      <c r="H97" s="137">
        <f t="shared" si="42"/>
        <v>0</v>
      </c>
      <c r="I97" s="137">
        <f t="shared" si="43"/>
        <v>0</v>
      </c>
      <c r="J97" s="137">
        <f t="shared" si="44"/>
        <v>0</v>
      </c>
      <c r="K97" s="158">
        <f>SUMIF('Che.-Prod'!A:A,Used_before_Trf!A97,'Che.-Prod'!D:D)</f>
        <v>0</v>
      </c>
      <c r="L97" s="137">
        <f t="shared" si="45"/>
        <v>0</v>
      </c>
      <c r="M97" s="159">
        <f>SUMIF('Che.-Prod'!A:A,Used_before_Trf!A97,'Che.-Prod'!F:F)</f>
        <v>0</v>
      </c>
      <c r="N97" s="160">
        <f>SUMIF('Che.-Prod'!A:A,Used_before_Trf!A97,'Che.-Prod'!G:G)</f>
        <v>0</v>
      </c>
      <c r="O97" s="161">
        <f t="shared" si="46"/>
        <v>0</v>
      </c>
      <c r="P97" s="162">
        <f>SUMIF('Che.-Prod'!A:A,Used_before_Trf!A97,'Che.-Prod'!H:H)</f>
        <v>0</v>
      </c>
      <c r="Q97" s="160">
        <f>SUMIF('Che.-Prod'!A:A,Used_before_Trf!A97,'Che.-Prod'!P:P)</f>
        <v>0</v>
      </c>
      <c r="R97" s="161">
        <f t="shared" si="47"/>
        <v>0</v>
      </c>
      <c r="S97" s="159">
        <f>SUMIF('Che.-Prod'!A:A,Used_before_Trf!A97,'Che.-Prod'!R:R)</f>
        <v>0</v>
      </c>
      <c r="T97" s="169">
        <f t="shared" si="48"/>
        <v>0</v>
      </c>
      <c r="U97" s="507">
        <v>871.79</v>
      </c>
      <c r="V97" s="170">
        <f t="shared" si="50"/>
        <v>0</v>
      </c>
      <c r="W97" s="158">
        <f>SUMIF('CHE-last month'!$A:$A,Used_before_Trf!A97,'CHE-last month'!C:C)</f>
        <v>0.94129176395191205</v>
      </c>
      <c r="X97" s="520">
        <f t="shared" si="51"/>
        <v>871.79133126030695</v>
      </c>
      <c r="Y97" s="162">
        <f>SUMIF('CHE-last month'!$A:$A,Used_before_Trf!A97,'CHE-last month'!E:E)</f>
        <v>820.61</v>
      </c>
      <c r="Z97" s="159">
        <f t="shared" si="52"/>
        <v>2.5161230419819809</v>
      </c>
      <c r="AA97" s="520">
        <f t="shared" si="53"/>
        <v>871.78963961640352</v>
      </c>
      <c r="AB97" s="159">
        <f t="shared" si="54"/>
        <v>2193.5300000000002</v>
      </c>
      <c r="AC97" s="160">
        <f>SUMIFS(BalCom!M:M,BalCom!N:N,Used_before_Trf!A97,BalCom!C:C,Used_before_Trf!$AC$1)</f>
        <v>2.5161230419819809</v>
      </c>
      <c r="AD97" s="171">
        <f t="shared" si="55"/>
        <v>871.78963961640352</v>
      </c>
      <c r="AE97" s="159">
        <f>SUMIFS(BalCom!P:P,BalCom!N:N,Used_before_Trf!A97,BalCom!C:C,Used_before_Trf!$AC$1)</f>
        <v>2193.5300000000002</v>
      </c>
      <c r="AF97" s="160">
        <f>SUMIFS(BalDis!I:I,BalDis!J:J,Used_before_Trf!A97)</f>
        <v>0</v>
      </c>
      <c r="AG97" s="171">
        <f t="shared" si="56"/>
        <v>0</v>
      </c>
      <c r="AH97" s="162">
        <f>SUMIFS(BalDis!L:L,BalDis!J:J,Used_before_Trf!A97)</f>
        <v>0</v>
      </c>
      <c r="AI97" s="159">
        <f>SUMIFS(BalDip!$N$49:$N$75,BalDip!$C$49:$C$75,Used_before_Trf!A97)+SUMIFS(BalDip!$N$134:$N$157,BalDip!$C$134:$C$157,Used_before_Trf!A97)</f>
        <v>0</v>
      </c>
      <c r="AJ97" s="171">
        <f t="shared" si="57"/>
        <v>0</v>
      </c>
      <c r="AK97" s="177">
        <f>SUMIFS(BalDip!$N$80:$N$106,BalDip!$C$80:$C$106,Used_before_Trf!A97)+SUMIFS(BalDip!$N$161:$N$184,BalDip!$C$161:$C$184,Used_before_Trf!A97)</f>
        <v>0</v>
      </c>
      <c r="AL97" s="178">
        <f t="shared" si="58"/>
        <v>-1.5748312780300688</v>
      </c>
      <c r="AM97" s="179">
        <f t="shared" si="59"/>
        <v>871.78862850461269</v>
      </c>
      <c r="AN97" s="440">
        <f t="shared" si="60"/>
        <v>-1372.92</v>
      </c>
      <c r="AO97" s="180">
        <f t="shared" si="62"/>
        <v>-1.3714953872749902E-3</v>
      </c>
    </row>
    <row r="98" spans="1:41" s="109" customFormat="1" ht="15" customHeight="1">
      <c r="A98" s="135" t="s">
        <v>356</v>
      </c>
      <c r="B98" s="573" t="s">
        <v>357</v>
      </c>
      <c r="C98" s="136">
        <f>SUMIF('Che-Store'!A:A,Used_before_Trf!A98,'Che-Store'!AC:AC)+SUMIF('Che-Comp'!A:A,Used_before_Trf!A98,'Che-Comp'!AC:AC)</f>
        <v>0</v>
      </c>
      <c r="D98" s="137">
        <f t="shared" si="41"/>
        <v>0</v>
      </c>
      <c r="E98" s="138">
        <f>SUMIF('Che-Store'!A:A,Used_before_Trf!A98,'Che-Store'!AE:AE)+SUMIF('Che-Comp'!A:A,Used_before_Trf!A98,'Che-Comp'!AE:AE)</f>
        <v>0</v>
      </c>
      <c r="F98" s="136">
        <f>SUMIFS('Che-Comp'!F:F,'Che-Comp'!$A:$A,Used_before_Trf!$A98)</f>
        <v>0</v>
      </c>
      <c r="G98" s="138">
        <f>SUMIFS('Che-Comp'!G:G,'Che-Comp'!$A:$A,Used_before_Trf!$A98)</f>
        <v>0</v>
      </c>
      <c r="H98" s="137">
        <f t="shared" si="42"/>
        <v>0</v>
      </c>
      <c r="I98" s="137">
        <f t="shared" si="43"/>
        <v>0</v>
      </c>
      <c r="J98" s="137">
        <f t="shared" si="44"/>
        <v>0</v>
      </c>
      <c r="K98" s="158">
        <f>SUMIF('Che.-Prod'!A:A,Used_before_Trf!A98,'Che.-Prod'!D:D)</f>
        <v>0</v>
      </c>
      <c r="L98" s="137">
        <f t="shared" si="45"/>
        <v>0</v>
      </c>
      <c r="M98" s="159">
        <f>SUMIF('Che.-Prod'!A:A,Used_before_Trf!A98,'Che.-Prod'!F:F)</f>
        <v>0</v>
      </c>
      <c r="N98" s="160">
        <f>SUMIF('Che.-Prod'!A:A,Used_before_Trf!A98,'Che.-Prod'!G:G)</f>
        <v>0</v>
      </c>
      <c r="O98" s="161">
        <f t="shared" si="46"/>
        <v>0</v>
      </c>
      <c r="P98" s="162">
        <f>SUMIF('Che.-Prod'!A:A,Used_before_Trf!A98,'Che.-Prod'!H:H)</f>
        <v>0</v>
      </c>
      <c r="Q98" s="160">
        <f>SUMIF('Che.-Prod'!A:A,Used_before_Trf!A98,'Che.-Prod'!P:P)</f>
        <v>0</v>
      </c>
      <c r="R98" s="161">
        <f t="shared" si="47"/>
        <v>0</v>
      </c>
      <c r="S98" s="159">
        <f>SUMIF('Che.-Prod'!A:A,Used_before_Trf!A98,'Che.-Prod'!R:R)</f>
        <v>0</v>
      </c>
      <c r="T98" s="169">
        <f t="shared" si="48"/>
        <v>0</v>
      </c>
      <c r="U98" s="507">
        <f t="shared" si="49"/>
        <v>0</v>
      </c>
      <c r="V98" s="170">
        <f t="shared" si="50"/>
        <v>0</v>
      </c>
      <c r="W98" s="158">
        <f>SUMIF('CHE-last month'!$A:$A,Used_before_Trf!A98,'CHE-last month'!C:C)</f>
        <v>0</v>
      </c>
      <c r="X98" s="520">
        <f t="shared" si="51"/>
        <v>0</v>
      </c>
      <c r="Y98" s="162">
        <f>SUMIF('CHE-last month'!$A:$A,Used_before_Trf!A98,'CHE-last month'!E:E)</f>
        <v>0</v>
      </c>
      <c r="Z98" s="159">
        <f t="shared" si="52"/>
        <v>0</v>
      </c>
      <c r="AA98" s="520">
        <f t="shared" si="53"/>
        <v>0</v>
      </c>
      <c r="AB98" s="159">
        <f t="shared" si="54"/>
        <v>0</v>
      </c>
      <c r="AC98" s="160">
        <f>SUMIFS(BalCom!M:M,BalCom!N:N,Used_before_Trf!A98,BalCom!C:C,Used_before_Trf!$AC$1)</f>
        <v>0</v>
      </c>
      <c r="AD98" s="171">
        <f t="shared" si="55"/>
        <v>0</v>
      </c>
      <c r="AE98" s="159">
        <f>SUMIFS(BalCom!P:P,BalCom!N:N,Used_before_Trf!A98,BalCom!C:C,Used_before_Trf!$AC$1)</f>
        <v>0</v>
      </c>
      <c r="AF98" s="160">
        <f>SUMIFS(BalDis!I:I,BalDis!J:J,Used_before_Trf!A98)</f>
        <v>0</v>
      </c>
      <c r="AG98" s="171">
        <f t="shared" si="56"/>
        <v>0</v>
      </c>
      <c r="AH98" s="162">
        <f>SUMIFS(BalDis!L:L,BalDis!J:J,Used_before_Trf!A98)</f>
        <v>0</v>
      </c>
      <c r="AI98" s="159">
        <f>SUMIFS(BalDip!$N$49:$N$75,BalDip!$C$49:$C$75,Used_before_Trf!A98)+SUMIFS(BalDip!$N$134:$N$157,BalDip!$C$134:$C$157,Used_before_Trf!A98)</f>
        <v>0</v>
      </c>
      <c r="AJ98" s="171">
        <f t="shared" si="57"/>
        <v>0</v>
      </c>
      <c r="AK98" s="177">
        <f>SUMIFS(BalDip!$N$80:$N$106,BalDip!$C$80:$C$106,Used_before_Trf!A98)+SUMIFS(BalDip!$N$161:$N$184,BalDip!$C$161:$C$184,Used_before_Trf!A98)</f>
        <v>0</v>
      </c>
      <c r="AL98" s="178">
        <f t="shared" si="58"/>
        <v>0</v>
      </c>
      <c r="AM98" s="179">
        <f t="shared" si="59"/>
        <v>0</v>
      </c>
      <c r="AN98" s="440">
        <f t="shared" si="60"/>
        <v>0</v>
      </c>
      <c r="AO98" s="180">
        <f t="shared" si="62"/>
        <v>0</v>
      </c>
    </row>
    <row r="99" spans="1:41" s="108" customFormat="1" ht="15" customHeight="1">
      <c r="A99" s="139" t="s">
        <v>358</v>
      </c>
      <c r="B99" s="573" t="s">
        <v>359</v>
      </c>
      <c r="C99" s="136">
        <f>SUMIF('Che-Store'!A:A,Used_before_Trf!A99,'Che-Store'!AC:AC)+SUMIF('Che-Comp'!A:A,Used_before_Trf!A99,'Che-Comp'!AC:AC)</f>
        <v>0</v>
      </c>
      <c r="D99" s="137">
        <f t="shared" si="41"/>
        <v>0</v>
      </c>
      <c r="E99" s="138">
        <f>SUMIF('Che-Store'!A:A,Used_before_Trf!A99,'Che-Store'!AE:AE)+SUMIF('Che-Comp'!A:A,Used_before_Trf!A99,'Che-Comp'!AE:AE)</f>
        <v>0</v>
      </c>
      <c r="F99" s="136">
        <f>SUMIFS('Che-Comp'!F:F,'Che-Comp'!$A:$A,Used_before_Trf!$A99)</f>
        <v>0</v>
      </c>
      <c r="G99" s="138">
        <f>SUMIFS('Che-Comp'!G:G,'Che-Comp'!$A:$A,Used_before_Trf!$A99)</f>
        <v>0</v>
      </c>
      <c r="H99" s="137">
        <f t="shared" si="42"/>
        <v>0</v>
      </c>
      <c r="I99" s="137">
        <f t="shared" si="43"/>
        <v>0</v>
      </c>
      <c r="J99" s="137">
        <f t="shared" si="44"/>
        <v>0</v>
      </c>
      <c r="K99" s="158">
        <f>SUMIF('Che.-Prod'!A:A,Used_before_Trf!A99,'Che.-Prod'!D:D)</f>
        <v>0</v>
      </c>
      <c r="L99" s="137">
        <f t="shared" si="45"/>
        <v>0</v>
      </c>
      <c r="M99" s="159">
        <f>SUMIF('Che.-Prod'!A:A,Used_before_Trf!A99,'Che.-Prod'!F:F)</f>
        <v>0</v>
      </c>
      <c r="N99" s="160">
        <f>SUMIF('Che.-Prod'!A:A,Used_before_Trf!A99,'Che.-Prod'!G:G)</f>
        <v>0</v>
      </c>
      <c r="O99" s="161">
        <f t="shared" si="46"/>
        <v>0</v>
      </c>
      <c r="P99" s="162">
        <f>SUMIF('Che.-Prod'!A:A,Used_before_Trf!A99,'Che.-Prod'!H:H)</f>
        <v>0</v>
      </c>
      <c r="Q99" s="160">
        <f>SUMIF('Che.-Prod'!A:A,Used_before_Trf!A99,'Che.-Prod'!P:P)</f>
        <v>0</v>
      </c>
      <c r="R99" s="161">
        <f t="shared" si="47"/>
        <v>0</v>
      </c>
      <c r="S99" s="159">
        <f>SUMIF('Che.-Prod'!A:A,Used_before_Trf!A99,'Che.-Prod'!R:R)</f>
        <v>0</v>
      </c>
      <c r="T99" s="169">
        <f t="shared" si="48"/>
        <v>0</v>
      </c>
      <c r="U99" s="507">
        <f t="shared" si="49"/>
        <v>0</v>
      </c>
      <c r="V99" s="170">
        <f t="shared" si="50"/>
        <v>0</v>
      </c>
      <c r="W99" s="158">
        <f>SUMIF('CHE-last month'!$A:$A,Used_before_Trf!A99,'CHE-last month'!C:C)</f>
        <v>0</v>
      </c>
      <c r="X99" s="520">
        <f t="shared" si="51"/>
        <v>0</v>
      </c>
      <c r="Y99" s="162">
        <f>SUMIF('CHE-last month'!$A:$A,Used_before_Trf!A99,'CHE-last month'!E:E)</f>
        <v>0</v>
      </c>
      <c r="Z99" s="159">
        <f t="shared" si="52"/>
        <v>0</v>
      </c>
      <c r="AA99" s="520">
        <f t="shared" si="53"/>
        <v>0</v>
      </c>
      <c r="AB99" s="159">
        <f t="shared" si="54"/>
        <v>0</v>
      </c>
      <c r="AC99" s="160">
        <f>SUMIFS(BalCom!M:M,BalCom!N:N,Used_before_Trf!A99,BalCom!C:C,Used_before_Trf!$AC$1)</f>
        <v>0</v>
      </c>
      <c r="AD99" s="171">
        <f t="shared" si="55"/>
        <v>0</v>
      </c>
      <c r="AE99" s="159">
        <f>SUMIFS(BalCom!P:P,BalCom!N:N,Used_before_Trf!A99,BalCom!C:C,Used_before_Trf!$AC$1)</f>
        <v>0</v>
      </c>
      <c r="AF99" s="160">
        <f>SUMIFS(BalDis!I:I,BalDis!J:J,Used_before_Trf!A99)</f>
        <v>0</v>
      </c>
      <c r="AG99" s="171">
        <f t="shared" si="56"/>
        <v>0</v>
      </c>
      <c r="AH99" s="162">
        <f>SUMIFS(BalDis!L:L,BalDis!J:J,Used_before_Trf!A99)</f>
        <v>0</v>
      </c>
      <c r="AI99" s="159">
        <f>SUMIFS(BalDip!$N$49:$N$75,BalDip!$C$49:$C$75,Used_before_Trf!A99)+SUMIFS(BalDip!$N$134:$N$157,BalDip!$C$134:$C$157,Used_before_Trf!A99)</f>
        <v>0</v>
      </c>
      <c r="AJ99" s="171">
        <f t="shared" si="57"/>
        <v>0</v>
      </c>
      <c r="AK99" s="177">
        <f>SUMIFS(BalDip!$N$80:$N$106,BalDip!$C$80:$C$106,Used_before_Trf!A99)+SUMIFS(BalDip!$N$161:$N$184,BalDip!$C$161:$C$184,Used_before_Trf!A99)</f>
        <v>0</v>
      </c>
      <c r="AL99" s="178">
        <f t="shared" si="58"/>
        <v>0</v>
      </c>
      <c r="AM99" s="179">
        <f t="shared" si="59"/>
        <v>0</v>
      </c>
      <c r="AN99" s="440">
        <f t="shared" si="60"/>
        <v>0</v>
      </c>
      <c r="AO99" s="180">
        <f t="shared" si="62"/>
        <v>0</v>
      </c>
    </row>
    <row r="100" spans="1:41" s="108" customFormat="1" ht="15" customHeight="1">
      <c r="A100" s="135" t="s">
        <v>360</v>
      </c>
      <c r="B100" s="573" t="s">
        <v>361</v>
      </c>
      <c r="C100" s="136">
        <f>SUMIF('Che-Store'!A:A,Used_before_Trf!A100,'Che-Store'!AC:AC)+SUMIF('Che-Comp'!A:A,Used_before_Trf!A100,'Che-Comp'!AC:AC)</f>
        <v>0</v>
      </c>
      <c r="D100" s="137">
        <f t="shared" si="41"/>
        <v>0</v>
      </c>
      <c r="E100" s="138">
        <f>SUMIF('Che-Store'!A:A,Used_before_Trf!A100,'Che-Store'!AE:AE)+SUMIF('Che-Comp'!A:A,Used_before_Trf!A100,'Che-Comp'!AE:AE)</f>
        <v>0</v>
      </c>
      <c r="F100" s="136">
        <f>SUMIFS('Che-Comp'!F:F,'Che-Comp'!$A:$A,Used_before_Trf!$A100)</f>
        <v>0</v>
      </c>
      <c r="G100" s="138">
        <f>SUMIFS('Che-Comp'!G:G,'Che-Comp'!$A:$A,Used_before_Trf!$A100)</f>
        <v>0</v>
      </c>
      <c r="H100" s="137">
        <f t="shared" si="42"/>
        <v>0</v>
      </c>
      <c r="I100" s="137">
        <f t="shared" si="43"/>
        <v>0</v>
      </c>
      <c r="J100" s="137">
        <f t="shared" si="44"/>
        <v>0</v>
      </c>
      <c r="K100" s="158">
        <f>SUMIF('Che.-Prod'!A:A,Used_before_Trf!A100,'Che.-Prod'!D:D)</f>
        <v>0</v>
      </c>
      <c r="L100" s="137">
        <f t="shared" si="45"/>
        <v>0</v>
      </c>
      <c r="M100" s="159">
        <f>SUMIF('Che.-Prod'!A:A,Used_before_Trf!A100,'Che.-Prod'!F:F)</f>
        <v>0</v>
      </c>
      <c r="N100" s="160">
        <f>SUMIF('Che.-Prod'!A:A,Used_before_Trf!A100,'Che.-Prod'!G:G)</f>
        <v>0</v>
      </c>
      <c r="O100" s="161">
        <f t="shared" si="46"/>
        <v>0</v>
      </c>
      <c r="P100" s="162">
        <f>SUMIF('Che.-Prod'!A:A,Used_before_Trf!A100,'Che.-Prod'!H:H)</f>
        <v>0</v>
      </c>
      <c r="Q100" s="160">
        <f>SUMIF('Che.-Prod'!A:A,Used_before_Trf!A100,'Che.-Prod'!P:P)</f>
        <v>0</v>
      </c>
      <c r="R100" s="161">
        <f t="shared" si="47"/>
        <v>0</v>
      </c>
      <c r="S100" s="159">
        <f>SUMIF('Che.-Prod'!A:A,Used_before_Trf!A100,'Che.-Prod'!R:R)</f>
        <v>0</v>
      </c>
      <c r="T100" s="169">
        <f t="shared" si="48"/>
        <v>0</v>
      </c>
      <c r="U100" s="507">
        <f t="shared" si="49"/>
        <v>0</v>
      </c>
      <c r="V100" s="170">
        <f t="shared" si="50"/>
        <v>0</v>
      </c>
      <c r="W100" s="158">
        <f>SUMIF('CHE-last month'!$A:$A,Used_before_Trf!A100,'CHE-last month'!C:C)</f>
        <v>0</v>
      </c>
      <c r="X100" s="520">
        <f t="shared" si="51"/>
        <v>0</v>
      </c>
      <c r="Y100" s="162">
        <f>SUMIF('CHE-last month'!$A:$A,Used_before_Trf!A100,'CHE-last month'!E:E)</f>
        <v>0</v>
      </c>
      <c r="Z100" s="159">
        <f t="shared" si="52"/>
        <v>0</v>
      </c>
      <c r="AA100" s="520">
        <f t="shared" si="53"/>
        <v>0</v>
      </c>
      <c r="AB100" s="159">
        <f t="shared" si="54"/>
        <v>0</v>
      </c>
      <c r="AC100" s="160">
        <f>SUMIFS(BalCom!M:M,BalCom!N:N,Used_before_Trf!A100,BalCom!C:C,Used_before_Trf!$AC$1)</f>
        <v>0</v>
      </c>
      <c r="AD100" s="171">
        <f t="shared" si="55"/>
        <v>0</v>
      </c>
      <c r="AE100" s="159">
        <f>SUMIFS(BalCom!P:P,BalCom!N:N,Used_before_Trf!A100,BalCom!C:C,Used_before_Trf!$AC$1)</f>
        <v>0</v>
      </c>
      <c r="AF100" s="160">
        <f>SUMIFS(BalDis!I:I,BalDis!J:J,Used_before_Trf!A100)</f>
        <v>0</v>
      </c>
      <c r="AG100" s="171">
        <f t="shared" si="56"/>
        <v>0</v>
      </c>
      <c r="AH100" s="162">
        <f>SUMIFS(BalDis!L:L,BalDis!J:J,Used_before_Trf!A100)</f>
        <v>0</v>
      </c>
      <c r="AI100" s="159">
        <f>SUMIFS(BalDip!$N$49:$N$75,BalDip!$C$49:$C$75,Used_before_Trf!A100)+SUMIFS(BalDip!$N$134:$N$157,BalDip!$C$134:$C$157,Used_before_Trf!A100)</f>
        <v>0</v>
      </c>
      <c r="AJ100" s="171">
        <f t="shared" si="57"/>
        <v>0</v>
      </c>
      <c r="AK100" s="177">
        <f>SUMIFS(BalDip!$N$80:$N$106,BalDip!$C$80:$C$106,Used_before_Trf!A100)+SUMIFS(BalDip!$N$161:$N$184,BalDip!$C$161:$C$184,Used_before_Trf!A100)</f>
        <v>0</v>
      </c>
      <c r="AL100" s="178">
        <f t="shared" si="58"/>
        <v>0</v>
      </c>
      <c r="AM100" s="179">
        <f t="shared" si="59"/>
        <v>0</v>
      </c>
      <c r="AN100" s="440">
        <f t="shared" si="60"/>
        <v>0</v>
      </c>
      <c r="AO100" s="180">
        <f t="shared" si="62"/>
        <v>0</v>
      </c>
    </row>
    <row r="101" spans="1:41" s="108" customFormat="1" ht="15" customHeight="1">
      <c r="A101" s="135" t="s">
        <v>362</v>
      </c>
      <c r="B101" s="573" t="s">
        <v>218</v>
      </c>
      <c r="C101" s="136">
        <f>SUMIF('Che-Store'!A:A,Used_before_Trf!A101,'Che-Store'!AC:AC)+SUMIF('Che-Comp'!A:A,Used_before_Trf!A101,'Che-Comp'!AC:AC)</f>
        <v>0</v>
      </c>
      <c r="D101" s="137">
        <f t="shared" si="41"/>
        <v>0</v>
      </c>
      <c r="E101" s="138">
        <f>SUMIF('Che-Store'!A:A,Used_before_Trf!A101,'Che-Store'!AE:AE)+SUMIF('Che-Comp'!A:A,Used_before_Trf!A101,'Che-Comp'!AE:AE)</f>
        <v>0</v>
      </c>
      <c r="F101" s="136">
        <f>SUMIFS('Che-Comp'!F:F,'Che-Comp'!$A:$A,Used_before_Trf!$A101)</f>
        <v>0</v>
      </c>
      <c r="G101" s="138">
        <f>SUMIFS('Che-Comp'!G:G,'Che-Comp'!$A:$A,Used_before_Trf!$A101)</f>
        <v>0</v>
      </c>
      <c r="H101" s="137">
        <f t="shared" si="42"/>
        <v>0</v>
      </c>
      <c r="I101" s="137">
        <f t="shared" si="43"/>
        <v>0</v>
      </c>
      <c r="J101" s="137">
        <f t="shared" si="44"/>
        <v>0</v>
      </c>
      <c r="K101" s="158">
        <f>SUMIF('Che.-Prod'!A:A,Used_before_Trf!A101,'Che.-Prod'!D:D)</f>
        <v>0</v>
      </c>
      <c r="L101" s="137">
        <f t="shared" si="45"/>
        <v>0</v>
      </c>
      <c r="M101" s="159">
        <f>SUMIF('Che.-Prod'!A:A,Used_before_Trf!A101,'Che.-Prod'!F:F)</f>
        <v>0</v>
      </c>
      <c r="N101" s="160">
        <f>SUMIF('Che.-Prod'!A:A,Used_before_Trf!A101,'Che.-Prod'!G:G)</f>
        <v>0</v>
      </c>
      <c r="O101" s="161">
        <f t="shared" si="46"/>
        <v>0</v>
      </c>
      <c r="P101" s="162">
        <f>SUMIF('Che.-Prod'!A:A,Used_before_Trf!A101,'Che.-Prod'!H:H)</f>
        <v>0</v>
      </c>
      <c r="Q101" s="160">
        <f>SUMIF('Che.-Prod'!A:A,Used_before_Trf!A101,'Che.-Prod'!P:P)</f>
        <v>0</v>
      </c>
      <c r="R101" s="161">
        <f t="shared" si="47"/>
        <v>0</v>
      </c>
      <c r="S101" s="159">
        <f>SUMIF('Che.-Prod'!A:A,Used_before_Trf!A101,'Che.-Prod'!R:R)</f>
        <v>0</v>
      </c>
      <c r="T101" s="169">
        <f t="shared" si="48"/>
        <v>0</v>
      </c>
      <c r="U101" s="507">
        <f t="shared" si="49"/>
        <v>0</v>
      </c>
      <c r="V101" s="170">
        <f t="shared" si="50"/>
        <v>0</v>
      </c>
      <c r="W101" s="158">
        <f>SUMIF('CHE-last month'!$A:$A,Used_before_Trf!A101,'CHE-last month'!C:C)</f>
        <v>0</v>
      </c>
      <c r="X101" s="520">
        <f t="shared" si="51"/>
        <v>0</v>
      </c>
      <c r="Y101" s="162">
        <f>SUMIF('CHE-last month'!$A:$A,Used_before_Trf!A101,'CHE-last month'!E:E)</f>
        <v>0</v>
      </c>
      <c r="Z101" s="159">
        <f t="shared" si="52"/>
        <v>0</v>
      </c>
      <c r="AA101" s="520">
        <f t="shared" si="53"/>
        <v>0</v>
      </c>
      <c r="AB101" s="159">
        <f t="shared" si="54"/>
        <v>0</v>
      </c>
      <c r="AC101" s="160">
        <f>SUMIFS(BalCom!M:M,BalCom!N:N,Used_before_Trf!A101,BalCom!C:C,Used_before_Trf!$AC$1)</f>
        <v>0</v>
      </c>
      <c r="AD101" s="171">
        <f t="shared" si="55"/>
        <v>0</v>
      </c>
      <c r="AE101" s="159">
        <f>SUMIFS(BalCom!P:P,BalCom!N:N,Used_before_Trf!A101,BalCom!C:C,Used_before_Trf!$AC$1)</f>
        <v>0</v>
      </c>
      <c r="AF101" s="160">
        <f>SUMIFS(BalDis!I:I,BalDis!J:J,Used_before_Trf!A101)</f>
        <v>0</v>
      </c>
      <c r="AG101" s="171">
        <f t="shared" si="56"/>
        <v>0</v>
      </c>
      <c r="AH101" s="162">
        <f>SUMIFS(BalDis!L:L,BalDis!J:J,Used_before_Trf!A101)</f>
        <v>0</v>
      </c>
      <c r="AI101" s="159">
        <f>SUMIFS(BalDip!$N$49:$N$75,BalDip!$C$49:$C$75,Used_before_Trf!A101)+SUMIFS(BalDip!$N$134:$N$157,BalDip!$C$134:$C$157,Used_before_Trf!A101)</f>
        <v>0</v>
      </c>
      <c r="AJ101" s="171">
        <f t="shared" si="57"/>
        <v>0</v>
      </c>
      <c r="AK101" s="177">
        <f>SUMIFS(BalDip!$N$80:$N$106,BalDip!$C$80:$C$106,Used_before_Trf!A101)+SUMIFS(BalDip!$N$161:$N$184,BalDip!$C$161:$C$184,Used_before_Trf!A101)</f>
        <v>0</v>
      </c>
      <c r="AL101" s="178">
        <f t="shared" si="58"/>
        <v>0</v>
      </c>
      <c r="AM101" s="179">
        <f t="shared" si="59"/>
        <v>0</v>
      </c>
      <c r="AN101" s="440">
        <f t="shared" si="60"/>
        <v>0</v>
      </c>
      <c r="AO101" s="180">
        <f t="shared" si="62"/>
        <v>0</v>
      </c>
    </row>
    <row r="102" spans="1:41" s="108" customFormat="1" ht="15" customHeight="1">
      <c r="A102" s="135" t="s">
        <v>363</v>
      </c>
      <c r="B102" s="573" t="s">
        <v>364</v>
      </c>
      <c r="C102" s="136">
        <f>SUMIF('Che-Store'!A:A,Used_before_Trf!A102,'Che-Store'!AC:AC)+SUMIF('Che-Comp'!A:A,Used_before_Trf!A102,'Che-Comp'!AC:AC)</f>
        <v>0</v>
      </c>
      <c r="D102" s="137">
        <f t="shared" si="41"/>
        <v>0</v>
      </c>
      <c r="E102" s="138">
        <f>SUMIF('Che-Store'!A:A,Used_before_Trf!A102,'Che-Store'!AE:AE)+SUMIF('Che-Comp'!A:A,Used_before_Trf!A102,'Che-Comp'!AE:AE)</f>
        <v>0</v>
      </c>
      <c r="F102" s="136">
        <f>SUMIFS('Che-Comp'!F:F,'Che-Comp'!$A:$A,Used_before_Trf!$A102)</f>
        <v>0</v>
      </c>
      <c r="G102" s="138">
        <f>SUMIFS('Che-Comp'!G:G,'Che-Comp'!$A:$A,Used_before_Trf!$A102)</f>
        <v>0</v>
      </c>
      <c r="H102" s="137">
        <f t="shared" si="42"/>
        <v>0</v>
      </c>
      <c r="I102" s="137">
        <f t="shared" si="43"/>
        <v>0</v>
      </c>
      <c r="J102" s="137">
        <f t="shared" si="44"/>
        <v>0</v>
      </c>
      <c r="K102" s="158">
        <f>SUMIF('Che.-Prod'!A:A,Used_before_Trf!A102,'Che.-Prod'!D:D)</f>
        <v>0</v>
      </c>
      <c r="L102" s="137">
        <f t="shared" si="45"/>
        <v>0</v>
      </c>
      <c r="M102" s="159">
        <f>SUMIF('Che.-Prod'!A:A,Used_before_Trf!A102,'Che.-Prod'!F:F)</f>
        <v>0</v>
      </c>
      <c r="N102" s="160">
        <f>SUMIF('Che.-Prod'!A:A,Used_before_Trf!A102,'Che.-Prod'!G:G)</f>
        <v>0</v>
      </c>
      <c r="O102" s="161">
        <f t="shared" si="46"/>
        <v>0</v>
      </c>
      <c r="P102" s="162">
        <f>SUMIF('Che.-Prod'!A:A,Used_before_Trf!A102,'Che.-Prod'!H:H)</f>
        <v>0</v>
      </c>
      <c r="Q102" s="160">
        <f>SUMIF('Che.-Prod'!A:A,Used_before_Trf!A102,'Che.-Prod'!P:P)</f>
        <v>0</v>
      </c>
      <c r="R102" s="161">
        <f t="shared" si="47"/>
        <v>0</v>
      </c>
      <c r="S102" s="159">
        <f>SUMIF('Che.-Prod'!A:A,Used_before_Trf!A102,'Che.-Prod'!R:R)</f>
        <v>0</v>
      </c>
      <c r="T102" s="169">
        <f t="shared" si="48"/>
        <v>0</v>
      </c>
      <c r="U102" s="507">
        <f t="shared" si="49"/>
        <v>0</v>
      </c>
      <c r="V102" s="170">
        <f t="shared" si="50"/>
        <v>0</v>
      </c>
      <c r="W102" s="158">
        <f>SUMIF('CHE-last month'!$A:$A,Used_before_Trf!A102,'CHE-last month'!C:C)</f>
        <v>0</v>
      </c>
      <c r="X102" s="520">
        <f t="shared" si="51"/>
        <v>0</v>
      </c>
      <c r="Y102" s="162">
        <f>SUMIF('CHE-last month'!$A:$A,Used_before_Trf!A102,'CHE-last month'!E:E)</f>
        <v>0</v>
      </c>
      <c r="Z102" s="159">
        <f t="shared" si="52"/>
        <v>0</v>
      </c>
      <c r="AA102" s="520">
        <f t="shared" si="53"/>
        <v>0</v>
      </c>
      <c r="AB102" s="159">
        <f t="shared" si="54"/>
        <v>0</v>
      </c>
      <c r="AC102" s="160">
        <f>SUMIFS(BalCom!M:M,BalCom!N:N,Used_before_Trf!A102,BalCom!C:C,Used_before_Trf!$AC$1)</f>
        <v>0</v>
      </c>
      <c r="AD102" s="171">
        <f t="shared" si="55"/>
        <v>0</v>
      </c>
      <c r="AE102" s="159">
        <f>SUMIFS(BalCom!P:P,BalCom!N:N,Used_before_Trf!A102,BalCom!C:C,Used_before_Trf!$AC$1)</f>
        <v>0</v>
      </c>
      <c r="AF102" s="160">
        <f>SUMIFS(BalDis!I:I,BalDis!J:J,Used_before_Trf!A102)</f>
        <v>0</v>
      </c>
      <c r="AG102" s="171">
        <f t="shared" si="56"/>
        <v>0</v>
      </c>
      <c r="AH102" s="162">
        <f>SUMIFS(BalDis!L:L,BalDis!J:J,Used_before_Trf!A102)</f>
        <v>0</v>
      </c>
      <c r="AI102" s="159">
        <f>SUMIFS(BalDip!$N$49:$N$75,BalDip!$C$49:$C$75,Used_before_Trf!A102)+SUMIFS(BalDip!$N$134:$N$157,BalDip!$C$134:$C$157,Used_before_Trf!A102)</f>
        <v>0</v>
      </c>
      <c r="AJ102" s="171">
        <f t="shared" si="57"/>
        <v>0</v>
      </c>
      <c r="AK102" s="177">
        <f>SUMIFS(BalDip!$N$80:$N$106,BalDip!$C$80:$C$106,Used_before_Trf!A102)+SUMIFS(BalDip!$N$161:$N$184,BalDip!$C$161:$C$184,Used_before_Trf!A102)</f>
        <v>0</v>
      </c>
      <c r="AL102" s="178">
        <f t="shared" si="58"/>
        <v>0</v>
      </c>
      <c r="AM102" s="179">
        <f t="shared" si="59"/>
        <v>0</v>
      </c>
      <c r="AN102" s="440">
        <f t="shared" si="60"/>
        <v>0</v>
      </c>
      <c r="AO102" s="180">
        <f t="shared" si="62"/>
        <v>0</v>
      </c>
    </row>
    <row r="103" spans="1:41" s="108" customFormat="1" ht="15" customHeight="1">
      <c r="A103" s="135" t="s">
        <v>365</v>
      </c>
      <c r="B103" s="573" t="s">
        <v>366</v>
      </c>
      <c r="C103" s="136">
        <f>SUMIF('Che-Store'!A:A,Used_before_Trf!A103,'Che-Store'!AC:AC)+SUMIF('Che-Comp'!A:A,Used_before_Trf!A103,'Che-Comp'!AC:AC)</f>
        <v>0</v>
      </c>
      <c r="D103" s="137">
        <f t="shared" si="41"/>
        <v>0</v>
      </c>
      <c r="E103" s="138">
        <f>SUMIF('Che-Store'!A:A,Used_before_Trf!A103,'Che-Store'!AE:AE)+SUMIF('Che-Comp'!A:A,Used_before_Trf!A103,'Che-Comp'!AE:AE)</f>
        <v>0</v>
      </c>
      <c r="F103" s="136">
        <f>SUMIFS('Che-Comp'!F:F,'Che-Comp'!$A:$A,Used_before_Trf!$A103)</f>
        <v>0</v>
      </c>
      <c r="G103" s="138">
        <f>SUMIFS('Che-Comp'!G:G,'Che-Comp'!$A:$A,Used_before_Trf!$A103)</f>
        <v>0</v>
      </c>
      <c r="H103" s="137">
        <f t="shared" si="42"/>
        <v>0</v>
      </c>
      <c r="I103" s="137">
        <f t="shared" si="43"/>
        <v>0</v>
      </c>
      <c r="J103" s="137">
        <f t="shared" si="44"/>
        <v>0</v>
      </c>
      <c r="K103" s="158">
        <f>SUMIF('Che.-Prod'!A:A,Used_before_Trf!A103,'Che.-Prod'!D:D)</f>
        <v>0</v>
      </c>
      <c r="L103" s="137">
        <f t="shared" si="45"/>
        <v>0</v>
      </c>
      <c r="M103" s="159">
        <f>SUMIF('Che.-Prod'!A:A,Used_before_Trf!A103,'Che.-Prod'!F:F)</f>
        <v>0</v>
      </c>
      <c r="N103" s="160">
        <f>SUMIF('Che.-Prod'!A:A,Used_before_Trf!A103,'Che.-Prod'!G:G)</f>
        <v>0</v>
      </c>
      <c r="O103" s="161">
        <f t="shared" si="46"/>
        <v>0</v>
      </c>
      <c r="P103" s="162">
        <f>SUMIF('Che.-Prod'!A:A,Used_before_Trf!A103,'Che.-Prod'!H:H)</f>
        <v>0</v>
      </c>
      <c r="Q103" s="160">
        <f>SUMIF('Che.-Prod'!A:A,Used_before_Trf!A103,'Che.-Prod'!P:P)</f>
        <v>0</v>
      </c>
      <c r="R103" s="161">
        <f t="shared" si="47"/>
        <v>0</v>
      </c>
      <c r="S103" s="159">
        <f>SUMIF('Che.-Prod'!A:A,Used_before_Trf!A103,'Che.-Prod'!R:R)</f>
        <v>0</v>
      </c>
      <c r="T103" s="169">
        <f t="shared" si="48"/>
        <v>0</v>
      </c>
      <c r="U103" s="507">
        <f t="shared" si="49"/>
        <v>0</v>
      </c>
      <c r="V103" s="170">
        <f t="shared" si="50"/>
        <v>0</v>
      </c>
      <c r="W103" s="158">
        <f>SUMIF('CHE-last month'!$A:$A,Used_before_Trf!A103,'CHE-last month'!C:C)</f>
        <v>0</v>
      </c>
      <c r="X103" s="520">
        <f t="shared" si="51"/>
        <v>0</v>
      </c>
      <c r="Y103" s="162">
        <f>SUMIF('CHE-last month'!$A:$A,Used_before_Trf!A103,'CHE-last month'!E:E)</f>
        <v>0</v>
      </c>
      <c r="Z103" s="159">
        <f t="shared" si="52"/>
        <v>0</v>
      </c>
      <c r="AA103" s="520">
        <f t="shared" si="53"/>
        <v>0</v>
      </c>
      <c r="AB103" s="159">
        <f t="shared" si="54"/>
        <v>0</v>
      </c>
      <c r="AC103" s="160">
        <f>SUMIFS(BalCom!M:M,BalCom!N:N,Used_before_Trf!A103,BalCom!C:C,Used_before_Trf!$AC$1)</f>
        <v>0</v>
      </c>
      <c r="AD103" s="171">
        <f t="shared" si="55"/>
        <v>0</v>
      </c>
      <c r="AE103" s="159">
        <f>SUMIFS(BalCom!P:P,BalCom!N:N,Used_before_Trf!A103,BalCom!C:C,Used_before_Trf!$AC$1)</f>
        <v>0</v>
      </c>
      <c r="AF103" s="160">
        <f>SUMIFS(BalDis!I:I,BalDis!J:J,Used_before_Trf!A103)</f>
        <v>0</v>
      </c>
      <c r="AG103" s="171">
        <f t="shared" si="56"/>
        <v>0</v>
      </c>
      <c r="AH103" s="162">
        <f>SUMIFS(BalDis!L:L,BalDis!J:J,Used_before_Trf!A103)</f>
        <v>0</v>
      </c>
      <c r="AI103" s="159">
        <f>SUMIFS(BalDip!$N$49:$N$75,BalDip!$C$49:$C$75,Used_before_Trf!A103)+SUMIFS(BalDip!$N$134:$N$157,BalDip!$C$134:$C$157,Used_before_Trf!A103)</f>
        <v>0</v>
      </c>
      <c r="AJ103" s="171">
        <f t="shared" si="57"/>
        <v>0</v>
      </c>
      <c r="AK103" s="177">
        <f>SUMIFS(BalDip!$N$80:$N$106,BalDip!$C$80:$C$106,Used_before_Trf!A103)+SUMIFS(BalDip!$N$161:$N$184,BalDip!$C$161:$C$184,Used_before_Trf!A103)</f>
        <v>0</v>
      </c>
      <c r="AL103" s="178">
        <f t="shared" si="58"/>
        <v>0</v>
      </c>
      <c r="AM103" s="179">
        <f t="shared" si="59"/>
        <v>0</v>
      </c>
      <c r="AN103" s="440">
        <f t="shared" si="60"/>
        <v>0</v>
      </c>
      <c r="AO103" s="180">
        <f t="shared" si="62"/>
        <v>0</v>
      </c>
    </row>
    <row r="104" spans="1:41" s="108" customFormat="1" ht="15" customHeight="1">
      <c r="A104" s="135" t="s">
        <v>367</v>
      </c>
      <c r="B104" s="573" t="s">
        <v>368</v>
      </c>
      <c r="C104" s="136">
        <f>SUMIF('Che-Store'!A:A,Used_before_Trf!A104,'Che-Store'!AC:AC)+SUMIF('Che-Comp'!A:A,Used_before_Trf!A104,'Che-Comp'!AC:AC)</f>
        <v>0</v>
      </c>
      <c r="D104" s="137">
        <f t="shared" si="41"/>
        <v>0</v>
      </c>
      <c r="E104" s="138">
        <f>SUMIF('Che-Store'!A:A,Used_before_Trf!A104,'Che-Store'!AE:AE)+SUMIF('Che-Comp'!A:A,Used_before_Trf!A104,'Che-Comp'!AE:AE)</f>
        <v>0</v>
      </c>
      <c r="F104" s="136">
        <f>SUMIFS('Che-Comp'!F:F,'Che-Comp'!$A:$A,Used_before_Trf!$A104)</f>
        <v>0</v>
      </c>
      <c r="G104" s="138">
        <f>SUMIFS('Che-Comp'!G:G,'Che-Comp'!$A:$A,Used_before_Trf!$A104)</f>
        <v>0</v>
      </c>
      <c r="H104" s="137">
        <f t="shared" si="42"/>
        <v>0</v>
      </c>
      <c r="I104" s="137">
        <f t="shared" si="43"/>
        <v>0</v>
      </c>
      <c r="J104" s="137">
        <f t="shared" si="44"/>
        <v>0</v>
      </c>
      <c r="K104" s="158">
        <f>SUMIF('Che.-Prod'!A:A,Used_before_Trf!A104,'Che.-Prod'!D:D)</f>
        <v>0</v>
      </c>
      <c r="L104" s="137">
        <f t="shared" si="45"/>
        <v>0</v>
      </c>
      <c r="M104" s="159">
        <f>SUMIF('Che.-Prod'!A:A,Used_before_Trf!A104,'Che.-Prod'!F:F)</f>
        <v>0</v>
      </c>
      <c r="N104" s="160">
        <f>SUMIF('Che.-Prod'!A:A,Used_before_Trf!A104,'Che.-Prod'!G:G)</f>
        <v>0</v>
      </c>
      <c r="O104" s="161">
        <f t="shared" si="46"/>
        <v>0</v>
      </c>
      <c r="P104" s="162">
        <f>SUMIF('Che.-Prod'!A:A,Used_before_Trf!A104,'Che.-Prod'!H:H)</f>
        <v>0</v>
      </c>
      <c r="Q104" s="160">
        <f>SUMIF('Che.-Prod'!A:A,Used_before_Trf!A104,'Che.-Prod'!P:P)</f>
        <v>0</v>
      </c>
      <c r="R104" s="161">
        <f t="shared" si="47"/>
        <v>0</v>
      </c>
      <c r="S104" s="159">
        <f>SUMIF('Che.-Prod'!A:A,Used_before_Trf!A104,'Che.-Prod'!R:R)</f>
        <v>0</v>
      </c>
      <c r="T104" s="169">
        <f t="shared" si="48"/>
        <v>0</v>
      </c>
      <c r="U104" s="507">
        <f t="shared" si="49"/>
        <v>0</v>
      </c>
      <c r="V104" s="170">
        <f t="shared" si="50"/>
        <v>0</v>
      </c>
      <c r="W104" s="158">
        <f>SUMIF('CHE-last month'!$A:$A,Used_before_Trf!A104,'CHE-last month'!C:C)</f>
        <v>0</v>
      </c>
      <c r="X104" s="520">
        <f t="shared" si="51"/>
        <v>0</v>
      </c>
      <c r="Y104" s="162">
        <f>SUMIF('CHE-last month'!$A:$A,Used_before_Trf!A104,'CHE-last month'!E:E)</f>
        <v>0</v>
      </c>
      <c r="Z104" s="159">
        <f t="shared" si="52"/>
        <v>0</v>
      </c>
      <c r="AA104" s="520">
        <f t="shared" si="53"/>
        <v>0</v>
      </c>
      <c r="AB104" s="159">
        <f t="shared" si="54"/>
        <v>0</v>
      </c>
      <c r="AC104" s="160">
        <f>SUMIFS(BalCom!M:M,BalCom!N:N,Used_before_Trf!A104,BalCom!C:C,Used_before_Trf!$AC$1)</f>
        <v>0</v>
      </c>
      <c r="AD104" s="171">
        <f t="shared" si="55"/>
        <v>0</v>
      </c>
      <c r="AE104" s="159">
        <f>SUMIFS(BalCom!P:P,BalCom!N:N,Used_before_Trf!A104,BalCom!C:C,Used_before_Trf!$AC$1)</f>
        <v>0</v>
      </c>
      <c r="AF104" s="160">
        <f>SUMIFS(BalDis!I:I,BalDis!J:J,Used_before_Trf!A104)</f>
        <v>0</v>
      </c>
      <c r="AG104" s="171">
        <f t="shared" si="56"/>
        <v>0</v>
      </c>
      <c r="AH104" s="162">
        <f>SUMIFS(BalDis!L:L,BalDis!J:J,Used_before_Trf!A104)</f>
        <v>0</v>
      </c>
      <c r="AI104" s="159">
        <f>SUMIFS(BalDip!$N$49:$N$75,BalDip!$C$49:$C$75,Used_before_Trf!A104)+SUMIFS(BalDip!$N$134:$N$157,BalDip!$C$134:$C$157,Used_before_Trf!A104)</f>
        <v>0</v>
      </c>
      <c r="AJ104" s="171">
        <f t="shared" si="57"/>
        <v>0</v>
      </c>
      <c r="AK104" s="177">
        <f>SUMIFS(BalDip!$N$80:$N$106,BalDip!$C$80:$C$106,Used_before_Trf!A104)+SUMIFS(BalDip!$N$161:$N$184,BalDip!$C$161:$C$184,Used_before_Trf!A104)</f>
        <v>0</v>
      </c>
      <c r="AL104" s="178">
        <f t="shared" si="58"/>
        <v>0</v>
      </c>
      <c r="AM104" s="179">
        <f t="shared" si="59"/>
        <v>0</v>
      </c>
      <c r="AN104" s="440">
        <f t="shared" si="60"/>
        <v>0</v>
      </c>
      <c r="AO104" s="180">
        <f t="shared" si="62"/>
        <v>0</v>
      </c>
    </row>
    <row r="105" spans="1:41" s="108" customFormat="1" ht="15" customHeight="1">
      <c r="A105" s="135" t="s">
        <v>369</v>
      </c>
      <c r="B105" s="573" t="s">
        <v>370</v>
      </c>
      <c r="C105" s="136">
        <f>SUMIF('Che-Store'!A:A,Used_before_Trf!A105,'Che-Store'!AC:AC)+SUMIF('Che-Comp'!A:A,Used_before_Trf!A105,'Che-Comp'!AC:AC)</f>
        <v>0</v>
      </c>
      <c r="D105" s="137">
        <f t="shared" si="41"/>
        <v>0</v>
      </c>
      <c r="E105" s="138">
        <f>SUMIF('Che-Store'!A:A,Used_before_Trf!A105,'Che-Store'!AE:AE)+SUMIF('Che-Comp'!A:A,Used_before_Trf!A105,'Che-Comp'!AE:AE)</f>
        <v>0</v>
      </c>
      <c r="F105" s="136">
        <f>SUMIFS('Che-Comp'!F:F,'Che-Comp'!$A:$A,Used_before_Trf!$A105)</f>
        <v>0</v>
      </c>
      <c r="G105" s="138">
        <f>SUMIFS('Che-Comp'!G:G,'Che-Comp'!$A:$A,Used_before_Trf!$A105)</f>
        <v>0</v>
      </c>
      <c r="H105" s="137">
        <f t="shared" si="42"/>
        <v>0</v>
      </c>
      <c r="I105" s="137">
        <f t="shared" si="43"/>
        <v>0</v>
      </c>
      <c r="J105" s="137">
        <f t="shared" si="44"/>
        <v>0</v>
      </c>
      <c r="K105" s="158">
        <f>SUMIF('Che.-Prod'!A:A,Used_before_Trf!A105,'Che.-Prod'!D:D)</f>
        <v>0</v>
      </c>
      <c r="L105" s="137">
        <f t="shared" si="45"/>
        <v>0</v>
      </c>
      <c r="M105" s="159">
        <f>SUMIF('Che.-Prod'!A:A,Used_before_Trf!A105,'Che.-Prod'!F:F)</f>
        <v>0</v>
      </c>
      <c r="N105" s="160">
        <f>SUMIF('Che.-Prod'!A:A,Used_before_Trf!A105,'Che.-Prod'!G:G)</f>
        <v>0</v>
      </c>
      <c r="O105" s="161">
        <f t="shared" si="46"/>
        <v>0</v>
      </c>
      <c r="P105" s="162">
        <f>SUMIF('Che.-Prod'!A:A,Used_before_Trf!A105,'Che.-Prod'!H:H)</f>
        <v>0</v>
      </c>
      <c r="Q105" s="160">
        <f>SUMIF('Che.-Prod'!A:A,Used_before_Trf!A105,'Che.-Prod'!P:P)</f>
        <v>0</v>
      </c>
      <c r="R105" s="161">
        <f t="shared" si="47"/>
        <v>0</v>
      </c>
      <c r="S105" s="159">
        <f>SUMIF('Che.-Prod'!A:A,Used_before_Trf!A105,'Che.-Prod'!R:R)</f>
        <v>0</v>
      </c>
      <c r="T105" s="169">
        <f t="shared" si="48"/>
        <v>0</v>
      </c>
      <c r="U105" s="507">
        <f t="shared" si="49"/>
        <v>0</v>
      </c>
      <c r="V105" s="170">
        <f t="shared" si="50"/>
        <v>0</v>
      </c>
      <c r="W105" s="158">
        <f>SUMIF('CHE-last month'!$A:$A,Used_before_Trf!A105,'CHE-last month'!C:C)</f>
        <v>0</v>
      </c>
      <c r="X105" s="520">
        <f t="shared" si="51"/>
        <v>0</v>
      </c>
      <c r="Y105" s="162">
        <f>SUMIF('CHE-last month'!$A:$A,Used_before_Trf!A105,'CHE-last month'!E:E)</f>
        <v>0</v>
      </c>
      <c r="Z105" s="159">
        <f t="shared" si="52"/>
        <v>0</v>
      </c>
      <c r="AA105" s="520">
        <f t="shared" si="53"/>
        <v>0</v>
      </c>
      <c r="AB105" s="159">
        <f t="shared" si="54"/>
        <v>0</v>
      </c>
      <c r="AC105" s="160">
        <f>SUMIFS(BalCom!M:M,BalCom!N:N,Used_before_Trf!A105,BalCom!C:C,Used_before_Trf!$AC$1)</f>
        <v>0</v>
      </c>
      <c r="AD105" s="171">
        <f t="shared" si="55"/>
        <v>0</v>
      </c>
      <c r="AE105" s="159">
        <f>SUMIFS(BalCom!P:P,BalCom!N:N,Used_before_Trf!A105,BalCom!C:C,Used_before_Trf!$AC$1)</f>
        <v>0</v>
      </c>
      <c r="AF105" s="160">
        <f>SUMIFS(BalDis!I:I,BalDis!J:J,Used_before_Trf!A105)</f>
        <v>0</v>
      </c>
      <c r="AG105" s="171">
        <f t="shared" si="56"/>
        <v>0</v>
      </c>
      <c r="AH105" s="162">
        <f>SUMIFS(BalDis!L:L,BalDis!J:J,Used_before_Trf!A105)</f>
        <v>0</v>
      </c>
      <c r="AI105" s="159">
        <f>SUMIFS(BalDip!$N$49:$N$75,BalDip!$C$49:$C$75,Used_before_Trf!A105)+SUMIFS(BalDip!$N$134:$N$157,BalDip!$C$134:$C$157,Used_before_Trf!A105)</f>
        <v>0</v>
      </c>
      <c r="AJ105" s="171">
        <f t="shared" si="57"/>
        <v>0</v>
      </c>
      <c r="AK105" s="177">
        <f>SUMIFS(BalDip!$N$80:$N$106,BalDip!$C$80:$C$106,Used_before_Trf!A105)+SUMIFS(BalDip!$N$161:$N$184,BalDip!$C$161:$C$184,Used_before_Trf!A105)</f>
        <v>0</v>
      </c>
      <c r="AL105" s="178">
        <f t="shared" si="58"/>
        <v>0</v>
      </c>
      <c r="AM105" s="179">
        <f t="shared" si="59"/>
        <v>0</v>
      </c>
      <c r="AN105" s="440">
        <f t="shared" si="60"/>
        <v>0</v>
      </c>
      <c r="AO105" s="180">
        <f t="shared" si="62"/>
        <v>0</v>
      </c>
    </row>
    <row r="106" spans="1:41" s="108" customFormat="1" ht="15" customHeight="1">
      <c r="A106" s="135" t="s">
        <v>371</v>
      </c>
      <c r="B106" s="573" t="s">
        <v>372</v>
      </c>
      <c r="C106" s="136">
        <f>SUMIF('Che-Store'!A:A,Used_before_Trf!A106,'Che-Store'!AC:AC)+SUMIF('Che-Comp'!A:A,Used_before_Trf!A106,'Che-Comp'!AC:AC)</f>
        <v>0</v>
      </c>
      <c r="D106" s="137">
        <f t="shared" si="41"/>
        <v>0</v>
      </c>
      <c r="E106" s="138">
        <f>SUMIF('Che-Store'!A:A,Used_before_Trf!A106,'Che-Store'!AE:AE)+SUMIF('Che-Comp'!A:A,Used_before_Trf!A106,'Che-Comp'!AE:AE)</f>
        <v>0</v>
      </c>
      <c r="F106" s="136">
        <f>SUMIFS('Che-Comp'!F:F,'Che-Comp'!$A:$A,Used_before_Trf!$A106)</f>
        <v>0</v>
      </c>
      <c r="G106" s="138">
        <f>SUMIFS('Che-Comp'!G:G,'Che-Comp'!$A:$A,Used_before_Trf!$A106)</f>
        <v>0</v>
      </c>
      <c r="H106" s="137">
        <f t="shared" si="42"/>
        <v>0</v>
      </c>
      <c r="I106" s="137">
        <f t="shared" si="43"/>
        <v>0</v>
      </c>
      <c r="J106" s="137">
        <f t="shared" si="44"/>
        <v>0</v>
      </c>
      <c r="K106" s="158">
        <f>SUMIF('Che.-Prod'!A:A,Used_before_Trf!A106,'Che.-Prod'!D:D)</f>
        <v>0</v>
      </c>
      <c r="L106" s="137">
        <f t="shared" si="45"/>
        <v>0</v>
      </c>
      <c r="M106" s="159">
        <f>SUMIF('Che.-Prod'!A:A,Used_before_Trf!A106,'Che.-Prod'!F:F)</f>
        <v>0</v>
      </c>
      <c r="N106" s="160">
        <f>SUMIF('Che.-Prod'!A:A,Used_before_Trf!A106,'Che.-Prod'!G:G)</f>
        <v>0</v>
      </c>
      <c r="O106" s="161">
        <f t="shared" si="46"/>
        <v>0</v>
      </c>
      <c r="P106" s="162">
        <f>SUMIF('Che.-Prod'!A:A,Used_before_Trf!A106,'Che.-Prod'!H:H)</f>
        <v>0</v>
      </c>
      <c r="Q106" s="160">
        <f>SUMIF('Che.-Prod'!A:A,Used_before_Trf!A106,'Che.-Prod'!P:P)</f>
        <v>0</v>
      </c>
      <c r="R106" s="161">
        <f t="shared" si="47"/>
        <v>0</v>
      </c>
      <c r="S106" s="159">
        <f>SUMIF('Che.-Prod'!A:A,Used_before_Trf!A106,'Che.-Prod'!R:R)</f>
        <v>0</v>
      </c>
      <c r="T106" s="169">
        <f t="shared" si="48"/>
        <v>0</v>
      </c>
      <c r="U106" s="507">
        <f t="shared" si="49"/>
        <v>0</v>
      </c>
      <c r="V106" s="170">
        <f t="shared" si="50"/>
        <v>0</v>
      </c>
      <c r="W106" s="158">
        <f>SUMIF('CHE-last month'!$A:$A,Used_before_Trf!A106,'CHE-last month'!C:C)</f>
        <v>0</v>
      </c>
      <c r="X106" s="520">
        <f t="shared" si="51"/>
        <v>0</v>
      </c>
      <c r="Y106" s="162">
        <f>SUMIF('CHE-last month'!$A:$A,Used_before_Trf!A106,'CHE-last month'!E:E)</f>
        <v>0</v>
      </c>
      <c r="Z106" s="159">
        <f t="shared" si="52"/>
        <v>0</v>
      </c>
      <c r="AA106" s="520">
        <f t="shared" si="53"/>
        <v>0</v>
      </c>
      <c r="AB106" s="159">
        <f t="shared" si="54"/>
        <v>0</v>
      </c>
      <c r="AC106" s="160">
        <f>SUMIFS(BalCom!M:M,BalCom!N:N,Used_before_Trf!A106,BalCom!C:C,Used_before_Trf!$AC$1)</f>
        <v>0</v>
      </c>
      <c r="AD106" s="171">
        <f t="shared" si="55"/>
        <v>0</v>
      </c>
      <c r="AE106" s="159">
        <f>SUMIFS(BalCom!P:P,BalCom!N:N,Used_before_Trf!A106,BalCom!C:C,Used_before_Trf!$AC$1)</f>
        <v>0</v>
      </c>
      <c r="AF106" s="160">
        <f>SUMIFS(BalDis!I:I,BalDis!J:J,Used_before_Trf!A106)</f>
        <v>0</v>
      </c>
      <c r="AG106" s="171">
        <f t="shared" si="56"/>
        <v>0</v>
      </c>
      <c r="AH106" s="162">
        <f>SUMIFS(BalDis!L:L,BalDis!J:J,Used_before_Trf!A106)</f>
        <v>0</v>
      </c>
      <c r="AI106" s="159">
        <f>SUMIFS(BalDip!$N$49:$N$75,BalDip!$C$49:$C$75,Used_before_Trf!A106)+SUMIFS(BalDip!$N$134:$N$157,BalDip!$C$134:$C$157,Used_before_Trf!A106)</f>
        <v>0</v>
      </c>
      <c r="AJ106" s="171">
        <f t="shared" si="57"/>
        <v>0</v>
      </c>
      <c r="AK106" s="177">
        <f>SUMIFS(BalDip!$N$80:$N$106,BalDip!$C$80:$C$106,Used_before_Trf!A106)+SUMIFS(BalDip!$N$161:$N$184,BalDip!$C$161:$C$184,Used_before_Trf!A106)</f>
        <v>0</v>
      </c>
      <c r="AL106" s="178">
        <f t="shared" si="58"/>
        <v>0</v>
      </c>
      <c r="AM106" s="179">
        <f t="shared" si="59"/>
        <v>0</v>
      </c>
      <c r="AN106" s="440">
        <f t="shared" si="60"/>
        <v>0</v>
      </c>
      <c r="AO106" s="180">
        <f t="shared" si="62"/>
        <v>0</v>
      </c>
    </row>
    <row r="107" spans="1:41" s="108" customFormat="1" ht="15" customHeight="1">
      <c r="A107" s="135" t="s">
        <v>373</v>
      </c>
      <c r="B107" s="573" t="s">
        <v>374</v>
      </c>
      <c r="C107" s="136">
        <f>SUMIF('Che-Store'!A:A,Used_before_Trf!A107,'Che-Store'!AC:AC)+SUMIF('Che-Comp'!A:A,Used_before_Trf!A107,'Che-Comp'!AC:AC)</f>
        <v>0</v>
      </c>
      <c r="D107" s="137">
        <f t="shared" si="41"/>
        <v>0</v>
      </c>
      <c r="E107" s="138">
        <f>SUMIF('Che-Store'!A:A,Used_before_Trf!A107,'Che-Store'!AE:AE)+SUMIF('Che-Comp'!A:A,Used_before_Trf!A107,'Che-Comp'!AE:AE)</f>
        <v>0</v>
      </c>
      <c r="F107" s="136">
        <f>SUMIFS('Che-Comp'!F:F,'Che-Comp'!$A:$A,Used_before_Trf!$A107)</f>
        <v>0</v>
      </c>
      <c r="G107" s="138">
        <f>SUMIFS('Che-Comp'!G:G,'Che-Comp'!$A:$A,Used_before_Trf!$A107)</f>
        <v>0</v>
      </c>
      <c r="H107" s="137">
        <f t="shared" si="42"/>
        <v>0</v>
      </c>
      <c r="I107" s="137">
        <f t="shared" si="43"/>
        <v>0</v>
      </c>
      <c r="J107" s="137">
        <f t="shared" si="44"/>
        <v>0</v>
      </c>
      <c r="K107" s="158">
        <f>SUMIF('Che.-Prod'!A:A,Used_before_Trf!A107,'Che.-Prod'!D:D)</f>
        <v>0</v>
      </c>
      <c r="L107" s="137">
        <f t="shared" si="45"/>
        <v>0</v>
      </c>
      <c r="M107" s="159">
        <f>SUMIF('Che.-Prod'!A:A,Used_before_Trf!A107,'Che.-Prod'!F:F)</f>
        <v>0</v>
      </c>
      <c r="N107" s="160">
        <f>SUMIF('Che.-Prod'!A:A,Used_before_Trf!A107,'Che.-Prod'!G:G)</f>
        <v>0</v>
      </c>
      <c r="O107" s="161">
        <f t="shared" si="46"/>
        <v>0</v>
      </c>
      <c r="P107" s="162">
        <f>SUMIF('Che.-Prod'!A:A,Used_before_Trf!A107,'Che.-Prod'!H:H)</f>
        <v>0</v>
      </c>
      <c r="Q107" s="160">
        <f>SUMIF('Che.-Prod'!A:A,Used_before_Trf!A107,'Che.-Prod'!P:P)</f>
        <v>0</v>
      </c>
      <c r="R107" s="161">
        <f t="shared" si="47"/>
        <v>0</v>
      </c>
      <c r="S107" s="159">
        <f>SUMIF('Che.-Prod'!A:A,Used_before_Trf!A107,'Che.-Prod'!R:R)</f>
        <v>0</v>
      </c>
      <c r="T107" s="169">
        <f t="shared" si="48"/>
        <v>0</v>
      </c>
      <c r="U107" s="507">
        <f t="shared" si="49"/>
        <v>0</v>
      </c>
      <c r="V107" s="170">
        <f t="shared" si="50"/>
        <v>0</v>
      </c>
      <c r="W107" s="158">
        <f>SUMIF('CHE-last month'!$A:$A,Used_before_Trf!A107,'CHE-last month'!C:C)</f>
        <v>0</v>
      </c>
      <c r="X107" s="520">
        <f t="shared" si="51"/>
        <v>0</v>
      </c>
      <c r="Y107" s="162">
        <f>SUMIF('CHE-last month'!$A:$A,Used_before_Trf!A107,'CHE-last month'!E:E)</f>
        <v>0</v>
      </c>
      <c r="Z107" s="159">
        <f t="shared" si="52"/>
        <v>0</v>
      </c>
      <c r="AA107" s="520">
        <f t="shared" si="53"/>
        <v>0</v>
      </c>
      <c r="AB107" s="159">
        <f t="shared" si="54"/>
        <v>0</v>
      </c>
      <c r="AC107" s="160">
        <f>SUMIFS(BalCom!M:M,BalCom!N:N,Used_before_Trf!A107,BalCom!C:C,Used_before_Trf!$AC$1)</f>
        <v>0</v>
      </c>
      <c r="AD107" s="171">
        <f t="shared" si="55"/>
        <v>0</v>
      </c>
      <c r="AE107" s="159">
        <f>SUMIFS(BalCom!P:P,BalCom!N:N,Used_before_Trf!A107,BalCom!C:C,Used_before_Trf!$AC$1)</f>
        <v>0</v>
      </c>
      <c r="AF107" s="160">
        <f>SUMIFS(BalDis!I:I,BalDis!J:J,Used_before_Trf!A107)</f>
        <v>0</v>
      </c>
      <c r="AG107" s="171">
        <f t="shared" si="56"/>
        <v>0</v>
      </c>
      <c r="AH107" s="162">
        <f>SUMIFS(BalDis!L:L,BalDis!J:J,Used_before_Trf!A107)</f>
        <v>0</v>
      </c>
      <c r="AI107" s="159">
        <f>SUMIFS(BalDip!$N$49:$N$75,BalDip!$C$49:$C$75,Used_before_Trf!A107)+SUMIFS(BalDip!$N$134:$N$157,BalDip!$C$134:$C$157,Used_before_Trf!A107)</f>
        <v>0</v>
      </c>
      <c r="AJ107" s="171">
        <f t="shared" si="57"/>
        <v>0</v>
      </c>
      <c r="AK107" s="177">
        <f>SUMIFS(BalDip!$N$80:$N$106,BalDip!$C$80:$C$106,Used_before_Trf!A107)+SUMIFS(BalDip!$N$161:$N$184,BalDip!$C$161:$C$184,Used_before_Trf!A107)</f>
        <v>0</v>
      </c>
      <c r="AL107" s="178">
        <f t="shared" si="58"/>
        <v>0</v>
      </c>
      <c r="AM107" s="179">
        <f t="shared" si="59"/>
        <v>0</v>
      </c>
      <c r="AN107" s="440">
        <f t="shared" si="60"/>
        <v>0</v>
      </c>
      <c r="AO107" s="180">
        <f t="shared" si="62"/>
        <v>0</v>
      </c>
    </row>
    <row r="108" spans="1:41" s="108" customFormat="1" ht="15" customHeight="1">
      <c r="A108" s="135" t="s">
        <v>375</v>
      </c>
      <c r="B108" s="573" t="s">
        <v>376</v>
      </c>
      <c r="C108" s="136">
        <f>SUMIF('Che-Store'!A:A,Used_before_Trf!A108,'Che-Store'!AC:AC)+SUMIF('Che-Comp'!A:A,Used_before_Trf!A108,'Che-Comp'!AC:AC)</f>
        <v>0</v>
      </c>
      <c r="D108" s="137">
        <f t="shared" si="41"/>
        <v>0</v>
      </c>
      <c r="E108" s="138">
        <f>SUMIF('Che-Store'!A:A,Used_before_Trf!A108,'Che-Store'!AE:AE)+SUMIF('Che-Comp'!A:A,Used_before_Trf!A108,'Che-Comp'!AE:AE)</f>
        <v>0</v>
      </c>
      <c r="F108" s="136">
        <f>SUMIFS('Che-Comp'!F:F,'Che-Comp'!$A:$A,Used_before_Trf!$A108)</f>
        <v>0</v>
      </c>
      <c r="G108" s="138">
        <f>SUMIFS('Che-Comp'!G:G,'Che-Comp'!$A:$A,Used_before_Trf!$A108)</f>
        <v>0</v>
      </c>
      <c r="H108" s="137">
        <f t="shared" si="42"/>
        <v>0</v>
      </c>
      <c r="I108" s="137">
        <f t="shared" si="43"/>
        <v>0</v>
      </c>
      <c r="J108" s="137">
        <f t="shared" si="44"/>
        <v>0</v>
      </c>
      <c r="K108" s="158">
        <f>SUMIF('Che.-Prod'!A:A,Used_before_Trf!A108,'Che.-Prod'!D:D)</f>
        <v>0</v>
      </c>
      <c r="L108" s="137">
        <f t="shared" si="45"/>
        <v>0</v>
      </c>
      <c r="M108" s="159">
        <f>SUMIF('Che.-Prod'!A:A,Used_before_Trf!A108,'Che.-Prod'!F:F)</f>
        <v>0</v>
      </c>
      <c r="N108" s="160">
        <f>SUMIF('Che.-Prod'!A:A,Used_before_Trf!A108,'Che.-Prod'!G:G)</f>
        <v>0</v>
      </c>
      <c r="O108" s="161">
        <f t="shared" si="46"/>
        <v>0</v>
      </c>
      <c r="P108" s="162">
        <f>SUMIF('Che.-Prod'!A:A,Used_before_Trf!A108,'Che.-Prod'!H:H)</f>
        <v>0</v>
      </c>
      <c r="Q108" s="160">
        <f>SUMIF('Che.-Prod'!A:A,Used_before_Trf!A108,'Che.-Prod'!P:P)</f>
        <v>0</v>
      </c>
      <c r="R108" s="161">
        <f t="shared" si="47"/>
        <v>0</v>
      </c>
      <c r="S108" s="159">
        <f>SUMIF('Che.-Prod'!A:A,Used_before_Trf!A108,'Che.-Prod'!R:R)</f>
        <v>0</v>
      </c>
      <c r="T108" s="169">
        <f t="shared" si="48"/>
        <v>0</v>
      </c>
      <c r="U108" s="507">
        <f t="shared" si="49"/>
        <v>0</v>
      </c>
      <c r="V108" s="170">
        <f t="shared" si="50"/>
        <v>0</v>
      </c>
      <c r="W108" s="158">
        <f>SUMIF('CHE-last month'!$A:$A,Used_before_Trf!A108,'CHE-last month'!C:C)</f>
        <v>0</v>
      </c>
      <c r="X108" s="520">
        <f t="shared" si="51"/>
        <v>0</v>
      </c>
      <c r="Y108" s="162">
        <f>SUMIF('CHE-last month'!$A:$A,Used_before_Trf!A108,'CHE-last month'!E:E)</f>
        <v>0</v>
      </c>
      <c r="Z108" s="159">
        <f t="shared" si="52"/>
        <v>0</v>
      </c>
      <c r="AA108" s="520">
        <f t="shared" si="53"/>
        <v>0</v>
      </c>
      <c r="AB108" s="159">
        <f t="shared" si="54"/>
        <v>0</v>
      </c>
      <c r="AC108" s="160">
        <f>SUMIFS(BalCom!M:M,BalCom!N:N,Used_before_Trf!A108,BalCom!C:C,Used_before_Trf!$AC$1)</f>
        <v>0</v>
      </c>
      <c r="AD108" s="171">
        <f t="shared" si="55"/>
        <v>0</v>
      </c>
      <c r="AE108" s="159">
        <f>SUMIFS(BalCom!P:P,BalCom!N:N,Used_before_Trf!A108,BalCom!C:C,Used_before_Trf!$AC$1)</f>
        <v>0</v>
      </c>
      <c r="AF108" s="160">
        <f>SUMIFS(BalDis!I:I,BalDis!J:J,Used_before_Trf!A108)</f>
        <v>0</v>
      </c>
      <c r="AG108" s="171">
        <f t="shared" si="56"/>
        <v>0</v>
      </c>
      <c r="AH108" s="162">
        <f>SUMIFS(BalDis!L:L,BalDis!J:J,Used_before_Trf!A108)</f>
        <v>0</v>
      </c>
      <c r="AI108" s="159">
        <f>SUMIFS(BalDip!$N$49:$N$75,BalDip!$C$49:$C$75,Used_before_Trf!A108)+SUMIFS(BalDip!$N$134:$N$157,BalDip!$C$134:$C$157,Used_before_Trf!A108)</f>
        <v>0</v>
      </c>
      <c r="AJ108" s="171">
        <f t="shared" si="57"/>
        <v>0</v>
      </c>
      <c r="AK108" s="177">
        <f>SUMIFS(BalDip!$N$80:$N$106,BalDip!$C$80:$C$106,Used_before_Trf!A108)+SUMIFS(BalDip!$N$161:$N$184,BalDip!$C$161:$C$184,Used_before_Trf!A108)</f>
        <v>0</v>
      </c>
      <c r="AL108" s="178">
        <f t="shared" si="58"/>
        <v>0</v>
      </c>
      <c r="AM108" s="179">
        <f t="shared" si="59"/>
        <v>0</v>
      </c>
      <c r="AN108" s="440">
        <f t="shared" si="60"/>
        <v>0</v>
      </c>
      <c r="AO108" s="180">
        <f t="shared" si="62"/>
        <v>0</v>
      </c>
    </row>
    <row r="109" spans="1:41" s="108" customFormat="1" ht="15" customHeight="1">
      <c r="A109" s="135" t="s">
        <v>377</v>
      </c>
      <c r="B109" s="573" t="s">
        <v>378</v>
      </c>
      <c r="C109" s="136">
        <f>SUMIF('Che-Store'!A:A,Used_before_Trf!A109,'Che-Store'!AC:AC)+SUMIF('Che-Comp'!A:A,Used_before_Trf!A109,'Che-Comp'!AC:AC)</f>
        <v>0</v>
      </c>
      <c r="D109" s="137">
        <f t="shared" si="41"/>
        <v>0</v>
      </c>
      <c r="E109" s="138">
        <f>SUMIF('Che-Store'!A:A,Used_before_Trf!A109,'Che-Store'!AE:AE)+SUMIF('Che-Comp'!A:A,Used_before_Trf!A109,'Che-Comp'!AE:AE)</f>
        <v>0</v>
      </c>
      <c r="F109" s="136">
        <f>SUMIFS('Che-Comp'!F:F,'Che-Comp'!$A:$A,Used_before_Trf!$A109)</f>
        <v>0</v>
      </c>
      <c r="G109" s="138">
        <f>SUMIFS('Che-Comp'!G:G,'Che-Comp'!$A:$A,Used_before_Trf!$A109)</f>
        <v>0</v>
      </c>
      <c r="H109" s="137">
        <f t="shared" si="42"/>
        <v>0</v>
      </c>
      <c r="I109" s="137">
        <f t="shared" si="43"/>
        <v>0</v>
      </c>
      <c r="J109" s="137">
        <f t="shared" si="44"/>
        <v>0</v>
      </c>
      <c r="K109" s="158">
        <f>SUMIF('Che.-Prod'!A:A,Used_before_Trf!A109,'Che.-Prod'!D:D)</f>
        <v>0</v>
      </c>
      <c r="L109" s="137">
        <f t="shared" si="45"/>
        <v>0</v>
      </c>
      <c r="M109" s="159">
        <f>SUMIF('Che.-Prod'!A:A,Used_before_Trf!A109,'Che.-Prod'!F:F)</f>
        <v>0</v>
      </c>
      <c r="N109" s="160">
        <f>SUMIF('Che.-Prod'!A:A,Used_before_Trf!A109,'Che.-Prod'!G:G)</f>
        <v>0</v>
      </c>
      <c r="O109" s="161">
        <f t="shared" si="46"/>
        <v>0</v>
      </c>
      <c r="P109" s="162">
        <f>SUMIF('Che.-Prod'!A:A,Used_before_Trf!A109,'Che.-Prod'!H:H)</f>
        <v>0</v>
      </c>
      <c r="Q109" s="160">
        <f>SUMIF('Che.-Prod'!A:A,Used_before_Trf!A109,'Che.-Prod'!P:P)</f>
        <v>0</v>
      </c>
      <c r="R109" s="161">
        <f t="shared" si="47"/>
        <v>0</v>
      </c>
      <c r="S109" s="159">
        <f>SUMIF('Che.-Prod'!A:A,Used_before_Trf!A109,'Che.-Prod'!R:R)</f>
        <v>0</v>
      </c>
      <c r="T109" s="169">
        <f t="shared" si="48"/>
        <v>0</v>
      </c>
      <c r="U109" s="507">
        <f t="shared" si="49"/>
        <v>0</v>
      </c>
      <c r="V109" s="170">
        <f t="shared" si="50"/>
        <v>0</v>
      </c>
      <c r="W109" s="158">
        <f>SUMIF('CHE-last month'!$A:$A,Used_before_Trf!A109,'CHE-last month'!C:C)</f>
        <v>0</v>
      </c>
      <c r="X109" s="520">
        <f t="shared" si="51"/>
        <v>0</v>
      </c>
      <c r="Y109" s="162">
        <f>SUMIF('CHE-last month'!$A:$A,Used_before_Trf!A109,'CHE-last month'!E:E)</f>
        <v>0</v>
      </c>
      <c r="Z109" s="159">
        <f t="shared" si="52"/>
        <v>0</v>
      </c>
      <c r="AA109" s="520">
        <f t="shared" si="53"/>
        <v>0</v>
      </c>
      <c r="AB109" s="159">
        <f t="shared" si="54"/>
        <v>0</v>
      </c>
      <c r="AC109" s="160">
        <f>SUMIFS(BalCom!M:M,BalCom!N:N,Used_before_Trf!A109,BalCom!C:C,Used_before_Trf!$AC$1)</f>
        <v>0</v>
      </c>
      <c r="AD109" s="171">
        <f t="shared" si="55"/>
        <v>0</v>
      </c>
      <c r="AE109" s="159">
        <f>SUMIFS(BalCom!P:P,BalCom!N:N,Used_before_Trf!A109,BalCom!C:C,Used_before_Trf!$AC$1)</f>
        <v>0</v>
      </c>
      <c r="AF109" s="160">
        <f>SUMIFS(BalDis!I:I,BalDis!J:J,Used_before_Trf!A109)</f>
        <v>0</v>
      </c>
      <c r="AG109" s="171">
        <f t="shared" si="56"/>
        <v>0</v>
      </c>
      <c r="AH109" s="162">
        <f>SUMIFS(BalDis!L:L,BalDis!J:J,Used_before_Trf!A109)</f>
        <v>0</v>
      </c>
      <c r="AI109" s="159">
        <f>SUMIFS(BalDip!$N$49:$N$75,BalDip!$C$49:$C$75,Used_before_Trf!A109)+SUMIFS(BalDip!$N$134:$N$157,BalDip!$C$134:$C$157,Used_before_Trf!A109)</f>
        <v>0</v>
      </c>
      <c r="AJ109" s="171">
        <f t="shared" si="57"/>
        <v>0</v>
      </c>
      <c r="AK109" s="177">
        <f>SUMIFS(BalDip!$N$80:$N$106,BalDip!$C$80:$C$106,Used_before_Trf!A109)+SUMIFS(BalDip!$N$161:$N$184,BalDip!$C$161:$C$184,Used_before_Trf!A109)</f>
        <v>0</v>
      </c>
      <c r="AL109" s="178">
        <f t="shared" si="58"/>
        <v>0</v>
      </c>
      <c r="AM109" s="179">
        <f t="shared" si="59"/>
        <v>0</v>
      </c>
      <c r="AN109" s="440">
        <f t="shared" si="60"/>
        <v>0</v>
      </c>
      <c r="AO109" s="180">
        <f t="shared" si="62"/>
        <v>0</v>
      </c>
    </row>
    <row r="110" spans="1:41" s="108" customFormat="1" ht="15" customHeight="1">
      <c r="A110" s="135" t="s">
        <v>379</v>
      </c>
      <c r="B110" s="573" t="s">
        <v>380</v>
      </c>
      <c r="C110" s="136">
        <f>SUMIF('Che-Store'!A:A,Used_before_Trf!A110,'Che-Store'!AC:AC)+SUMIF('Che-Comp'!A:A,Used_before_Trf!A110,'Che-Comp'!AC:AC)</f>
        <v>0</v>
      </c>
      <c r="D110" s="137">
        <f t="shared" si="41"/>
        <v>0</v>
      </c>
      <c r="E110" s="138">
        <f>SUMIF('Che-Store'!A:A,Used_before_Trf!A110,'Che-Store'!AE:AE)+SUMIF('Che-Comp'!A:A,Used_before_Trf!A110,'Che-Comp'!AE:AE)</f>
        <v>0</v>
      </c>
      <c r="F110" s="136">
        <f>SUMIFS('Che-Comp'!F:F,'Che-Comp'!$A:$A,Used_before_Trf!$A110)</f>
        <v>0</v>
      </c>
      <c r="G110" s="138">
        <f>SUMIFS('Che-Comp'!G:G,'Che-Comp'!$A:$A,Used_before_Trf!$A110)</f>
        <v>0</v>
      </c>
      <c r="H110" s="137">
        <f t="shared" si="42"/>
        <v>0</v>
      </c>
      <c r="I110" s="137">
        <f t="shared" si="43"/>
        <v>0</v>
      </c>
      <c r="J110" s="137">
        <f t="shared" si="44"/>
        <v>0</v>
      </c>
      <c r="K110" s="158">
        <f>SUMIF('Che.-Prod'!A:A,Used_before_Trf!A110,'Che.-Prod'!D:D)</f>
        <v>0</v>
      </c>
      <c r="L110" s="137">
        <f t="shared" si="45"/>
        <v>0</v>
      </c>
      <c r="M110" s="159">
        <f>SUMIF('Che.-Prod'!A:A,Used_before_Trf!A110,'Che.-Prod'!F:F)</f>
        <v>0</v>
      </c>
      <c r="N110" s="160">
        <f>SUMIF('Che.-Prod'!A:A,Used_before_Trf!A110,'Che.-Prod'!G:G)</f>
        <v>0</v>
      </c>
      <c r="O110" s="161">
        <f t="shared" si="46"/>
        <v>0</v>
      </c>
      <c r="P110" s="162">
        <f>SUMIF('Che.-Prod'!A:A,Used_before_Trf!A110,'Che.-Prod'!H:H)</f>
        <v>0</v>
      </c>
      <c r="Q110" s="160">
        <f>SUMIF('Che.-Prod'!A:A,Used_before_Trf!A110,'Che.-Prod'!P:P)</f>
        <v>0</v>
      </c>
      <c r="R110" s="161">
        <f t="shared" si="47"/>
        <v>0</v>
      </c>
      <c r="S110" s="159">
        <f>SUMIF('Che.-Prod'!A:A,Used_before_Trf!A110,'Che.-Prod'!R:R)</f>
        <v>0</v>
      </c>
      <c r="T110" s="169">
        <f t="shared" si="48"/>
        <v>0</v>
      </c>
      <c r="U110" s="507">
        <f t="shared" si="49"/>
        <v>0</v>
      </c>
      <c r="V110" s="170">
        <f t="shared" si="50"/>
        <v>0</v>
      </c>
      <c r="W110" s="158">
        <f>SUMIF('CHE-last month'!$A:$A,Used_before_Trf!A110,'CHE-last month'!C:C)</f>
        <v>0</v>
      </c>
      <c r="X110" s="520">
        <f t="shared" si="51"/>
        <v>0</v>
      </c>
      <c r="Y110" s="162">
        <f>SUMIF('CHE-last month'!$A:$A,Used_before_Trf!A110,'CHE-last month'!E:E)</f>
        <v>0</v>
      </c>
      <c r="Z110" s="159">
        <f t="shared" si="52"/>
        <v>0</v>
      </c>
      <c r="AA110" s="520">
        <f t="shared" si="53"/>
        <v>0</v>
      </c>
      <c r="AB110" s="159">
        <f t="shared" si="54"/>
        <v>0</v>
      </c>
      <c r="AC110" s="160">
        <f>SUMIFS(BalCom!M:M,BalCom!N:N,Used_before_Trf!A110,BalCom!C:C,Used_before_Trf!$AC$1)</f>
        <v>0</v>
      </c>
      <c r="AD110" s="171">
        <f t="shared" si="55"/>
        <v>0</v>
      </c>
      <c r="AE110" s="159">
        <f>SUMIFS(BalCom!P:P,BalCom!N:N,Used_before_Trf!A110,BalCom!C:C,Used_before_Trf!$AC$1)</f>
        <v>0</v>
      </c>
      <c r="AF110" s="160">
        <f>SUMIFS(BalDis!I:I,BalDis!J:J,Used_before_Trf!A110)</f>
        <v>0</v>
      </c>
      <c r="AG110" s="171">
        <f t="shared" si="56"/>
        <v>0</v>
      </c>
      <c r="AH110" s="162">
        <f>SUMIFS(BalDis!L:L,BalDis!J:J,Used_before_Trf!A110)</f>
        <v>0</v>
      </c>
      <c r="AI110" s="159">
        <f>SUMIFS(BalDip!$N$49:$N$75,BalDip!$C$49:$C$75,Used_before_Trf!A110)+SUMIFS(BalDip!$N$134:$N$157,BalDip!$C$134:$C$157,Used_before_Trf!A110)</f>
        <v>0</v>
      </c>
      <c r="AJ110" s="171">
        <f t="shared" si="57"/>
        <v>0</v>
      </c>
      <c r="AK110" s="177">
        <f>SUMIFS(BalDip!$N$80:$N$106,BalDip!$C$80:$C$106,Used_before_Trf!A110)+SUMIFS(BalDip!$N$161:$N$184,BalDip!$C$161:$C$184,Used_before_Trf!A110)</f>
        <v>0</v>
      </c>
      <c r="AL110" s="178">
        <f t="shared" si="58"/>
        <v>0</v>
      </c>
      <c r="AM110" s="179">
        <f t="shared" si="59"/>
        <v>0</v>
      </c>
      <c r="AN110" s="440">
        <f t="shared" si="60"/>
        <v>0</v>
      </c>
      <c r="AO110" s="180">
        <f t="shared" si="62"/>
        <v>0</v>
      </c>
    </row>
    <row r="111" spans="1:41" s="108" customFormat="1" ht="15" customHeight="1">
      <c r="A111" s="135" t="s">
        <v>381</v>
      </c>
      <c r="B111" s="573" t="s">
        <v>382</v>
      </c>
      <c r="C111" s="136">
        <f>SUMIF('Che-Store'!A:A,Used_before_Trf!A111,'Che-Store'!AC:AC)+SUMIF('Che-Comp'!A:A,Used_before_Trf!A111,'Che-Comp'!AC:AC)</f>
        <v>0</v>
      </c>
      <c r="D111" s="137">
        <f t="shared" si="41"/>
        <v>0</v>
      </c>
      <c r="E111" s="138">
        <f>SUMIF('Che-Store'!A:A,Used_before_Trf!A111,'Che-Store'!AE:AE)+SUMIF('Che-Comp'!A:A,Used_before_Trf!A111,'Che-Comp'!AE:AE)</f>
        <v>0</v>
      </c>
      <c r="F111" s="136">
        <f>SUMIFS('Che-Comp'!F:F,'Che-Comp'!$A:$A,Used_before_Trf!$A111)</f>
        <v>0</v>
      </c>
      <c r="G111" s="138">
        <f>SUMIFS('Che-Comp'!G:G,'Che-Comp'!$A:$A,Used_before_Trf!$A111)</f>
        <v>0</v>
      </c>
      <c r="H111" s="137">
        <f t="shared" si="42"/>
        <v>0</v>
      </c>
      <c r="I111" s="137">
        <f t="shared" si="43"/>
        <v>0</v>
      </c>
      <c r="J111" s="137">
        <f t="shared" si="44"/>
        <v>0</v>
      </c>
      <c r="K111" s="158">
        <f>SUMIF('Che.-Prod'!A:A,Used_before_Trf!A111,'Che.-Prod'!D:D)</f>
        <v>0</v>
      </c>
      <c r="L111" s="137">
        <f t="shared" si="45"/>
        <v>0</v>
      </c>
      <c r="M111" s="159">
        <f>SUMIF('Che.-Prod'!A:A,Used_before_Trf!A111,'Che.-Prod'!F:F)</f>
        <v>0</v>
      </c>
      <c r="N111" s="160">
        <f>SUMIF('Che.-Prod'!A:A,Used_before_Trf!A111,'Che.-Prod'!G:G)</f>
        <v>0</v>
      </c>
      <c r="O111" s="161">
        <f t="shared" si="46"/>
        <v>0</v>
      </c>
      <c r="P111" s="162">
        <f>SUMIF('Che.-Prod'!A:A,Used_before_Trf!A111,'Che.-Prod'!H:H)</f>
        <v>0</v>
      </c>
      <c r="Q111" s="160">
        <f>SUMIF('Che.-Prod'!A:A,Used_before_Trf!A111,'Che.-Prod'!P:P)</f>
        <v>0</v>
      </c>
      <c r="R111" s="161">
        <f t="shared" si="47"/>
        <v>0</v>
      </c>
      <c r="S111" s="159">
        <f>SUMIF('Che.-Prod'!A:A,Used_before_Trf!A111,'Che.-Prod'!R:R)</f>
        <v>0</v>
      </c>
      <c r="T111" s="169">
        <f t="shared" si="48"/>
        <v>0</v>
      </c>
      <c r="U111" s="507">
        <f t="shared" si="49"/>
        <v>0</v>
      </c>
      <c r="V111" s="170">
        <f t="shared" si="50"/>
        <v>0</v>
      </c>
      <c r="W111" s="158">
        <f>SUMIF('CHE-last month'!$A:$A,Used_before_Trf!A111,'CHE-last month'!C:C)</f>
        <v>0</v>
      </c>
      <c r="X111" s="520">
        <f t="shared" si="51"/>
        <v>0</v>
      </c>
      <c r="Y111" s="162">
        <f>SUMIF('CHE-last month'!$A:$A,Used_before_Trf!A111,'CHE-last month'!E:E)</f>
        <v>0</v>
      </c>
      <c r="Z111" s="159">
        <f t="shared" si="52"/>
        <v>0</v>
      </c>
      <c r="AA111" s="520">
        <f t="shared" si="53"/>
        <v>0</v>
      </c>
      <c r="AB111" s="159">
        <f t="shared" si="54"/>
        <v>0</v>
      </c>
      <c r="AC111" s="160">
        <f>SUMIFS(BalCom!M:M,BalCom!N:N,Used_before_Trf!A111,BalCom!C:C,Used_before_Trf!$AC$1)</f>
        <v>0</v>
      </c>
      <c r="AD111" s="171">
        <f t="shared" si="55"/>
        <v>0</v>
      </c>
      <c r="AE111" s="159">
        <f>SUMIFS(BalCom!P:P,BalCom!N:N,Used_before_Trf!A111,BalCom!C:C,Used_before_Trf!$AC$1)</f>
        <v>0</v>
      </c>
      <c r="AF111" s="160">
        <f>SUMIFS(BalDis!I:I,BalDis!J:J,Used_before_Trf!A111)</f>
        <v>0</v>
      </c>
      <c r="AG111" s="171">
        <f t="shared" si="56"/>
        <v>0</v>
      </c>
      <c r="AH111" s="162">
        <f>SUMIFS(BalDis!L:L,BalDis!J:J,Used_before_Trf!A111)</f>
        <v>0</v>
      </c>
      <c r="AI111" s="159">
        <f>SUMIFS(BalDip!$N$49:$N$75,BalDip!$C$49:$C$75,Used_before_Trf!A111)+SUMIFS(BalDip!$N$134:$N$157,BalDip!$C$134:$C$157,Used_before_Trf!A111)</f>
        <v>0</v>
      </c>
      <c r="AJ111" s="171">
        <f t="shared" si="57"/>
        <v>0</v>
      </c>
      <c r="AK111" s="177">
        <f>SUMIFS(BalDip!$N$80:$N$106,BalDip!$C$80:$C$106,Used_before_Trf!A111)+SUMIFS(BalDip!$N$161:$N$184,BalDip!$C$161:$C$184,Used_before_Trf!A111)</f>
        <v>0</v>
      </c>
      <c r="AL111" s="178">
        <f t="shared" si="58"/>
        <v>0</v>
      </c>
      <c r="AM111" s="179">
        <f t="shared" si="59"/>
        <v>0</v>
      </c>
      <c r="AN111" s="440">
        <f t="shared" si="60"/>
        <v>0</v>
      </c>
      <c r="AO111" s="180">
        <f t="shared" si="62"/>
        <v>0</v>
      </c>
    </row>
    <row r="112" spans="1:41" s="108" customFormat="1" ht="15" customHeight="1">
      <c r="A112" s="135" t="s">
        <v>383</v>
      </c>
      <c r="B112" s="573" t="s">
        <v>384</v>
      </c>
      <c r="C112" s="136">
        <f>SUMIF('Che-Store'!A:A,Used_before_Trf!A112,'Che-Store'!AC:AC)+SUMIF('Che-Comp'!A:A,Used_before_Trf!A112,'Che-Comp'!AC:AC)</f>
        <v>0</v>
      </c>
      <c r="D112" s="137">
        <f t="shared" si="41"/>
        <v>0</v>
      </c>
      <c r="E112" s="138">
        <f>SUMIF('Che-Store'!A:A,Used_before_Trf!A112,'Che-Store'!AE:AE)+SUMIF('Che-Comp'!A:A,Used_before_Trf!A112,'Che-Comp'!AE:AE)</f>
        <v>0</v>
      </c>
      <c r="F112" s="136">
        <f>SUMIFS('Che-Comp'!F:F,'Che-Comp'!$A:$A,Used_before_Trf!$A112)</f>
        <v>0</v>
      </c>
      <c r="G112" s="138">
        <f>SUMIFS('Che-Comp'!G:G,'Che-Comp'!$A:$A,Used_before_Trf!$A112)</f>
        <v>0</v>
      </c>
      <c r="H112" s="137">
        <f t="shared" si="42"/>
        <v>0</v>
      </c>
      <c r="I112" s="137">
        <f t="shared" si="43"/>
        <v>0</v>
      </c>
      <c r="J112" s="137">
        <f t="shared" si="44"/>
        <v>0</v>
      </c>
      <c r="K112" s="158">
        <f>SUMIF('Che.-Prod'!A:A,Used_before_Trf!A112,'Che.-Prod'!D:D)</f>
        <v>0</v>
      </c>
      <c r="L112" s="137">
        <f t="shared" si="45"/>
        <v>0</v>
      </c>
      <c r="M112" s="159">
        <f>SUMIF('Che.-Prod'!A:A,Used_before_Trf!A112,'Che.-Prod'!F:F)</f>
        <v>0</v>
      </c>
      <c r="N112" s="160">
        <f>SUMIF('Che.-Prod'!A:A,Used_before_Trf!A112,'Che.-Prod'!G:G)</f>
        <v>0</v>
      </c>
      <c r="O112" s="161">
        <f t="shared" si="46"/>
        <v>0</v>
      </c>
      <c r="P112" s="162">
        <f>SUMIF('Che.-Prod'!A:A,Used_before_Trf!A112,'Che.-Prod'!H:H)</f>
        <v>0</v>
      </c>
      <c r="Q112" s="160">
        <f>SUMIF('Che.-Prod'!A:A,Used_before_Trf!A112,'Che.-Prod'!P:P)</f>
        <v>0</v>
      </c>
      <c r="R112" s="161">
        <f t="shared" si="47"/>
        <v>0</v>
      </c>
      <c r="S112" s="159">
        <f>SUMIF('Che.-Prod'!A:A,Used_before_Trf!A112,'Che.-Prod'!R:R)</f>
        <v>0</v>
      </c>
      <c r="T112" s="169">
        <f t="shared" si="48"/>
        <v>0</v>
      </c>
      <c r="U112" s="507">
        <f t="shared" si="49"/>
        <v>0</v>
      </c>
      <c r="V112" s="170">
        <f t="shared" si="50"/>
        <v>0</v>
      </c>
      <c r="W112" s="158">
        <f>SUMIF('CHE-last month'!$A:$A,Used_before_Trf!A112,'CHE-last month'!C:C)</f>
        <v>0</v>
      </c>
      <c r="X112" s="520">
        <f t="shared" si="51"/>
        <v>0</v>
      </c>
      <c r="Y112" s="162">
        <f>SUMIF('CHE-last month'!$A:$A,Used_before_Trf!A112,'CHE-last month'!E:E)</f>
        <v>0</v>
      </c>
      <c r="Z112" s="159">
        <f t="shared" si="52"/>
        <v>0</v>
      </c>
      <c r="AA112" s="520">
        <f t="shared" si="53"/>
        <v>0</v>
      </c>
      <c r="AB112" s="159">
        <f t="shared" si="54"/>
        <v>0</v>
      </c>
      <c r="AC112" s="160">
        <f>SUMIFS(BalCom!M:M,BalCom!N:N,Used_before_Trf!A112,BalCom!C:C,Used_before_Trf!$AC$1)</f>
        <v>0</v>
      </c>
      <c r="AD112" s="171">
        <f t="shared" si="55"/>
        <v>0</v>
      </c>
      <c r="AE112" s="159">
        <f>SUMIFS(BalCom!P:P,BalCom!N:N,Used_before_Trf!A112,BalCom!C:C,Used_before_Trf!$AC$1)</f>
        <v>0</v>
      </c>
      <c r="AF112" s="160">
        <f>SUMIFS(BalDis!I:I,BalDis!J:J,Used_before_Trf!A112)</f>
        <v>0</v>
      </c>
      <c r="AG112" s="171">
        <f t="shared" si="56"/>
        <v>0</v>
      </c>
      <c r="AH112" s="162">
        <f>SUMIFS(BalDis!L:L,BalDis!J:J,Used_before_Trf!A112)</f>
        <v>0</v>
      </c>
      <c r="AI112" s="159">
        <f>SUMIFS(BalDip!$N$49:$N$75,BalDip!$C$49:$C$75,Used_before_Trf!A112)+SUMIFS(BalDip!$N$134:$N$157,BalDip!$C$134:$C$157,Used_before_Trf!A112)</f>
        <v>0</v>
      </c>
      <c r="AJ112" s="171">
        <f t="shared" si="57"/>
        <v>0</v>
      </c>
      <c r="AK112" s="177">
        <f>SUMIFS(BalDip!$N$80:$N$106,BalDip!$C$80:$C$106,Used_before_Trf!A112)+SUMIFS(BalDip!$N$161:$N$184,BalDip!$C$161:$C$184,Used_before_Trf!A112)</f>
        <v>0</v>
      </c>
      <c r="AL112" s="178">
        <f t="shared" si="58"/>
        <v>0</v>
      </c>
      <c r="AM112" s="179">
        <f t="shared" si="59"/>
        <v>0</v>
      </c>
      <c r="AN112" s="440">
        <f t="shared" si="60"/>
        <v>0</v>
      </c>
      <c r="AO112" s="180">
        <f t="shared" si="62"/>
        <v>0</v>
      </c>
    </row>
    <row r="113" spans="1:41" s="108" customFormat="1" ht="15" customHeight="1">
      <c r="A113" s="135" t="s">
        <v>385</v>
      </c>
      <c r="B113" s="573" t="s">
        <v>386</v>
      </c>
      <c r="C113" s="136">
        <f>SUMIF('Che-Store'!A:A,Used_before_Trf!A113,'Che-Store'!AC:AC)+SUMIF('Che-Comp'!A:A,Used_before_Trf!A113,'Che-Comp'!AC:AC)</f>
        <v>0</v>
      </c>
      <c r="D113" s="137">
        <f t="shared" si="41"/>
        <v>0</v>
      </c>
      <c r="E113" s="138">
        <f>SUMIF('Che-Store'!A:A,Used_before_Trf!A113,'Che-Store'!AE:AE)+SUMIF('Che-Comp'!A:A,Used_before_Trf!A113,'Che-Comp'!AE:AE)</f>
        <v>0</v>
      </c>
      <c r="F113" s="136">
        <f>SUMIFS('Che-Comp'!F:F,'Che-Comp'!$A:$A,Used_before_Trf!$A113)</f>
        <v>0</v>
      </c>
      <c r="G113" s="138">
        <f>SUMIFS('Che-Comp'!G:G,'Che-Comp'!$A:$A,Used_before_Trf!$A113)</f>
        <v>0</v>
      </c>
      <c r="H113" s="137">
        <f t="shared" si="42"/>
        <v>0</v>
      </c>
      <c r="I113" s="137">
        <f t="shared" si="43"/>
        <v>0</v>
      </c>
      <c r="J113" s="137">
        <f t="shared" si="44"/>
        <v>0</v>
      </c>
      <c r="K113" s="158">
        <f>SUMIF('Che.-Prod'!A:A,Used_before_Trf!A113,'Che.-Prod'!D:D)</f>
        <v>0</v>
      </c>
      <c r="L113" s="137">
        <f t="shared" si="45"/>
        <v>0</v>
      </c>
      <c r="M113" s="159">
        <f>SUMIF('Che.-Prod'!A:A,Used_before_Trf!A113,'Che.-Prod'!F:F)</f>
        <v>0</v>
      </c>
      <c r="N113" s="160">
        <f>SUMIF('Che.-Prod'!A:A,Used_before_Trf!A113,'Che.-Prod'!G:G)</f>
        <v>0</v>
      </c>
      <c r="O113" s="161">
        <f t="shared" si="46"/>
        <v>0</v>
      </c>
      <c r="P113" s="162">
        <f>SUMIF('Che.-Prod'!A:A,Used_before_Trf!A113,'Che.-Prod'!H:H)</f>
        <v>0</v>
      </c>
      <c r="Q113" s="160">
        <f>SUMIF('Che.-Prod'!A:A,Used_before_Trf!A113,'Che.-Prod'!P:P)</f>
        <v>0</v>
      </c>
      <c r="R113" s="161">
        <f t="shared" si="47"/>
        <v>0</v>
      </c>
      <c r="S113" s="159">
        <f>SUMIF('Che.-Prod'!A:A,Used_before_Trf!A113,'Che.-Prod'!R:R)</f>
        <v>0</v>
      </c>
      <c r="T113" s="169">
        <f t="shared" si="48"/>
        <v>0</v>
      </c>
      <c r="U113" s="507">
        <f t="shared" si="49"/>
        <v>0</v>
      </c>
      <c r="V113" s="170">
        <f t="shared" si="50"/>
        <v>0</v>
      </c>
      <c r="W113" s="158">
        <f>SUMIF('CHE-last month'!$A:$A,Used_before_Trf!A113,'CHE-last month'!C:C)</f>
        <v>0</v>
      </c>
      <c r="X113" s="520">
        <f t="shared" si="51"/>
        <v>0</v>
      </c>
      <c r="Y113" s="162">
        <f>SUMIF('CHE-last month'!$A:$A,Used_before_Trf!A113,'CHE-last month'!E:E)</f>
        <v>0</v>
      </c>
      <c r="Z113" s="159">
        <f t="shared" si="52"/>
        <v>0</v>
      </c>
      <c r="AA113" s="520">
        <f t="shared" si="53"/>
        <v>0</v>
      </c>
      <c r="AB113" s="159">
        <f t="shared" si="54"/>
        <v>0</v>
      </c>
      <c r="AC113" s="160">
        <f>SUMIFS(BalCom!M:M,BalCom!N:N,Used_before_Trf!A113,BalCom!C:C,Used_before_Trf!$AC$1)</f>
        <v>0</v>
      </c>
      <c r="AD113" s="171">
        <f t="shared" si="55"/>
        <v>0</v>
      </c>
      <c r="AE113" s="159">
        <f>SUMIFS(BalCom!P:P,BalCom!N:N,Used_before_Trf!A113,BalCom!C:C,Used_before_Trf!$AC$1)</f>
        <v>0</v>
      </c>
      <c r="AF113" s="160">
        <f>SUMIFS(BalDis!I:I,BalDis!J:J,Used_before_Trf!A113)</f>
        <v>0</v>
      </c>
      <c r="AG113" s="171">
        <f t="shared" si="56"/>
        <v>0</v>
      </c>
      <c r="AH113" s="162">
        <f>SUMIFS(BalDis!L:L,BalDis!J:J,Used_before_Trf!A113)</f>
        <v>0</v>
      </c>
      <c r="AI113" s="159">
        <f>SUMIFS(BalDip!$N$49:$N$75,BalDip!$C$49:$C$75,Used_before_Trf!A113)+SUMIFS(BalDip!$N$134:$N$157,BalDip!$C$134:$C$157,Used_before_Trf!A113)</f>
        <v>0</v>
      </c>
      <c r="AJ113" s="171">
        <f t="shared" si="57"/>
        <v>0</v>
      </c>
      <c r="AK113" s="177">
        <f>SUMIFS(BalDip!$N$80:$N$106,BalDip!$C$80:$C$106,Used_before_Trf!A113)+SUMIFS(BalDip!$N$161:$N$184,BalDip!$C$161:$C$184,Used_before_Trf!A113)</f>
        <v>0</v>
      </c>
      <c r="AL113" s="178">
        <f t="shared" si="58"/>
        <v>0</v>
      </c>
      <c r="AM113" s="179">
        <f t="shared" si="59"/>
        <v>0</v>
      </c>
      <c r="AN113" s="440">
        <f t="shared" si="60"/>
        <v>0</v>
      </c>
      <c r="AO113" s="180">
        <f t="shared" si="62"/>
        <v>0</v>
      </c>
    </row>
    <row r="114" spans="1:41" s="108" customFormat="1" ht="15" customHeight="1">
      <c r="A114" s="135" t="s">
        <v>387</v>
      </c>
      <c r="B114" s="573" t="s">
        <v>388</v>
      </c>
      <c r="C114" s="136">
        <f>SUMIF('Che-Store'!A:A,Used_before_Trf!A114,'Che-Store'!AC:AC)+SUMIF('Che-Comp'!A:A,Used_before_Trf!A114,'Che-Comp'!AC:AC)</f>
        <v>0</v>
      </c>
      <c r="D114" s="137">
        <f t="shared" si="41"/>
        <v>0</v>
      </c>
      <c r="E114" s="138">
        <f>SUMIF('Che-Store'!A:A,Used_before_Trf!A114,'Che-Store'!AE:AE)+SUMIF('Che-Comp'!A:A,Used_before_Trf!A114,'Che-Comp'!AE:AE)</f>
        <v>0</v>
      </c>
      <c r="F114" s="136">
        <f>SUMIFS('Che-Comp'!F:F,'Che-Comp'!$A:$A,Used_before_Trf!$A114)</f>
        <v>0</v>
      </c>
      <c r="G114" s="138">
        <f>SUMIFS('Che-Comp'!G:G,'Che-Comp'!$A:$A,Used_before_Trf!$A114)</f>
        <v>0</v>
      </c>
      <c r="H114" s="137">
        <f t="shared" si="42"/>
        <v>0</v>
      </c>
      <c r="I114" s="137">
        <f t="shared" si="43"/>
        <v>0</v>
      </c>
      <c r="J114" s="137">
        <f t="shared" si="44"/>
        <v>0</v>
      </c>
      <c r="K114" s="158">
        <f>SUMIF('Che.-Prod'!A:A,Used_before_Trf!A114,'Che.-Prod'!D:D)</f>
        <v>0</v>
      </c>
      <c r="L114" s="137">
        <f t="shared" si="45"/>
        <v>0</v>
      </c>
      <c r="M114" s="159">
        <f>SUMIF('Che.-Prod'!A:A,Used_before_Trf!A114,'Che.-Prod'!F:F)</f>
        <v>0</v>
      </c>
      <c r="N114" s="160">
        <f>SUMIF('Che.-Prod'!A:A,Used_before_Trf!A114,'Che.-Prod'!G:G)</f>
        <v>0</v>
      </c>
      <c r="O114" s="161">
        <f t="shared" si="46"/>
        <v>0</v>
      </c>
      <c r="P114" s="162">
        <f>SUMIF('Che.-Prod'!A:A,Used_before_Trf!A114,'Che.-Prod'!H:H)</f>
        <v>0</v>
      </c>
      <c r="Q114" s="160">
        <f>SUMIF('Che.-Prod'!A:A,Used_before_Trf!A114,'Che.-Prod'!P:P)</f>
        <v>0</v>
      </c>
      <c r="R114" s="161">
        <f t="shared" si="47"/>
        <v>0</v>
      </c>
      <c r="S114" s="159">
        <f>SUMIF('Che.-Prod'!A:A,Used_before_Trf!A114,'Che.-Prod'!R:R)</f>
        <v>0</v>
      </c>
      <c r="T114" s="169">
        <f t="shared" si="48"/>
        <v>0</v>
      </c>
      <c r="U114" s="507">
        <f t="shared" si="49"/>
        <v>0</v>
      </c>
      <c r="V114" s="170">
        <f t="shared" si="50"/>
        <v>0</v>
      </c>
      <c r="W114" s="158">
        <f>SUMIF('CHE-last month'!$A:$A,Used_before_Trf!A114,'CHE-last month'!C:C)</f>
        <v>0</v>
      </c>
      <c r="X114" s="520">
        <f t="shared" si="51"/>
        <v>0</v>
      </c>
      <c r="Y114" s="162">
        <f>SUMIF('CHE-last month'!$A:$A,Used_before_Trf!A114,'CHE-last month'!E:E)</f>
        <v>0</v>
      </c>
      <c r="Z114" s="159">
        <f t="shared" si="52"/>
        <v>0</v>
      </c>
      <c r="AA114" s="520">
        <f t="shared" si="53"/>
        <v>0</v>
      </c>
      <c r="AB114" s="159">
        <f t="shared" si="54"/>
        <v>0</v>
      </c>
      <c r="AC114" s="160">
        <f>SUMIFS(BalCom!M:M,BalCom!N:N,Used_before_Trf!A114,BalCom!C:C,Used_before_Trf!$AC$1)</f>
        <v>0</v>
      </c>
      <c r="AD114" s="171">
        <f t="shared" si="55"/>
        <v>0</v>
      </c>
      <c r="AE114" s="159">
        <f>SUMIFS(BalCom!P:P,BalCom!N:N,Used_before_Trf!A114,BalCom!C:C,Used_before_Trf!$AC$1)</f>
        <v>0</v>
      </c>
      <c r="AF114" s="160">
        <f>SUMIFS(BalDis!I:I,BalDis!J:J,Used_before_Trf!A114)</f>
        <v>0</v>
      </c>
      <c r="AG114" s="171">
        <f t="shared" si="56"/>
        <v>0</v>
      </c>
      <c r="AH114" s="162">
        <f>SUMIFS(BalDis!L:L,BalDis!J:J,Used_before_Trf!A114)</f>
        <v>0</v>
      </c>
      <c r="AI114" s="159">
        <f>SUMIFS(BalDip!$N$49:$N$75,BalDip!$C$49:$C$75,Used_before_Trf!A114)+SUMIFS(BalDip!$N$134:$N$157,BalDip!$C$134:$C$157,Used_before_Trf!A114)</f>
        <v>0</v>
      </c>
      <c r="AJ114" s="171">
        <f t="shared" si="57"/>
        <v>0</v>
      </c>
      <c r="AK114" s="177">
        <f>SUMIFS(BalDip!$N$80:$N$106,BalDip!$C$80:$C$106,Used_before_Trf!A114)+SUMIFS(BalDip!$N$161:$N$184,BalDip!$C$161:$C$184,Used_before_Trf!A114)</f>
        <v>0</v>
      </c>
      <c r="AL114" s="178">
        <f t="shared" si="58"/>
        <v>0</v>
      </c>
      <c r="AM114" s="179">
        <f t="shared" si="59"/>
        <v>0</v>
      </c>
      <c r="AN114" s="440">
        <f t="shared" si="60"/>
        <v>0</v>
      </c>
      <c r="AO114" s="180">
        <f t="shared" si="62"/>
        <v>0</v>
      </c>
    </row>
    <row r="115" spans="1:41" s="108" customFormat="1" ht="15" customHeight="1">
      <c r="A115" s="135" t="s">
        <v>389</v>
      </c>
      <c r="B115" s="573" t="s">
        <v>390</v>
      </c>
      <c r="C115" s="136">
        <f>SUMIF('Che-Store'!A:A,Used_before_Trf!A115,'Che-Store'!AC:AC)+SUMIF('Che-Comp'!A:A,Used_before_Trf!A115,'Che-Comp'!AC:AC)</f>
        <v>0</v>
      </c>
      <c r="D115" s="137">
        <f t="shared" si="41"/>
        <v>0</v>
      </c>
      <c r="E115" s="138">
        <f>SUMIF('Che-Store'!A:A,Used_before_Trf!A115,'Che-Store'!AE:AE)+SUMIF('Che-Comp'!A:A,Used_before_Trf!A115,'Che-Comp'!AE:AE)</f>
        <v>0</v>
      </c>
      <c r="F115" s="136">
        <f>SUMIFS('Che-Comp'!F:F,'Che-Comp'!$A:$A,Used_before_Trf!$A115)</f>
        <v>0</v>
      </c>
      <c r="G115" s="138">
        <f>SUMIFS('Che-Comp'!G:G,'Che-Comp'!$A:$A,Used_before_Trf!$A115)</f>
        <v>0</v>
      </c>
      <c r="H115" s="137">
        <f t="shared" si="42"/>
        <v>0</v>
      </c>
      <c r="I115" s="137">
        <f t="shared" si="43"/>
        <v>0</v>
      </c>
      <c r="J115" s="137">
        <f t="shared" si="44"/>
        <v>0</v>
      </c>
      <c r="K115" s="158">
        <f>SUMIF('Che.-Prod'!A:A,Used_before_Trf!A115,'Che.-Prod'!D:D)</f>
        <v>0</v>
      </c>
      <c r="L115" s="137">
        <f t="shared" si="45"/>
        <v>0</v>
      </c>
      <c r="M115" s="159">
        <f>SUMIF('Che.-Prod'!A:A,Used_before_Trf!A115,'Che.-Prod'!F:F)</f>
        <v>0</v>
      </c>
      <c r="N115" s="160">
        <f>SUMIF('Che.-Prod'!A:A,Used_before_Trf!A115,'Che.-Prod'!G:G)</f>
        <v>0</v>
      </c>
      <c r="O115" s="161">
        <f t="shared" si="46"/>
        <v>0</v>
      </c>
      <c r="P115" s="162">
        <f>SUMIF('Che.-Prod'!A:A,Used_before_Trf!A115,'Che.-Prod'!H:H)</f>
        <v>0</v>
      </c>
      <c r="Q115" s="160">
        <f>SUMIF('Che.-Prod'!A:A,Used_before_Trf!A115,'Che.-Prod'!P:P)</f>
        <v>0</v>
      </c>
      <c r="R115" s="161">
        <f t="shared" si="47"/>
        <v>0</v>
      </c>
      <c r="S115" s="159">
        <f>SUMIF('Che.-Prod'!A:A,Used_before_Trf!A115,'Che.-Prod'!R:R)</f>
        <v>0</v>
      </c>
      <c r="T115" s="169">
        <f t="shared" si="48"/>
        <v>0</v>
      </c>
      <c r="U115" s="507">
        <f t="shared" si="49"/>
        <v>0</v>
      </c>
      <c r="V115" s="170">
        <f t="shared" si="50"/>
        <v>0</v>
      </c>
      <c r="W115" s="158">
        <f>SUMIF('CHE-last month'!$A:$A,Used_before_Trf!A115,'CHE-last month'!C:C)</f>
        <v>0</v>
      </c>
      <c r="X115" s="520">
        <f t="shared" si="51"/>
        <v>0</v>
      </c>
      <c r="Y115" s="162">
        <f>SUMIF('CHE-last month'!$A:$A,Used_before_Trf!A115,'CHE-last month'!E:E)</f>
        <v>0</v>
      </c>
      <c r="Z115" s="159">
        <f t="shared" si="52"/>
        <v>0</v>
      </c>
      <c r="AA115" s="520">
        <f t="shared" si="53"/>
        <v>0</v>
      </c>
      <c r="AB115" s="159">
        <f t="shared" si="54"/>
        <v>0</v>
      </c>
      <c r="AC115" s="160">
        <f>SUMIFS(BalCom!M:M,BalCom!N:N,Used_before_Trf!A115,BalCom!C:C,Used_before_Trf!$AC$1)</f>
        <v>0</v>
      </c>
      <c r="AD115" s="171">
        <f t="shared" si="55"/>
        <v>0</v>
      </c>
      <c r="AE115" s="159">
        <f>SUMIFS(BalCom!P:P,BalCom!N:N,Used_before_Trf!A115,BalCom!C:C,Used_before_Trf!$AC$1)</f>
        <v>0</v>
      </c>
      <c r="AF115" s="160">
        <f>SUMIFS(BalDis!I:I,BalDis!J:J,Used_before_Trf!A115)</f>
        <v>0</v>
      </c>
      <c r="AG115" s="171">
        <f t="shared" si="56"/>
        <v>0</v>
      </c>
      <c r="AH115" s="162">
        <f>SUMIFS(BalDis!L:L,BalDis!J:J,Used_before_Trf!A115)</f>
        <v>0</v>
      </c>
      <c r="AI115" s="159">
        <f>SUMIFS(BalDip!$N$49:$N$75,BalDip!$C$49:$C$75,Used_before_Trf!A115)+SUMIFS(BalDip!$N$134:$N$157,BalDip!$C$134:$C$157,Used_before_Trf!A115)</f>
        <v>0</v>
      </c>
      <c r="AJ115" s="171">
        <f t="shared" si="57"/>
        <v>0</v>
      </c>
      <c r="AK115" s="177">
        <f>SUMIFS(BalDip!$N$80:$N$106,BalDip!$C$80:$C$106,Used_before_Trf!A115)+SUMIFS(BalDip!$N$161:$N$184,BalDip!$C$161:$C$184,Used_before_Trf!A115)</f>
        <v>0</v>
      </c>
      <c r="AL115" s="178">
        <f t="shared" si="58"/>
        <v>0</v>
      </c>
      <c r="AM115" s="179">
        <f t="shared" si="59"/>
        <v>0</v>
      </c>
      <c r="AN115" s="440">
        <f t="shared" si="60"/>
        <v>0</v>
      </c>
      <c r="AO115" s="180">
        <f t="shared" si="62"/>
        <v>0</v>
      </c>
    </row>
    <row r="116" spans="1:41" s="108" customFormat="1" ht="15" customHeight="1">
      <c r="A116" s="135" t="s">
        <v>391</v>
      </c>
      <c r="B116" s="573" t="s">
        <v>392</v>
      </c>
      <c r="C116" s="136">
        <f>SUMIF('Che-Store'!A:A,Used_before_Trf!A116,'Che-Store'!AC:AC)+SUMIF('Che-Comp'!A:A,Used_before_Trf!A116,'Che-Comp'!AC:AC)</f>
        <v>0</v>
      </c>
      <c r="D116" s="137">
        <f t="shared" si="41"/>
        <v>0</v>
      </c>
      <c r="E116" s="138">
        <f>SUMIF('Che-Store'!A:A,Used_before_Trf!A116,'Che-Store'!AE:AE)+SUMIF('Che-Comp'!A:A,Used_before_Trf!A116,'Che-Comp'!AE:AE)</f>
        <v>0</v>
      </c>
      <c r="F116" s="136">
        <f>SUMIFS('Che-Comp'!F:F,'Che-Comp'!$A:$A,Used_before_Trf!$A116)</f>
        <v>0</v>
      </c>
      <c r="G116" s="138">
        <f>SUMIFS('Che-Comp'!G:G,'Che-Comp'!$A:$A,Used_before_Trf!$A116)</f>
        <v>0</v>
      </c>
      <c r="H116" s="137">
        <f t="shared" si="42"/>
        <v>0</v>
      </c>
      <c r="I116" s="137">
        <f t="shared" si="43"/>
        <v>0</v>
      </c>
      <c r="J116" s="137">
        <f t="shared" si="44"/>
        <v>0</v>
      </c>
      <c r="K116" s="158">
        <f>SUMIF('Che.-Prod'!A:A,Used_before_Trf!A116,'Che.-Prod'!D:D)</f>
        <v>0</v>
      </c>
      <c r="L116" s="137">
        <f t="shared" si="45"/>
        <v>0</v>
      </c>
      <c r="M116" s="159">
        <f>SUMIF('Che.-Prod'!A:A,Used_before_Trf!A116,'Che.-Prod'!F:F)</f>
        <v>0</v>
      </c>
      <c r="N116" s="160">
        <f>SUMIF('Che.-Prod'!A:A,Used_before_Trf!A116,'Che.-Prod'!G:G)</f>
        <v>0</v>
      </c>
      <c r="O116" s="161">
        <f t="shared" si="46"/>
        <v>0</v>
      </c>
      <c r="P116" s="162">
        <f>SUMIF('Che.-Prod'!A:A,Used_before_Trf!A116,'Che.-Prod'!H:H)</f>
        <v>0</v>
      </c>
      <c r="Q116" s="160">
        <f>SUMIF('Che.-Prod'!A:A,Used_before_Trf!A116,'Che.-Prod'!P:P)</f>
        <v>0</v>
      </c>
      <c r="R116" s="161">
        <f t="shared" si="47"/>
        <v>0</v>
      </c>
      <c r="S116" s="159">
        <f>SUMIF('Che.-Prod'!A:A,Used_before_Trf!A116,'Che.-Prod'!R:R)</f>
        <v>0</v>
      </c>
      <c r="T116" s="169">
        <f t="shared" si="48"/>
        <v>0</v>
      </c>
      <c r="U116" s="507">
        <f t="shared" si="49"/>
        <v>0</v>
      </c>
      <c r="V116" s="170">
        <f t="shared" si="50"/>
        <v>0</v>
      </c>
      <c r="W116" s="158">
        <f>SUMIF('CHE-last month'!$A:$A,Used_before_Trf!A116,'CHE-last month'!C:C)</f>
        <v>0</v>
      </c>
      <c r="X116" s="520">
        <f t="shared" si="51"/>
        <v>0</v>
      </c>
      <c r="Y116" s="162">
        <f>SUMIF('CHE-last month'!$A:$A,Used_before_Trf!A116,'CHE-last month'!E:E)</f>
        <v>0</v>
      </c>
      <c r="Z116" s="159">
        <f t="shared" si="52"/>
        <v>0</v>
      </c>
      <c r="AA116" s="520">
        <f t="shared" si="53"/>
        <v>0</v>
      </c>
      <c r="AB116" s="159">
        <f t="shared" si="54"/>
        <v>0</v>
      </c>
      <c r="AC116" s="160">
        <f>SUMIFS(BalCom!M:M,BalCom!N:N,Used_before_Trf!A116,BalCom!C:C,Used_before_Trf!$AC$1)</f>
        <v>0</v>
      </c>
      <c r="AD116" s="171">
        <f t="shared" si="55"/>
        <v>0</v>
      </c>
      <c r="AE116" s="159">
        <f>SUMIFS(BalCom!P:P,BalCom!N:N,Used_before_Trf!A116,BalCom!C:C,Used_before_Trf!$AC$1)</f>
        <v>0</v>
      </c>
      <c r="AF116" s="160">
        <f>SUMIFS(BalDis!I:I,BalDis!J:J,Used_before_Trf!A116)</f>
        <v>0</v>
      </c>
      <c r="AG116" s="171">
        <f t="shared" si="56"/>
        <v>0</v>
      </c>
      <c r="AH116" s="162">
        <f>SUMIFS(BalDis!L:L,BalDis!J:J,Used_before_Trf!A116)</f>
        <v>0</v>
      </c>
      <c r="AI116" s="159">
        <f>SUMIFS(BalDip!$N$49:$N$75,BalDip!$C$49:$C$75,Used_before_Trf!A116)+SUMIFS(BalDip!$N$134:$N$157,BalDip!$C$134:$C$157,Used_before_Trf!A116)</f>
        <v>0</v>
      </c>
      <c r="AJ116" s="171">
        <f t="shared" si="57"/>
        <v>0</v>
      </c>
      <c r="AK116" s="177">
        <f>SUMIFS(BalDip!$N$80:$N$106,BalDip!$C$80:$C$106,Used_before_Trf!A116)+SUMIFS(BalDip!$N$161:$N$184,BalDip!$C$161:$C$184,Used_before_Trf!A116)</f>
        <v>0</v>
      </c>
      <c r="AL116" s="178">
        <f t="shared" si="58"/>
        <v>0</v>
      </c>
      <c r="AM116" s="179">
        <f t="shared" si="59"/>
        <v>0</v>
      </c>
      <c r="AN116" s="440">
        <f t="shared" si="60"/>
        <v>0</v>
      </c>
      <c r="AO116" s="180">
        <f t="shared" si="62"/>
        <v>0</v>
      </c>
    </row>
    <row r="117" spans="1:41" s="108" customFormat="1" ht="15" customHeight="1">
      <c r="A117" s="135" t="s">
        <v>393</v>
      </c>
      <c r="B117" s="573" t="s">
        <v>394</v>
      </c>
      <c r="C117" s="136">
        <f>SUMIF('Che-Store'!A:A,Used_before_Trf!A117,'Che-Store'!AC:AC)+SUMIF('Che-Comp'!A:A,Used_before_Trf!A117,'Che-Comp'!AC:AC)</f>
        <v>0</v>
      </c>
      <c r="D117" s="137">
        <f t="shared" si="41"/>
        <v>0</v>
      </c>
      <c r="E117" s="138">
        <f>SUMIF('Che-Store'!A:A,Used_before_Trf!A117,'Che-Store'!AE:AE)+SUMIF('Che-Comp'!A:A,Used_before_Trf!A117,'Che-Comp'!AE:AE)</f>
        <v>0</v>
      </c>
      <c r="F117" s="136">
        <f>SUMIFS('Che-Comp'!F:F,'Che-Comp'!$A:$A,Used_before_Trf!$A117)</f>
        <v>0</v>
      </c>
      <c r="G117" s="138">
        <f>SUMIFS('Che-Comp'!G:G,'Che-Comp'!$A:$A,Used_before_Trf!$A117)</f>
        <v>0</v>
      </c>
      <c r="H117" s="137">
        <f t="shared" si="42"/>
        <v>0</v>
      </c>
      <c r="I117" s="137">
        <f t="shared" si="43"/>
        <v>0</v>
      </c>
      <c r="J117" s="137">
        <f t="shared" si="44"/>
        <v>0</v>
      </c>
      <c r="K117" s="158">
        <f>SUMIF('Che.-Prod'!A:A,Used_before_Trf!A117,'Che.-Prod'!D:D)</f>
        <v>0</v>
      </c>
      <c r="L117" s="137">
        <f t="shared" si="45"/>
        <v>0</v>
      </c>
      <c r="M117" s="159">
        <f>SUMIF('Che.-Prod'!A:A,Used_before_Trf!A117,'Che.-Prod'!F:F)</f>
        <v>0</v>
      </c>
      <c r="N117" s="160">
        <f>SUMIF('Che.-Prod'!A:A,Used_before_Trf!A117,'Che.-Prod'!G:G)</f>
        <v>0</v>
      </c>
      <c r="O117" s="161">
        <f t="shared" si="46"/>
        <v>0</v>
      </c>
      <c r="P117" s="162">
        <f>SUMIF('Che.-Prod'!A:A,Used_before_Trf!A117,'Che.-Prod'!H:H)</f>
        <v>0</v>
      </c>
      <c r="Q117" s="160">
        <f>SUMIF('Che.-Prod'!A:A,Used_before_Trf!A117,'Che.-Prod'!P:P)</f>
        <v>0</v>
      </c>
      <c r="R117" s="161">
        <f t="shared" si="47"/>
        <v>0</v>
      </c>
      <c r="S117" s="159">
        <f>SUMIF('Che.-Prod'!A:A,Used_before_Trf!A117,'Che.-Prod'!R:R)</f>
        <v>0</v>
      </c>
      <c r="T117" s="169">
        <f t="shared" si="48"/>
        <v>0</v>
      </c>
      <c r="U117" s="507">
        <f t="shared" si="49"/>
        <v>0</v>
      </c>
      <c r="V117" s="170">
        <f t="shared" si="50"/>
        <v>0</v>
      </c>
      <c r="W117" s="158">
        <f>SUMIF('CHE-last month'!$A:$A,Used_before_Trf!A117,'CHE-last month'!C:C)</f>
        <v>0</v>
      </c>
      <c r="X117" s="520">
        <f t="shared" si="51"/>
        <v>0</v>
      </c>
      <c r="Y117" s="162">
        <f>SUMIF('CHE-last month'!$A:$A,Used_before_Trf!A117,'CHE-last month'!E:E)</f>
        <v>0</v>
      </c>
      <c r="Z117" s="159">
        <f t="shared" si="52"/>
        <v>0</v>
      </c>
      <c r="AA117" s="520">
        <f t="shared" si="53"/>
        <v>0</v>
      </c>
      <c r="AB117" s="159">
        <f t="shared" si="54"/>
        <v>0</v>
      </c>
      <c r="AC117" s="160">
        <f>SUMIFS(BalCom!M:M,BalCom!N:N,Used_before_Trf!A117,BalCom!C:C,Used_before_Trf!$AC$1)</f>
        <v>0</v>
      </c>
      <c r="AD117" s="171">
        <f t="shared" si="55"/>
        <v>0</v>
      </c>
      <c r="AE117" s="159">
        <f>SUMIFS(BalCom!P:P,BalCom!N:N,Used_before_Trf!A117,BalCom!C:C,Used_before_Trf!$AC$1)</f>
        <v>0</v>
      </c>
      <c r="AF117" s="160">
        <f>SUMIFS(BalDis!I:I,BalDis!J:J,Used_before_Trf!A117)</f>
        <v>0</v>
      </c>
      <c r="AG117" s="171">
        <f t="shared" si="56"/>
        <v>0</v>
      </c>
      <c r="AH117" s="162">
        <f>SUMIFS(BalDis!L:L,BalDis!J:J,Used_before_Trf!A117)</f>
        <v>0</v>
      </c>
      <c r="AI117" s="159">
        <f>SUMIFS(BalDip!$N$49:$N$75,BalDip!$C$49:$C$75,Used_before_Trf!A117)+SUMIFS(BalDip!$N$134:$N$157,BalDip!$C$134:$C$157,Used_before_Trf!A117)</f>
        <v>0</v>
      </c>
      <c r="AJ117" s="171">
        <f t="shared" si="57"/>
        <v>0</v>
      </c>
      <c r="AK117" s="177">
        <f>SUMIFS(BalDip!$N$80:$N$106,BalDip!$C$80:$C$106,Used_before_Trf!A117)+SUMIFS(BalDip!$N$161:$N$184,BalDip!$C$161:$C$184,Used_before_Trf!A117)</f>
        <v>0</v>
      </c>
      <c r="AL117" s="178">
        <f t="shared" si="58"/>
        <v>0</v>
      </c>
      <c r="AM117" s="179">
        <f t="shared" si="59"/>
        <v>0</v>
      </c>
      <c r="AN117" s="440">
        <f t="shared" si="60"/>
        <v>0</v>
      </c>
      <c r="AO117" s="180">
        <f t="shared" si="62"/>
        <v>0</v>
      </c>
    </row>
    <row r="118" spans="1:41" s="108" customFormat="1" ht="15" customHeight="1">
      <c r="A118" s="135" t="s">
        <v>395</v>
      </c>
      <c r="B118" s="573" t="s">
        <v>396</v>
      </c>
      <c r="C118" s="136">
        <f>SUMIF('Che-Store'!A:A,Used_before_Trf!A118,'Che-Store'!AC:AC)+SUMIF('Che-Comp'!A:A,Used_before_Trf!A118,'Che-Comp'!AC:AC)</f>
        <v>0</v>
      </c>
      <c r="D118" s="137">
        <f t="shared" si="41"/>
        <v>0</v>
      </c>
      <c r="E118" s="138">
        <f>SUMIF('Che-Store'!A:A,Used_before_Trf!A118,'Che-Store'!AE:AE)+SUMIF('Che-Comp'!A:A,Used_before_Trf!A118,'Che-Comp'!AE:AE)</f>
        <v>0</v>
      </c>
      <c r="F118" s="136">
        <f>SUMIFS('Che-Comp'!F:F,'Che-Comp'!$A:$A,Used_before_Trf!$A118)</f>
        <v>0</v>
      </c>
      <c r="G118" s="138">
        <f>SUMIFS('Che-Comp'!G:G,'Che-Comp'!$A:$A,Used_before_Trf!$A118)</f>
        <v>0</v>
      </c>
      <c r="H118" s="137">
        <f t="shared" si="42"/>
        <v>0</v>
      </c>
      <c r="I118" s="137">
        <f t="shared" si="43"/>
        <v>0</v>
      </c>
      <c r="J118" s="137">
        <f t="shared" si="44"/>
        <v>0</v>
      </c>
      <c r="K118" s="158">
        <f>SUMIF('Che.-Prod'!A:A,Used_before_Trf!A118,'Che.-Prod'!D:D)</f>
        <v>0</v>
      </c>
      <c r="L118" s="137">
        <f t="shared" si="45"/>
        <v>0</v>
      </c>
      <c r="M118" s="159">
        <f>SUMIF('Che.-Prod'!A:A,Used_before_Trf!A118,'Che.-Prod'!F:F)</f>
        <v>0</v>
      </c>
      <c r="N118" s="160">
        <f>SUMIF('Che.-Prod'!A:A,Used_before_Trf!A118,'Che.-Prod'!G:G)</f>
        <v>0</v>
      </c>
      <c r="O118" s="161">
        <f t="shared" si="46"/>
        <v>0</v>
      </c>
      <c r="P118" s="162">
        <f>SUMIF('Che.-Prod'!A:A,Used_before_Trf!A118,'Che.-Prod'!H:H)</f>
        <v>0</v>
      </c>
      <c r="Q118" s="160">
        <f>SUMIF('Che.-Prod'!A:A,Used_before_Trf!A118,'Che.-Prod'!P:P)</f>
        <v>0</v>
      </c>
      <c r="R118" s="161">
        <f t="shared" si="47"/>
        <v>0</v>
      </c>
      <c r="S118" s="159">
        <f>SUMIF('Che.-Prod'!A:A,Used_before_Trf!A118,'Che.-Prod'!R:R)</f>
        <v>0</v>
      </c>
      <c r="T118" s="169">
        <f t="shared" si="48"/>
        <v>0</v>
      </c>
      <c r="U118" s="507">
        <f t="shared" si="49"/>
        <v>0</v>
      </c>
      <c r="V118" s="170">
        <f t="shared" si="50"/>
        <v>0</v>
      </c>
      <c r="W118" s="158">
        <f>SUMIF('CHE-last month'!$A:$A,Used_before_Trf!A118,'CHE-last month'!C:C)</f>
        <v>0</v>
      </c>
      <c r="X118" s="520">
        <f t="shared" si="51"/>
        <v>0</v>
      </c>
      <c r="Y118" s="162">
        <f>SUMIF('CHE-last month'!$A:$A,Used_before_Trf!A118,'CHE-last month'!E:E)</f>
        <v>0</v>
      </c>
      <c r="Z118" s="159">
        <f t="shared" si="52"/>
        <v>0</v>
      </c>
      <c r="AA118" s="520">
        <f t="shared" si="53"/>
        <v>0</v>
      </c>
      <c r="AB118" s="159">
        <f t="shared" si="54"/>
        <v>0</v>
      </c>
      <c r="AC118" s="160">
        <f>SUMIFS(BalCom!M:M,BalCom!N:N,Used_before_Trf!A118,BalCom!C:C,Used_before_Trf!$AC$1)</f>
        <v>0</v>
      </c>
      <c r="AD118" s="171">
        <f t="shared" si="55"/>
        <v>0</v>
      </c>
      <c r="AE118" s="159">
        <f>SUMIFS(BalCom!P:P,BalCom!N:N,Used_before_Trf!A118,BalCom!C:C,Used_before_Trf!$AC$1)</f>
        <v>0</v>
      </c>
      <c r="AF118" s="160">
        <f>SUMIFS(BalDis!I:I,BalDis!J:J,Used_before_Trf!A118)</f>
        <v>0</v>
      </c>
      <c r="AG118" s="171">
        <f t="shared" si="56"/>
        <v>0</v>
      </c>
      <c r="AH118" s="162">
        <f>SUMIFS(BalDis!L:L,BalDis!J:J,Used_before_Trf!A118)</f>
        <v>0</v>
      </c>
      <c r="AI118" s="159">
        <f>SUMIFS(BalDip!$N$49:$N$75,BalDip!$C$49:$C$75,Used_before_Trf!A118)+SUMIFS(BalDip!$N$134:$N$157,BalDip!$C$134:$C$157,Used_before_Trf!A118)</f>
        <v>0</v>
      </c>
      <c r="AJ118" s="171">
        <f t="shared" si="57"/>
        <v>0</v>
      </c>
      <c r="AK118" s="177">
        <f>SUMIFS(BalDip!$N$80:$N$106,BalDip!$C$80:$C$106,Used_before_Trf!A118)+SUMIFS(BalDip!$N$161:$N$184,BalDip!$C$161:$C$184,Used_before_Trf!A118)</f>
        <v>0</v>
      </c>
      <c r="AL118" s="178">
        <f t="shared" si="58"/>
        <v>0</v>
      </c>
      <c r="AM118" s="179">
        <f t="shared" si="59"/>
        <v>0</v>
      </c>
      <c r="AN118" s="440">
        <f t="shared" si="60"/>
        <v>0</v>
      </c>
      <c r="AO118" s="180">
        <f t="shared" si="62"/>
        <v>0</v>
      </c>
    </row>
    <row r="119" spans="1:41" s="108" customFormat="1" ht="15" customHeight="1">
      <c r="A119" s="135" t="s">
        <v>397</v>
      </c>
      <c r="B119" s="573" t="s">
        <v>398</v>
      </c>
      <c r="C119" s="136">
        <f>SUMIF('Che-Store'!A:A,Used_before_Trf!A119,'Che-Store'!AC:AC)+SUMIF('Che-Comp'!A:A,Used_before_Trf!A119,'Che-Comp'!AC:AC)</f>
        <v>0</v>
      </c>
      <c r="D119" s="137">
        <f t="shared" si="41"/>
        <v>0</v>
      </c>
      <c r="E119" s="138">
        <f>SUMIF('Che-Store'!A:A,Used_before_Trf!A119,'Che-Store'!AE:AE)+SUMIF('Che-Comp'!A:A,Used_before_Trf!A119,'Che-Comp'!AE:AE)</f>
        <v>0</v>
      </c>
      <c r="F119" s="136">
        <f>SUMIFS('Che-Comp'!F:F,'Che-Comp'!$A:$A,Used_before_Trf!$A119)</f>
        <v>0</v>
      </c>
      <c r="G119" s="138">
        <f>SUMIFS('Che-Comp'!G:G,'Che-Comp'!$A:$A,Used_before_Trf!$A119)</f>
        <v>0</v>
      </c>
      <c r="H119" s="137">
        <f t="shared" si="42"/>
        <v>0</v>
      </c>
      <c r="I119" s="137">
        <f t="shared" si="43"/>
        <v>0</v>
      </c>
      <c r="J119" s="137">
        <f t="shared" si="44"/>
        <v>0</v>
      </c>
      <c r="K119" s="158">
        <f>SUMIF('Che.-Prod'!A:A,Used_before_Trf!A119,'Che.-Prod'!D:D)</f>
        <v>0</v>
      </c>
      <c r="L119" s="137">
        <f t="shared" si="45"/>
        <v>0</v>
      </c>
      <c r="M119" s="159">
        <f>SUMIF('Che.-Prod'!A:A,Used_before_Trf!A119,'Che.-Prod'!F:F)</f>
        <v>0</v>
      </c>
      <c r="N119" s="160">
        <f>SUMIF('Che.-Prod'!A:A,Used_before_Trf!A119,'Che.-Prod'!G:G)</f>
        <v>0</v>
      </c>
      <c r="O119" s="161">
        <f t="shared" si="46"/>
        <v>0</v>
      </c>
      <c r="P119" s="162">
        <f>SUMIF('Che.-Prod'!A:A,Used_before_Trf!A119,'Che.-Prod'!H:H)</f>
        <v>0</v>
      </c>
      <c r="Q119" s="160">
        <f>SUMIF('Che.-Prod'!A:A,Used_before_Trf!A119,'Che.-Prod'!P:P)</f>
        <v>0</v>
      </c>
      <c r="R119" s="161">
        <f t="shared" si="47"/>
        <v>0</v>
      </c>
      <c r="S119" s="159">
        <f>SUMIF('Che.-Prod'!A:A,Used_before_Trf!A119,'Che.-Prod'!R:R)</f>
        <v>0</v>
      </c>
      <c r="T119" s="169">
        <f t="shared" si="48"/>
        <v>0</v>
      </c>
      <c r="U119" s="507">
        <f t="shared" si="49"/>
        <v>0</v>
      </c>
      <c r="V119" s="170">
        <f t="shared" si="50"/>
        <v>0</v>
      </c>
      <c r="W119" s="158">
        <f>SUMIF('CHE-last month'!$A:$A,Used_before_Trf!A119,'CHE-last month'!C:C)</f>
        <v>0</v>
      </c>
      <c r="X119" s="520">
        <f t="shared" si="51"/>
        <v>0</v>
      </c>
      <c r="Y119" s="162">
        <f>SUMIF('CHE-last month'!$A:$A,Used_before_Trf!A119,'CHE-last month'!E:E)</f>
        <v>0</v>
      </c>
      <c r="Z119" s="159">
        <f t="shared" si="52"/>
        <v>0</v>
      </c>
      <c r="AA119" s="520">
        <f t="shared" si="53"/>
        <v>0</v>
      </c>
      <c r="AB119" s="159">
        <f t="shared" si="54"/>
        <v>0</v>
      </c>
      <c r="AC119" s="160">
        <f>SUMIFS(BalCom!M:M,BalCom!N:N,Used_before_Trf!A119,BalCom!C:C,Used_before_Trf!$AC$1)</f>
        <v>0</v>
      </c>
      <c r="AD119" s="171">
        <f t="shared" si="55"/>
        <v>0</v>
      </c>
      <c r="AE119" s="159">
        <f>SUMIFS(BalCom!P:P,BalCom!N:N,Used_before_Trf!A119,BalCom!C:C,Used_before_Trf!$AC$1)</f>
        <v>0</v>
      </c>
      <c r="AF119" s="160">
        <f>SUMIFS(BalDis!I:I,BalDis!J:J,Used_before_Trf!A119)</f>
        <v>0</v>
      </c>
      <c r="AG119" s="171">
        <f t="shared" si="56"/>
        <v>0</v>
      </c>
      <c r="AH119" s="162">
        <f>SUMIFS(BalDis!L:L,BalDis!J:J,Used_before_Trf!A119)</f>
        <v>0</v>
      </c>
      <c r="AI119" s="159">
        <f>SUMIFS(BalDip!$N$49:$N$75,BalDip!$C$49:$C$75,Used_before_Trf!A119)+SUMIFS(BalDip!$N$134:$N$157,BalDip!$C$134:$C$157,Used_before_Trf!A119)</f>
        <v>0</v>
      </c>
      <c r="AJ119" s="171">
        <f t="shared" si="57"/>
        <v>0</v>
      </c>
      <c r="AK119" s="177">
        <f>SUMIFS(BalDip!$N$80:$N$106,BalDip!$C$80:$C$106,Used_before_Trf!A119)+SUMIFS(BalDip!$N$161:$N$184,BalDip!$C$161:$C$184,Used_before_Trf!A119)</f>
        <v>0</v>
      </c>
      <c r="AL119" s="178">
        <f t="shared" si="58"/>
        <v>0</v>
      </c>
      <c r="AM119" s="179">
        <f t="shared" si="59"/>
        <v>0</v>
      </c>
      <c r="AN119" s="440">
        <f t="shared" si="60"/>
        <v>0</v>
      </c>
      <c r="AO119" s="180">
        <f t="shared" si="62"/>
        <v>0</v>
      </c>
    </row>
    <row r="120" spans="1:41" s="108" customFormat="1" ht="15" customHeight="1">
      <c r="A120" s="135" t="s">
        <v>399</v>
      </c>
      <c r="B120" s="573" t="s">
        <v>400</v>
      </c>
      <c r="C120" s="136">
        <f>SUMIF('Che-Store'!A:A,Used_before_Trf!A120,'Che-Store'!AC:AC)+SUMIF('Che-Comp'!A:A,Used_before_Trf!A120,'Che-Comp'!AC:AC)</f>
        <v>0</v>
      </c>
      <c r="D120" s="137">
        <f t="shared" si="41"/>
        <v>0</v>
      </c>
      <c r="E120" s="138">
        <f>SUMIF('Che-Store'!A:A,Used_before_Trf!A120,'Che-Store'!AE:AE)+SUMIF('Che-Comp'!A:A,Used_before_Trf!A120,'Che-Comp'!AE:AE)</f>
        <v>0</v>
      </c>
      <c r="F120" s="136">
        <f>SUMIFS('Che-Comp'!F:F,'Che-Comp'!$A:$A,Used_before_Trf!$A120)</f>
        <v>0</v>
      </c>
      <c r="G120" s="138">
        <f>SUMIFS('Che-Comp'!G:G,'Che-Comp'!$A:$A,Used_before_Trf!$A120)</f>
        <v>0</v>
      </c>
      <c r="H120" s="137">
        <f t="shared" si="42"/>
        <v>0</v>
      </c>
      <c r="I120" s="137">
        <f t="shared" si="43"/>
        <v>0</v>
      </c>
      <c r="J120" s="137">
        <f t="shared" si="44"/>
        <v>0</v>
      </c>
      <c r="K120" s="158">
        <f>SUMIF('Che.-Prod'!A:A,Used_before_Trf!A120,'Che.-Prod'!D:D)</f>
        <v>0</v>
      </c>
      <c r="L120" s="137">
        <f t="shared" si="45"/>
        <v>0</v>
      </c>
      <c r="M120" s="159">
        <f>SUMIF('Che.-Prod'!A:A,Used_before_Trf!A120,'Che.-Prod'!F:F)</f>
        <v>0</v>
      </c>
      <c r="N120" s="160">
        <f>SUMIF('Che.-Prod'!A:A,Used_before_Trf!A120,'Che.-Prod'!G:G)</f>
        <v>0</v>
      </c>
      <c r="O120" s="161">
        <f t="shared" si="46"/>
        <v>0</v>
      </c>
      <c r="P120" s="162">
        <f>SUMIF('Che.-Prod'!A:A,Used_before_Trf!A120,'Che.-Prod'!H:H)</f>
        <v>0</v>
      </c>
      <c r="Q120" s="160">
        <f>SUMIF('Che.-Prod'!A:A,Used_before_Trf!A120,'Che.-Prod'!P:P)</f>
        <v>0</v>
      </c>
      <c r="R120" s="161">
        <f t="shared" si="47"/>
        <v>0</v>
      </c>
      <c r="S120" s="159">
        <f>SUMIF('Che.-Prod'!A:A,Used_before_Trf!A120,'Che.-Prod'!R:R)</f>
        <v>0</v>
      </c>
      <c r="T120" s="169">
        <f t="shared" si="48"/>
        <v>0</v>
      </c>
      <c r="U120" s="507">
        <f t="shared" si="49"/>
        <v>0</v>
      </c>
      <c r="V120" s="170">
        <f t="shared" si="50"/>
        <v>0</v>
      </c>
      <c r="W120" s="158">
        <f>SUMIF('CHE-last month'!$A:$A,Used_before_Trf!A120,'CHE-last month'!C:C)</f>
        <v>0</v>
      </c>
      <c r="X120" s="520">
        <f t="shared" si="51"/>
        <v>0</v>
      </c>
      <c r="Y120" s="162">
        <f>SUMIF('CHE-last month'!$A:$A,Used_before_Trf!A120,'CHE-last month'!E:E)</f>
        <v>0</v>
      </c>
      <c r="Z120" s="159">
        <f t="shared" si="52"/>
        <v>0</v>
      </c>
      <c r="AA120" s="520">
        <f t="shared" si="53"/>
        <v>0</v>
      </c>
      <c r="AB120" s="159">
        <f t="shared" si="54"/>
        <v>0</v>
      </c>
      <c r="AC120" s="160">
        <f>SUMIFS(BalCom!M:M,BalCom!N:N,Used_before_Trf!A120,BalCom!C:C,Used_before_Trf!$AC$1)</f>
        <v>0</v>
      </c>
      <c r="AD120" s="171">
        <f t="shared" si="55"/>
        <v>0</v>
      </c>
      <c r="AE120" s="159">
        <f>SUMIFS(BalCom!P:P,BalCom!N:N,Used_before_Trf!A120,BalCom!C:C,Used_before_Trf!$AC$1)</f>
        <v>0</v>
      </c>
      <c r="AF120" s="160">
        <f>SUMIFS(BalDis!I:I,BalDis!J:J,Used_before_Trf!A120)</f>
        <v>0</v>
      </c>
      <c r="AG120" s="171">
        <f t="shared" si="56"/>
        <v>0</v>
      </c>
      <c r="AH120" s="162">
        <f>SUMIFS(BalDis!L:L,BalDis!J:J,Used_before_Trf!A120)</f>
        <v>0</v>
      </c>
      <c r="AI120" s="159">
        <f>SUMIFS(BalDip!$N$49:$N$75,BalDip!$C$49:$C$75,Used_before_Trf!A120)+SUMIFS(BalDip!$N$134:$N$157,BalDip!$C$134:$C$157,Used_before_Trf!A120)</f>
        <v>0</v>
      </c>
      <c r="AJ120" s="171">
        <f t="shared" si="57"/>
        <v>0</v>
      </c>
      <c r="AK120" s="177">
        <f>SUMIFS(BalDip!$N$80:$N$106,BalDip!$C$80:$C$106,Used_before_Trf!A120)+SUMIFS(BalDip!$N$161:$N$184,BalDip!$C$161:$C$184,Used_before_Trf!A120)</f>
        <v>0</v>
      </c>
      <c r="AL120" s="178">
        <f t="shared" si="58"/>
        <v>0</v>
      </c>
      <c r="AM120" s="179">
        <f t="shared" si="59"/>
        <v>0</v>
      </c>
      <c r="AN120" s="440">
        <f t="shared" si="60"/>
        <v>0</v>
      </c>
      <c r="AO120" s="180">
        <f t="shared" si="62"/>
        <v>0</v>
      </c>
    </row>
    <row r="121" spans="1:41" s="108" customFormat="1" ht="15" customHeight="1">
      <c r="A121" s="135" t="s">
        <v>401</v>
      </c>
      <c r="B121" s="573" t="s">
        <v>402</v>
      </c>
      <c r="C121" s="136">
        <f>SUMIF('Che-Store'!A:A,Used_before_Trf!A121,'Che-Store'!AC:AC)+SUMIF('Che-Comp'!A:A,Used_before_Trf!A121,'Che-Comp'!AC:AC)</f>
        <v>0</v>
      </c>
      <c r="D121" s="137">
        <f t="shared" si="41"/>
        <v>0</v>
      </c>
      <c r="E121" s="138">
        <f>SUMIF('Che-Store'!A:A,Used_before_Trf!A121,'Che-Store'!AE:AE)+SUMIF('Che-Comp'!A:A,Used_before_Trf!A121,'Che-Comp'!AE:AE)</f>
        <v>0</v>
      </c>
      <c r="F121" s="136">
        <f>SUMIFS('Che-Comp'!F:F,'Che-Comp'!$A:$A,Used_before_Trf!$A121)</f>
        <v>0</v>
      </c>
      <c r="G121" s="138">
        <f>SUMIFS('Che-Comp'!G:G,'Che-Comp'!$A:$A,Used_before_Trf!$A121)</f>
        <v>0</v>
      </c>
      <c r="H121" s="137">
        <f t="shared" si="42"/>
        <v>0</v>
      </c>
      <c r="I121" s="137">
        <f t="shared" si="43"/>
        <v>0</v>
      </c>
      <c r="J121" s="137">
        <f t="shared" si="44"/>
        <v>0</v>
      </c>
      <c r="K121" s="158">
        <f>SUMIF('Che.-Prod'!A:A,Used_before_Trf!A121,'Che.-Prod'!D:D)</f>
        <v>0</v>
      </c>
      <c r="L121" s="137">
        <f t="shared" si="45"/>
        <v>0</v>
      </c>
      <c r="M121" s="159">
        <f>SUMIF('Che.-Prod'!A:A,Used_before_Trf!A121,'Che.-Prod'!F:F)</f>
        <v>0</v>
      </c>
      <c r="N121" s="160">
        <f>SUMIF('Che.-Prod'!A:A,Used_before_Trf!A121,'Che.-Prod'!G:G)</f>
        <v>0</v>
      </c>
      <c r="O121" s="161">
        <f t="shared" si="46"/>
        <v>0</v>
      </c>
      <c r="P121" s="162">
        <f>SUMIF('Che.-Prod'!A:A,Used_before_Trf!A121,'Che.-Prod'!H:H)</f>
        <v>0</v>
      </c>
      <c r="Q121" s="160">
        <f>SUMIF('Che.-Prod'!A:A,Used_before_Trf!A121,'Che.-Prod'!P:P)</f>
        <v>0</v>
      </c>
      <c r="R121" s="161">
        <f t="shared" si="47"/>
        <v>0</v>
      </c>
      <c r="S121" s="159">
        <f>SUMIF('Che.-Prod'!A:A,Used_before_Trf!A121,'Che.-Prod'!R:R)</f>
        <v>0</v>
      </c>
      <c r="T121" s="169">
        <f t="shared" si="48"/>
        <v>0</v>
      </c>
      <c r="U121" s="507">
        <f t="shared" si="49"/>
        <v>0</v>
      </c>
      <c r="V121" s="170">
        <f t="shared" si="50"/>
        <v>0</v>
      </c>
      <c r="W121" s="158">
        <f>SUMIF('CHE-last month'!$A:$A,Used_before_Trf!A121,'CHE-last month'!C:C)</f>
        <v>0</v>
      </c>
      <c r="X121" s="520">
        <f t="shared" si="51"/>
        <v>0</v>
      </c>
      <c r="Y121" s="162">
        <f>SUMIF('CHE-last month'!$A:$A,Used_before_Trf!A121,'CHE-last month'!E:E)</f>
        <v>0</v>
      </c>
      <c r="Z121" s="159">
        <f t="shared" si="52"/>
        <v>0</v>
      </c>
      <c r="AA121" s="520">
        <f t="shared" si="53"/>
        <v>0</v>
      </c>
      <c r="AB121" s="159">
        <f t="shared" si="54"/>
        <v>0</v>
      </c>
      <c r="AC121" s="160">
        <f>SUMIFS(BalCom!M:M,BalCom!N:N,Used_before_Trf!A121,BalCom!C:C,Used_before_Trf!$AC$1)</f>
        <v>0</v>
      </c>
      <c r="AD121" s="171">
        <f t="shared" si="55"/>
        <v>0</v>
      </c>
      <c r="AE121" s="159">
        <f>SUMIFS(BalCom!P:P,BalCom!N:N,Used_before_Trf!A121,BalCom!C:C,Used_before_Trf!$AC$1)</f>
        <v>0</v>
      </c>
      <c r="AF121" s="160">
        <f>SUMIFS(BalDis!I:I,BalDis!J:J,Used_before_Trf!A121)</f>
        <v>0</v>
      </c>
      <c r="AG121" s="171">
        <f t="shared" si="56"/>
        <v>0</v>
      </c>
      <c r="AH121" s="162">
        <f>SUMIFS(BalDis!L:L,BalDis!J:J,Used_before_Trf!A121)</f>
        <v>0</v>
      </c>
      <c r="AI121" s="159">
        <f>SUMIFS(BalDip!$N$49:$N$75,BalDip!$C$49:$C$75,Used_before_Trf!A121)+SUMIFS(BalDip!$N$134:$N$157,BalDip!$C$134:$C$157,Used_before_Trf!A121)</f>
        <v>0</v>
      </c>
      <c r="AJ121" s="171">
        <f t="shared" si="57"/>
        <v>0</v>
      </c>
      <c r="AK121" s="177">
        <f>SUMIFS(BalDip!$N$80:$N$106,BalDip!$C$80:$C$106,Used_before_Trf!A121)+SUMIFS(BalDip!$N$161:$N$184,BalDip!$C$161:$C$184,Used_before_Trf!A121)</f>
        <v>0</v>
      </c>
      <c r="AL121" s="178">
        <f t="shared" si="58"/>
        <v>0</v>
      </c>
      <c r="AM121" s="179">
        <f t="shared" si="59"/>
        <v>0</v>
      </c>
      <c r="AN121" s="440">
        <f t="shared" si="60"/>
        <v>0</v>
      </c>
      <c r="AO121" s="180">
        <f t="shared" si="62"/>
        <v>0</v>
      </c>
    </row>
    <row r="122" spans="1:41" s="108" customFormat="1" ht="15" customHeight="1">
      <c r="A122" s="135" t="s">
        <v>403</v>
      </c>
      <c r="B122" s="573" t="s">
        <v>404</v>
      </c>
      <c r="C122" s="136">
        <f>SUMIF('Che-Store'!A:A,Used_before_Trf!A122,'Che-Store'!AC:AC)+SUMIF('Che-Comp'!A:A,Used_before_Trf!A122,'Che-Comp'!AC:AC)</f>
        <v>0</v>
      </c>
      <c r="D122" s="137">
        <f t="shared" si="41"/>
        <v>0</v>
      </c>
      <c r="E122" s="138">
        <f>SUMIF('Che-Store'!A:A,Used_before_Trf!A122,'Che-Store'!AE:AE)+SUMIF('Che-Comp'!A:A,Used_before_Trf!A122,'Che-Comp'!AE:AE)</f>
        <v>0</v>
      </c>
      <c r="F122" s="136">
        <f>SUMIFS('Che-Comp'!F:F,'Che-Comp'!$A:$A,Used_before_Trf!$A122)</f>
        <v>0</v>
      </c>
      <c r="G122" s="138">
        <f>SUMIFS('Che-Comp'!G:G,'Che-Comp'!$A:$A,Used_before_Trf!$A122)</f>
        <v>0</v>
      </c>
      <c r="H122" s="137">
        <f t="shared" si="42"/>
        <v>0</v>
      </c>
      <c r="I122" s="137">
        <f t="shared" si="43"/>
        <v>0</v>
      </c>
      <c r="J122" s="137">
        <f t="shared" si="44"/>
        <v>0</v>
      </c>
      <c r="K122" s="158">
        <f>SUMIF('Che.-Prod'!A:A,Used_before_Trf!A122,'Che.-Prod'!D:D)</f>
        <v>0</v>
      </c>
      <c r="L122" s="137">
        <f t="shared" si="45"/>
        <v>0</v>
      </c>
      <c r="M122" s="159">
        <f>SUMIF('Che.-Prod'!A:A,Used_before_Trf!A122,'Che.-Prod'!F:F)</f>
        <v>0</v>
      </c>
      <c r="N122" s="160">
        <f>SUMIF('Che.-Prod'!A:A,Used_before_Trf!A122,'Che.-Prod'!G:G)</f>
        <v>0</v>
      </c>
      <c r="O122" s="161">
        <f t="shared" si="46"/>
        <v>0</v>
      </c>
      <c r="P122" s="162">
        <f>SUMIF('Che.-Prod'!A:A,Used_before_Trf!A122,'Che.-Prod'!H:H)</f>
        <v>0</v>
      </c>
      <c r="Q122" s="160">
        <f>SUMIF('Che.-Prod'!A:A,Used_before_Trf!A122,'Che.-Prod'!P:P)</f>
        <v>0</v>
      </c>
      <c r="R122" s="161">
        <f t="shared" si="47"/>
        <v>0</v>
      </c>
      <c r="S122" s="159">
        <f>SUMIF('Che.-Prod'!A:A,Used_before_Trf!A122,'Che.-Prod'!R:R)</f>
        <v>0</v>
      </c>
      <c r="T122" s="169">
        <f t="shared" si="48"/>
        <v>0</v>
      </c>
      <c r="U122" s="507">
        <f t="shared" si="49"/>
        <v>0</v>
      </c>
      <c r="V122" s="170">
        <f t="shared" si="50"/>
        <v>0</v>
      </c>
      <c r="W122" s="158">
        <f>SUMIF('CHE-last month'!$A:$A,Used_before_Trf!A122,'CHE-last month'!C:C)</f>
        <v>0</v>
      </c>
      <c r="X122" s="520">
        <f t="shared" si="51"/>
        <v>0</v>
      </c>
      <c r="Y122" s="162">
        <f>SUMIF('CHE-last month'!$A:$A,Used_before_Trf!A122,'CHE-last month'!E:E)</f>
        <v>0</v>
      </c>
      <c r="Z122" s="159">
        <f t="shared" si="52"/>
        <v>0</v>
      </c>
      <c r="AA122" s="520">
        <f t="shared" si="53"/>
        <v>0</v>
      </c>
      <c r="AB122" s="159">
        <f t="shared" si="54"/>
        <v>0</v>
      </c>
      <c r="AC122" s="160">
        <f>SUMIFS(BalCom!M:M,BalCom!N:N,Used_before_Trf!A122,BalCom!C:C,Used_before_Trf!$AC$1)</f>
        <v>0</v>
      </c>
      <c r="AD122" s="171">
        <f t="shared" si="55"/>
        <v>0</v>
      </c>
      <c r="AE122" s="159">
        <f>SUMIFS(BalCom!P:P,BalCom!N:N,Used_before_Trf!A122,BalCom!C:C,Used_before_Trf!$AC$1)</f>
        <v>0</v>
      </c>
      <c r="AF122" s="160">
        <f>SUMIFS(BalDis!I:I,BalDis!J:J,Used_before_Trf!A122)</f>
        <v>0</v>
      </c>
      <c r="AG122" s="171">
        <f t="shared" si="56"/>
        <v>0</v>
      </c>
      <c r="AH122" s="162">
        <f>SUMIFS(BalDis!L:L,BalDis!J:J,Used_before_Trf!A122)</f>
        <v>0</v>
      </c>
      <c r="AI122" s="159">
        <f>SUMIFS(BalDip!$N$49:$N$75,BalDip!$C$49:$C$75,Used_before_Trf!A122)+SUMIFS(BalDip!$N$134:$N$157,BalDip!$C$134:$C$157,Used_before_Trf!A122)</f>
        <v>0</v>
      </c>
      <c r="AJ122" s="171">
        <f t="shared" si="57"/>
        <v>0</v>
      </c>
      <c r="AK122" s="177">
        <f>SUMIFS(BalDip!$N$80:$N$106,BalDip!$C$80:$C$106,Used_before_Trf!A122)+SUMIFS(BalDip!$N$161:$N$184,BalDip!$C$161:$C$184,Used_before_Trf!A122)</f>
        <v>0</v>
      </c>
      <c r="AL122" s="178">
        <f t="shared" si="58"/>
        <v>0</v>
      </c>
      <c r="AM122" s="179">
        <f t="shared" si="59"/>
        <v>0</v>
      </c>
      <c r="AN122" s="440">
        <f t="shared" si="60"/>
        <v>0</v>
      </c>
      <c r="AO122" s="180">
        <f t="shared" si="62"/>
        <v>0</v>
      </c>
    </row>
    <row r="123" spans="1:41" s="108" customFormat="1" ht="15" customHeight="1">
      <c r="A123" s="135" t="s">
        <v>405</v>
      </c>
      <c r="B123" s="573" t="s">
        <v>406</v>
      </c>
      <c r="C123" s="136">
        <f>SUMIF('Che-Store'!A:A,Used_before_Trf!A123,'Che-Store'!AC:AC)+SUMIF('Che-Comp'!A:A,Used_before_Trf!A123,'Che-Comp'!AC:AC)</f>
        <v>0</v>
      </c>
      <c r="D123" s="137">
        <f t="shared" si="41"/>
        <v>0</v>
      </c>
      <c r="E123" s="138">
        <f>SUMIF('Che-Store'!A:A,Used_before_Trf!A123,'Che-Store'!AE:AE)+SUMIF('Che-Comp'!A:A,Used_before_Trf!A123,'Che-Comp'!AE:AE)</f>
        <v>0</v>
      </c>
      <c r="F123" s="136">
        <f>SUMIFS('Che-Comp'!F:F,'Che-Comp'!$A:$A,Used_before_Trf!$A123)</f>
        <v>0</v>
      </c>
      <c r="G123" s="138">
        <f>SUMIFS('Che-Comp'!G:G,'Che-Comp'!$A:$A,Used_before_Trf!$A123)</f>
        <v>0</v>
      </c>
      <c r="H123" s="137">
        <f t="shared" si="42"/>
        <v>0</v>
      </c>
      <c r="I123" s="137">
        <f t="shared" si="43"/>
        <v>0</v>
      </c>
      <c r="J123" s="137">
        <f t="shared" si="44"/>
        <v>0</v>
      </c>
      <c r="K123" s="158">
        <f>SUMIF('Che.-Prod'!A:A,Used_before_Trf!A123,'Che.-Prod'!D:D)</f>
        <v>0</v>
      </c>
      <c r="L123" s="137">
        <f t="shared" si="45"/>
        <v>0</v>
      </c>
      <c r="M123" s="159">
        <f>SUMIF('Che.-Prod'!A:A,Used_before_Trf!A123,'Che.-Prod'!F:F)</f>
        <v>0</v>
      </c>
      <c r="N123" s="160">
        <f>SUMIF('Che.-Prod'!A:A,Used_before_Trf!A123,'Che.-Prod'!G:G)</f>
        <v>0</v>
      </c>
      <c r="O123" s="161">
        <f t="shared" si="46"/>
        <v>0</v>
      </c>
      <c r="P123" s="162">
        <f>SUMIF('Che.-Prod'!A:A,Used_before_Trf!A123,'Che.-Prod'!H:H)</f>
        <v>0</v>
      </c>
      <c r="Q123" s="160">
        <f>SUMIF('Che.-Prod'!A:A,Used_before_Trf!A123,'Che.-Prod'!P:P)</f>
        <v>0</v>
      </c>
      <c r="R123" s="161">
        <f t="shared" si="47"/>
        <v>0</v>
      </c>
      <c r="S123" s="159">
        <f>SUMIF('Che.-Prod'!A:A,Used_before_Trf!A123,'Che.-Prod'!R:R)</f>
        <v>0</v>
      </c>
      <c r="T123" s="169">
        <f t="shared" si="48"/>
        <v>0</v>
      </c>
      <c r="U123" s="507">
        <f t="shared" si="49"/>
        <v>0</v>
      </c>
      <c r="V123" s="170">
        <f t="shared" si="50"/>
        <v>0</v>
      </c>
      <c r="W123" s="158">
        <f>SUMIF('CHE-last month'!$A:$A,Used_before_Trf!A123,'CHE-last month'!C:C)</f>
        <v>0</v>
      </c>
      <c r="X123" s="520">
        <f t="shared" si="51"/>
        <v>0</v>
      </c>
      <c r="Y123" s="162">
        <f>SUMIF('CHE-last month'!$A:$A,Used_before_Trf!A123,'CHE-last month'!E:E)</f>
        <v>0</v>
      </c>
      <c r="Z123" s="159">
        <f t="shared" si="52"/>
        <v>0</v>
      </c>
      <c r="AA123" s="520">
        <f t="shared" si="53"/>
        <v>0</v>
      </c>
      <c r="AB123" s="159">
        <f t="shared" si="54"/>
        <v>0</v>
      </c>
      <c r="AC123" s="160">
        <f>SUMIFS(BalCom!M:M,BalCom!N:N,Used_before_Trf!A123,BalCom!C:C,Used_before_Trf!$AC$1)</f>
        <v>0</v>
      </c>
      <c r="AD123" s="171">
        <f t="shared" si="55"/>
        <v>0</v>
      </c>
      <c r="AE123" s="159">
        <f>SUMIFS(BalCom!P:P,BalCom!N:N,Used_before_Trf!A123,BalCom!C:C,Used_before_Trf!$AC$1)</f>
        <v>0</v>
      </c>
      <c r="AF123" s="160">
        <f>SUMIFS(BalDis!I:I,BalDis!J:J,Used_before_Trf!A123)</f>
        <v>0</v>
      </c>
      <c r="AG123" s="171">
        <f t="shared" si="56"/>
        <v>0</v>
      </c>
      <c r="AH123" s="162">
        <f>SUMIFS(BalDis!L:L,BalDis!J:J,Used_before_Trf!A123)</f>
        <v>0</v>
      </c>
      <c r="AI123" s="159">
        <f>SUMIFS(BalDip!$N$49:$N$75,BalDip!$C$49:$C$75,Used_before_Trf!A123)+SUMIFS(BalDip!$N$134:$N$157,BalDip!$C$134:$C$157,Used_before_Trf!A123)</f>
        <v>0</v>
      </c>
      <c r="AJ123" s="171">
        <f t="shared" si="57"/>
        <v>0</v>
      </c>
      <c r="AK123" s="177">
        <f>SUMIFS(BalDip!$N$80:$N$106,BalDip!$C$80:$C$106,Used_before_Trf!A123)+SUMIFS(BalDip!$N$161:$N$184,BalDip!$C$161:$C$184,Used_before_Trf!A123)</f>
        <v>0</v>
      </c>
      <c r="AL123" s="178">
        <f t="shared" si="58"/>
        <v>0</v>
      </c>
      <c r="AM123" s="179">
        <f t="shared" si="59"/>
        <v>0</v>
      </c>
      <c r="AN123" s="440">
        <f t="shared" si="60"/>
        <v>0</v>
      </c>
      <c r="AO123" s="180">
        <f t="shared" si="61"/>
        <v>0</v>
      </c>
    </row>
    <row r="124" spans="1:41" s="108" customFormat="1" ht="15" customHeight="1">
      <c r="A124" s="135" t="s">
        <v>407</v>
      </c>
      <c r="B124" s="573" t="s">
        <v>408</v>
      </c>
      <c r="C124" s="136">
        <f>SUMIF('Che-Store'!A:A,Used_before_Trf!A124,'Che-Store'!AC:AC)+SUMIF('Che-Comp'!A:A,Used_before_Trf!A124,'Che-Comp'!AC:AC)</f>
        <v>0</v>
      </c>
      <c r="D124" s="137">
        <f t="shared" si="41"/>
        <v>0</v>
      </c>
      <c r="E124" s="138">
        <f>SUMIF('Che-Store'!A:A,Used_before_Trf!A124,'Che-Store'!AE:AE)+SUMIF('Che-Comp'!A:A,Used_before_Trf!A124,'Che-Comp'!AE:AE)</f>
        <v>0</v>
      </c>
      <c r="F124" s="136">
        <f>SUMIFS('Che-Comp'!F:F,'Che-Comp'!$A:$A,Used_before_Trf!$A124)</f>
        <v>0</v>
      </c>
      <c r="G124" s="138">
        <f>SUMIFS('Che-Comp'!G:G,'Che-Comp'!$A:$A,Used_before_Trf!$A124)</f>
        <v>0</v>
      </c>
      <c r="H124" s="137">
        <f t="shared" si="42"/>
        <v>0</v>
      </c>
      <c r="I124" s="137">
        <f t="shared" si="43"/>
        <v>0</v>
      </c>
      <c r="J124" s="137">
        <f t="shared" si="44"/>
        <v>0</v>
      </c>
      <c r="K124" s="158">
        <f>SUMIF('Che.-Prod'!A:A,Used_before_Trf!A124,'Che.-Prod'!D:D)</f>
        <v>0</v>
      </c>
      <c r="L124" s="137">
        <f t="shared" si="45"/>
        <v>0</v>
      </c>
      <c r="M124" s="159">
        <f>SUMIF('Che.-Prod'!A:A,Used_before_Trf!A124,'Che.-Prod'!F:F)</f>
        <v>0</v>
      </c>
      <c r="N124" s="160">
        <f>SUMIF('Che.-Prod'!A:A,Used_before_Trf!A124,'Che.-Prod'!G:G)</f>
        <v>0</v>
      </c>
      <c r="O124" s="161">
        <f t="shared" si="46"/>
        <v>0</v>
      </c>
      <c r="P124" s="162">
        <f>SUMIF('Che.-Prod'!A:A,Used_before_Trf!A124,'Che.-Prod'!H:H)</f>
        <v>0</v>
      </c>
      <c r="Q124" s="160">
        <f>SUMIF('Che.-Prod'!A:A,Used_before_Trf!A124,'Che.-Prod'!P:P)</f>
        <v>0</v>
      </c>
      <c r="R124" s="161">
        <f t="shared" si="47"/>
        <v>0</v>
      </c>
      <c r="S124" s="159">
        <f>SUMIF('Che.-Prod'!A:A,Used_before_Trf!A124,'Che.-Prod'!R:R)</f>
        <v>0</v>
      </c>
      <c r="T124" s="169">
        <f t="shared" si="48"/>
        <v>0</v>
      </c>
      <c r="U124" s="507">
        <f t="shared" si="49"/>
        <v>0</v>
      </c>
      <c r="V124" s="170">
        <f t="shared" si="50"/>
        <v>0</v>
      </c>
      <c r="W124" s="158">
        <f>SUMIF('CHE-last month'!$A:$A,Used_before_Trf!A124,'CHE-last month'!C:C)</f>
        <v>0</v>
      </c>
      <c r="X124" s="520">
        <f t="shared" si="51"/>
        <v>0</v>
      </c>
      <c r="Y124" s="162">
        <f>SUMIF('CHE-last month'!$A:$A,Used_before_Trf!A124,'CHE-last month'!E:E)</f>
        <v>0</v>
      </c>
      <c r="Z124" s="159">
        <f t="shared" si="52"/>
        <v>0</v>
      </c>
      <c r="AA124" s="520">
        <f t="shared" si="53"/>
        <v>0</v>
      </c>
      <c r="AB124" s="159">
        <f t="shared" si="54"/>
        <v>0</v>
      </c>
      <c r="AC124" s="160">
        <f>SUMIFS(BalCom!M:M,BalCom!N:N,Used_before_Trf!A124,BalCom!C:C,Used_before_Trf!$AC$1)</f>
        <v>0</v>
      </c>
      <c r="AD124" s="171">
        <f t="shared" si="55"/>
        <v>0</v>
      </c>
      <c r="AE124" s="159">
        <f>SUMIFS(BalCom!P:P,BalCom!N:N,Used_before_Trf!A124,BalCom!C:C,Used_before_Trf!$AC$1)</f>
        <v>0</v>
      </c>
      <c r="AF124" s="160">
        <f>SUMIFS(BalDis!I:I,BalDis!J:J,Used_before_Trf!A124)</f>
        <v>0</v>
      </c>
      <c r="AG124" s="171">
        <f t="shared" si="56"/>
        <v>0</v>
      </c>
      <c r="AH124" s="162">
        <f>SUMIFS(BalDis!L:L,BalDis!J:J,Used_before_Trf!A124)</f>
        <v>0</v>
      </c>
      <c r="AI124" s="159">
        <f>SUMIFS(BalDip!$N$49:$N$75,BalDip!$C$49:$C$75,Used_before_Trf!A124)+SUMIFS(BalDip!$N$134:$N$157,BalDip!$C$134:$C$157,Used_before_Trf!A124)</f>
        <v>0</v>
      </c>
      <c r="AJ124" s="171">
        <f t="shared" si="57"/>
        <v>0</v>
      </c>
      <c r="AK124" s="177">
        <f>SUMIFS(BalDip!$N$80:$N$106,BalDip!$C$80:$C$106,Used_before_Trf!A124)+SUMIFS(BalDip!$N$161:$N$184,BalDip!$C$161:$C$184,Used_before_Trf!A124)</f>
        <v>0</v>
      </c>
      <c r="AL124" s="178">
        <f t="shared" si="58"/>
        <v>0</v>
      </c>
      <c r="AM124" s="179">
        <f t="shared" si="59"/>
        <v>0</v>
      </c>
      <c r="AN124" s="440">
        <f t="shared" si="60"/>
        <v>0</v>
      </c>
      <c r="AO124" s="180">
        <f t="shared" si="61"/>
        <v>0</v>
      </c>
    </row>
    <row r="125" spans="1:41" s="108" customFormat="1" ht="15" customHeight="1">
      <c r="A125" s="135" t="s">
        <v>409</v>
      </c>
      <c r="B125" s="573" t="s">
        <v>410</v>
      </c>
      <c r="C125" s="136">
        <f>SUMIF('Che-Store'!A:A,Used_before_Trf!A125,'Che-Store'!AC:AC)+SUMIF('Che-Comp'!A:A,Used_before_Trf!A125,'Che-Comp'!AC:AC)</f>
        <v>0</v>
      </c>
      <c r="D125" s="137">
        <f t="shared" si="41"/>
        <v>0</v>
      </c>
      <c r="E125" s="138">
        <f>SUMIF('Che-Store'!A:A,Used_before_Trf!A125,'Che-Store'!AE:AE)+SUMIF('Che-Comp'!A:A,Used_before_Trf!A125,'Che-Comp'!AE:AE)</f>
        <v>0</v>
      </c>
      <c r="F125" s="136">
        <f>SUMIFS('Che-Comp'!F:F,'Che-Comp'!$A:$A,Used_before_Trf!$A125)</f>
        <v>0</v>
      </c>
      <c r="G125" s="138">
        <f>SUMIFS('Che-Comp'!G:G,'Che-Comp'!$A:$A,Used_before_Trf!$A125)</f>
        <v>0</v>
      </c>
      <c r="H125" s="137">
        <f t="shared" si="42"/>
        <v>0</v>
      </c>
      <c r="I125" s="137">
        <f t="shared" si="43"/>
        <v>0</v>
      </c>
      <c r="J125" s="137">
        <f t="shared" si="44"/>
        <v>0</v>
      </c>
      <c r="K125" s="158">
        <f>SUMIF('Che.-Prod'!A:A,Used_before_Trf!A125,'Che.-Prod'!D:D)</f>
        <v>0</v>
      </c>
      <c r="L125" s="137">
        <f t="shared" si="45"/>
        <v>0</v>
      </c>
      <c r="M125" s="159">
        <f>SUMIF('Che.-Prod'!A:A,Used_before_Trf!A125,'Che.-Prod'!F:F)</f>
        <v>0</v>
      </c>
      <c r="N125" s="160">
        <f>SUMIF('Che.-Prod'!A:A,Used_before_Trf!A125,'Che.-Prod'!G:G)</f>
        <v>0</v>
      </c>
      <c r="O125" s="161">
        <f t="shared" si="46"/>
        <v>0</v>
      </c>
      <c r="P125" s="162">
        <f>SUMIF('Che.-Prod'!A:A,Used_before_Trf!A125,'Che.-Prod'!H:H)</f>
        <v>0</v>
      </c>
      <c r="Q125" s="160">
        <f>SUMIF('Che.-Prod'!A:A,Used_before_Trf!A125,'Che.-Prod'!P:P)</f>
        <v>0</v>
      </c>
      <c r="R125" s="161">
        <f t="shared" si="47"/>
        <v>0</v>
      </c>
      <c r="S125" s="159">
        <f>SUMIF('Che.-Prod'!A:A,Used_before_Trf!A125,'Che.-Prod'!R:R)</f>
        <v>0</v>
      </c>
      <c r="T125" s="169">
        <f t="shared" si="48"/>
        <v>0</v>
      </c>
      <c r="U125" s="507">
        <f t="shared" si="49"/>
        <v>0</v>
      </c>
      <c r="V125" s="170">
        <f t="shared" si="50"/>
        <v>0</v>
      </c>
      <c r="W125" s="158">
        <f>SUMIF('CHE-last month'!$A:$A,Used_before_Trf!A125,'CHE-last month'!C:C)</f>
        <v>0</v>
      </c>
      <c r="X125" s="520">
        <f t="shared" si="51"/>
        <v>0</v>
      </c>
      <c r="Y125" s="162">
        <f>SUMIF('CHE-last month'!$A:$A,Used_before_Trf!A125,'CHE-last month'!E:E)</f>
        <v>0</v>
      </c>
      <c r="Z125" s="159">
        <f t="shared" si="52"/>
        <v>0</v>
      </c>
      <c r="AA125" s="520">
        <f t="shared" si="53"/>
        <v>0</v>
      </c>
      <c r="AB125" s="159">
        <f t="shared" si="54"/>
        <v>0</v>
      </c>
      <c r="AC125" s="160">
        <f>SUMIFS(BalCom!M:M,BalCom!N:N,Used_before_Trf!A125,BalCom!C:C,Used_before_Trf!$AC$1)</f>
        <v>0</v>
      </c>
      <c r="AD125" s="171">
        <f t="shared" si="55"/>
        <v>0</v>
      </c>
      <c r="AE125" s="159">
        <f>SUMIFS(BalCom!P:P,BalCom!N:N,Used_before_Trf!A125,BalCom!C:C,Used_before_Trf!$AC$1)</f>
        <v>0</v>
      </c>
      <c r="AF125" s="160">
        <f>SUMIFS(BalDis!I:I,BalDis!J:J,Used_before_Trf!A125)</f>
        <v>0</v>
      </c>
      <c r="AG125" s="171">
        <f t="shared" si="56"/>
        <v>0</v>
      </c>
      <c r="AH125" s="162">
        <f>SUMIFS(BalDis!L:L,BalDis!J:J,Used_before_Trf!A125)</f>
        <v>0</v>
      </c>
      <c r="AI125" s="159">
        <f>SUMIFS(BalDip!$N$49:$N$75,BalDip!$C$49:$C$75,Used_before_Trf!A125)+SUMIFS(BalDip!$N$134:$N$157,BalDip!$C$134:$C$157,Used_before_Trf!A125)</f>
        <v>0</v>
      </c>
      <c r="AJ125" s="171">
        <f t="shared" si="57"/>
        <v>0</v>
      </c>
      <c r="AK125" s="177">
        <f>SUMIFS(BalDip!$N$80:$N$106,BalDip!$C$80:$C$106,Used_before_Trf!A125)+SUMIFS(BalDip!$N$161:$N$184,BalDip!$C$161:$C$184,Used_before_Trf!A125)</f>
        <v>0</v>
      </c>
      <c r="AL125" s="178">
        <f t="shared" si="58"/>
        <v>0</v>
      </c>
      <c r="AM125" s="179">
        <f t="shared" si="59"/>
        <v>0</v>
      </c>
      <c r="AN125" s="440">
        <f t="shared" si="60"/>
        <v>0</v>
      </c>
      <c r="AO125" s="180">
        <f t="shared" si="61"/>
        <v>0</v>
      </c>
    </row>
    <row r="126" spans="1:41" s="108" customFormat="1" ht="15" customHeight="1">
      <c r="A126" s="135" t="s">
        <v>411</v>
      </c>
      <c r="B126" s="573" t="s">
        <v>412</v>
      </c>
      <c r="C126" s="136">
        <f>SUMIF('Che-Store'!A:A,Used_before_Trf!A126,'Che-Store'!AC:AC)+SUMIF('Che-Comp'!A:A,Used_before_Trf!A126,'Che-Comp'!AC:AC)</f>
        <v>0</v>
      </c>
      <c r="D126" s="137">
        <f t="shared" si="41"/>
        <v>0</v>
      </c>
      <c r="E126" s="138">
        <f>SUMIF('Che-Store'!A:A,Used_before_Trf!A126,'Che-Store'!AE:AE)+SUMIF('Che-Comp'!A:A,Used_before_Trf!A126,'Che-Comp'!AE:AE)</f>
        <v>0</v>
      </c>
      <c r="F126" s="136">
        <f>SUMIFS('Che-Comp'!F:F,'Che-Comp'!$A:$A,Used_before_Trf!$A126)</f>
        <v>0</v>
      </c>
      <c r="G126" s="138">
        <f>SUMIFS('Che-Comp'!G:G,'Che-Comp'!$A:$A,Used_before_Trf!$A126)</f>
        <v>0</v>
      </c>
      <c r="H126" s="137">
        <f t="shared" si="42"/>
        <v>0</v>
      </c>
      <c r="I126" s="137">
        <f t="shared" si="43"/>
        <v>0</v>
      </c>
      <c r="J126" s="137">
        <f t="shared" si="44"/>
        <v>0</v>
      </c>
      <c r="K126" s="158">
        <f>SUMIF('Che.-Prod'!A:A,Used_before_Trf!A126,'Che.-Prod'!D:D)</f>
        <v>0</v>
      </c>
      <c r="L126" s="137">
        <f t="shared" si="45"/>
        <v>0</v>
      </c>
      <c r="M126" s="159">
        <f>SUMIF('Che.-Prod'!A:A,Used_before_Trf!A126,'Che.-Prod'!F:F)</f>
        <v>0</v>
      </c>
      <c r="N126" s="160">
        <f>SUMIF('Che.-Prod'!A:A,Used_before_Trf!A126,'Che.-Prod'!G:G)</f>
        <v>0</v>
      </c>
      <c r="O126" s="161">
        <f t="shared" si="46"/>
        <v>0</v>
      </c>
      <c r="P126" s="162">
        <f>SUMIF('Che.-Prod'!A:A,Used_before_Trf!A126,'Che.-Prod'!H:H)</f>
        <v>0</v>
      </c>
      <c r="Q126" s="160">
        <f>SUMIF('Che.-Prod'!A:A,Used_before_Trf!A126,'Che.-Prod'!P:P)</f>
        <v>0</v>
      </c>
      <c r="R126" s="161">
        <f t="shared" si="47"/>
        <v>0</v>
      </c>
      <c r="S126" s="159">
        <f>SUMIF('Che.-Prod'!A:A,Used_before_Trf!A126,'Che.-Prod'!R:R)</f>
        <v>0</v>
      </c>
      <c r="T126" s="169">
        <f t="shared" si="48"/>
        <v>0</v>
      </c>
      <c r="U126" s="507">
        <f t="shared" si="49"/>
        <v>0</v>
      </c>
      <c r="V126" s="170">
        <f t="shared" si="50"/>
        <v>0</v>
      </c>
      <c r="W126" s="158">
        <f>SUMIF('CHE-last month'!$A:$A,Used_before_Trf!A126,'CHE-last month'!C:C)</f>
        <v>0</v>
      </c>
      <c r="X126" s="520">
        <f t="shared" si="51"/>
        <v>0</v>
      </c>
      <c r="Y126" s="162">
        <f>SUMIF('CHE-last month'!$A:$A,Used_before_Trf!A126,'CHE-last month'!E:E)</f>
        <v>0</v>
      </c>
      <c r="Z126" s="159">
        <f t="shared" si="52"/>
        <v>0</v>
      </c>
      <c r="AA126" s="520">
        <f t="shared" si="53"/>
        <v>0</v>
      </c>
      <c r="AB126" s="159">
        <f t="shared" si="54"/>
        <v>0</v>
      </c>
      <c r="AC126" s="160">
        <f>SUMIFS(BalCom!M:M,BalCom!N:N,Used_before_Trf!A126,BalCom!C:C,Used_before_Trf!$AC$1)</f>
        <v>0</v>
      </c>
      <c r="AD126" s="171">
        <f t="shared" si="55"/>
        <v>0</v>
      </c>
      <c r="AE126" s="159">
        <f>SUMIFS(BalCom!P:P,BalCom!N:N,Used_before_Trf!A126,BalCom!C:C,Used_before_Trf!$AC$1)</f>
        <v>0</v>
      </c>
      <c r="AF126" s="160">
        <f>SUMIFS(BalDis!I:I,BalDis!J:J,Used_before_Trf!A126)</f>
        <v>0</v>
      </c>
      <c r="AG126" s="171">
        <f t="shared" si="56"/>
        <v>0</v>
      </c>
      <c r="AH126" s="162">
        <f>SUMIFS(BalDis!L:L,BalDis!J:J,Used_before_Trf!A126)</f>
        <v>0</v>
      </c>
      <c r="AI126" s="159">
        <f>SUMIFS(BalDip!$N$49:$N$75,BalDip!$C$49:$C$75,Used_before_Trf!A126)+SUMIFS(BalDip!$N$134:$N$157,BalDip!$C$134:$C$157,Used_before_Trf!A126)</f>
        <v>0</v>
      </c>
      <c r="AJ126" s="171">
        <f t="shared" si="57"/>
        <v>0</v>
      </c>
      <c r="AK126" s="177">
        <f>SUMIFS(BalDip!$N$80:$N$106,BalDip!$C$80:$C$106,Used_before_Trf!A126)+SUMIFS(BalDip!$N$161:$N$184,BalDip!$C$161:$C$184,Used_before_Trf!A126)</f>
        <v>0</v>
      </c>
      <c r="AL126" s="178">
        <f t="shared" si="58"/>
        <v>0</v>
      </c>
      <c r="AM126" s="179">
        <f t="shared" si="59"/>
        <v>0</v>
      </c>
      <c r="AN126" s="440">
        <f t="shared" si="60"/>
        <v>0</v>
      </c>
      <c r="AO126" s="180">
        <f t="shared" si="61"/>
        <v>0</v>
      </c>
    </row>
    <row r="127" spans="1:41" s="108" customFormat="1" ht="15" customHeight="1">
      <c r="A127" s="135" t="s">
        <v>413</v>
      </c>
      <c r="B127" s="573" t="s">
        <v>414</v>
      </c>
      <c r="C127" s="136">
        <f>SUMIF('Che-Store'!A:A,Used_before_Trf!A127,'Che-Store'!AC:AC)+SUMIF('Che-Comp'!A:A,Used_before_Trf!A127,'Che-Comp'!AC:AC)</f>
        <v>0</v>
      </c>
      <c r="D127" s="137">
        <f t="shared" si="41"/>
        <v>0</v>
      </c>
      <c r="E127" s="138">
        <f>SUMIF('Che-Store'!A:A,Used_before_Trf!A127,'Che-Store'!AE:AE)+SUMIF('Che-Comp'!A:A,Used_before_Trf!A127,'Che-Comp'!AE:AE)</f>
        <v>0</v>
      </c>
      <c r="F127" s="136">
        <f>SUMIFS('Che-Comp'!F:F,'Che-Comp'!$A:$A,Used_before_Trf!$A127)</f>
        <v>0</v>
      </c>
      <c r="G127" s="138">
        <f>SUMIFS('Che-Comp'!G:G,'Che-Comp'!$A:$A,Used_before_Trf!$A127)</f>
        <v>0</v>
      </c>
      <c r="H127" s="137">
        <f t="shared" si="42"/>
        <v>0</v>
      </c>
      <c r="I127" s="137">
        <f t="shared" si="43"/>
        <v>0</v>
      </c>
      <c r="J127" s="137">
        <f t="shared" si="44"/>
        <v>0</v>
      </c>
      <c r="K127" s="158">
        <f>SUMIF('Che.-Prod'!A:A,Used_before_Trf!A127,'Che.-Prod'!D:D)</f>
        <v>0</v>
      </c>
      <c r="L127" s="137">
        <f t="shared" si="45"/>
        <v>0</v>
      </c>
      <c r="M127" s="159">
        <f>SUMIF('Che.-Prod'!A:A,Used_before_Trf!A127,'Che.-Prod'!F:F)</f>
        <v>0</v>
      </c>
      <c r="N127" s="160">
        <f>SUMIF('Che.-Prod'!A:A,Used_before_Trf!A127,'Che.-Prod'!G:G)</f>
        <v>0</v>
      </c>
      <c r="O127" s="161">
        <f t="shared" si="46"/>
        <v>0</v>
      </c>
      <c r="P127" s="162">
        <f>SUMIF('Che.-Prod'!A:A,Used_before_Trf!A127,'Che.-Prod'!H:H)</f>
        <v>0</v>
      </c>
      <c r="Q127" s="160">
        <f>SUMIF('Che.-Prod'!A:A,Used_before_Trf!A127,'Che.-Prod'!P:P)</f>
        <v>0</v>
      </c>
      <c r="R127" s="161">
        <f t="shared" si="47"/>
        <v>0</v>
      </c>
      <c r="S127" s="159">
        <f>SUMIF('Che.-Prod'!A:A,Used_before_Trf!A127,'Che.-Prod'!R:R)</f>
        <v>0</v>
      </c>
      <c r="T127" s="169">
        <f t="shared" si="48"/>
        <v>0</v>
      </c>
      <c r="U127" s="507">
        <f t="shared" si="49"/>
        <v>0</v>
      </c>
      <c r="V127" s="170">
        <f t="shared" si="50"/>
        <v>0</v>
      </c>
      <c r="W127" s="158">
        <f>SUMIF('CHE-last month'!$A:$A,Used_before_Trf!A127,'CHE-last month'!C:C)</f>
        <v>0</v>
      </c>
      <c r="X127" s="520">
        <f t="shared" si="51"/>
        <v>0</v>
      </c>
      <c r="Y127" s="162">
        <f>SUMIF('CHE-last month'!$A:$A,Used_before_Trf!A127,'CHE-last month'!E:E)</f>
        <v>0</v>
      </c>
      <c r="Z127" s="159">
        <f t="shared" si="52"/>
        <v>0</v>
      </c>
      <c r="AA127" s="520">
        <f t="shared" si="53"/>
        <v>0</v>
      </c>
      <c r="AB127" s="159">
        <f t="shared" si="54"/>
        <v>0</v>
      </c>
      <c r="AC127" s="160">
        <f>SUMIFS(BalCom!M:M,BalCom!N:N,Used_before_Trf!A127,BalCom!C:C,Used_before_Trf!$AC$1)</f>
        <v>0</v>
      </c>
      <c r="AD127" s="171">
        <f t="shared" si="55"/>
        <v>0</v>
      </c>
      <c r="AE127" s="159">
        <f>SUMIFS(BalCom!P:P,BalCom!N:N,Used_before_Trf!A127,BalCom!C:C,Used_before_Trf!$AC$1)</f>
        <v>0</v>
      </c>
      <c r="AF127" s="160">
        <f>SUMIFS(BalDis!I:I,BalDis!J:J,Used_before_Trf!A127)</f>
        <v>0</v>
      </c>
      <c r="AG127" s="171">
        <f t="shared" si="56"/>
        <v>0</v>
      </c>
      <c r="AH127" s="162">
        <f>SUMIFS(BalDis!L:L,BalDis!J:J,Used_before_Trf!A127)</f>
        <v>0</v>
      </c>
      <c r="AI127" s="159">
        <f>SUMIFS(BalDip!$N$49:$N$75,BalDip!$C$49:$C$75,Used_before_Trf!A127)+SUMIFS(BalDip!$N$134:$N$157,BalDip!$C$134:$C$157,Used_before_Trf!A127)</f>
        <v>0</v>
      </c>
      <c r="AJ127" s="171">
        <f t="shared" si="57"/>
        <v>0</v>
      </c>
      <c r="AK127" s="177">
        <f>SUMIFS(BalDip!$N$80:$N$106,BalDip!$C$80:$C$106,Used_before_Trf!A127)+SUMIFS(BalDip!$N$161:$N$184,BalDip!$C$161:$C$184,Used_before_Trf!A127)</f>
        <v>0</v>
      </c>
      <c r="AL127" s="178">
        <f t="shared" si="58"/>
        <v>0</v>
      </c>
      <c r="AM127" s="179">
        <f t="shared" si="59"/>
        <v>0</v>
      </c>
      <c r="AN127" s="440">
        <f t="shared" si="60"/>
        <v>0</v>
      </c>
      <c r="AO127" s="180">
        <f t="shared" si="61"/>
        <v>0</v>
      </c>
    </row>
    <row r="128" spans="1:41" s="108" customFormat="1" ht="15" customHeight="1">
      <c r="A128" s="135" t="s">
        <v>415</v>
      </c>
      <c r="B128" s="573" t="s">
        <v>416</v>
      </c>
      <c r="C128" s="136">
        <f>SUMIF('Che-Store'!A:A,Used_before_Trf!A128,'Che-Store'!AC:AC)+SUMIF('Che-Comp'!A:A,Used_before_Trf!A128,'Che-Comp'!AC:AC)</f>
        <v>0</v>
      </c>
      <c r="D128" s="137">
        <f t="shared" si="41"/>
        <v>0</v>
      </c>
      <c r="E128" s="138">
        <f>SUMIF('Che-Store'!A:A,Used_before_Trf!A128,'Che-Store'!AE:AE)+SUMIF('Che-Comp'!A:A,Used_before_Trf!A128,'Che-Comp'!AE:AE)</f>
        <v>0</v>
      </c>
      <c r="F128" s="136">
        <f>SUMIFS('Che-Comp'!F:F,'Che-Comp'!$A:$A,Used_before_Trf!$A128)</f>
        <v>0</v>
      </c>
      <c r="G128" s="138">
        <f>SUMIFS('Che-Comp'!G:G,'Che-Comp'!$A:$A,Used_before_Trf!$A128)</f>
        <v>0</v>
      </c>
      <c r="H128" s="137">
        <f t="shared" si="42"/>
        <v>0</v>
      </c>
      <c r="I128" s="137">
        <f t="shared" si="43"/>
        <v>0</v>
      </c>
      <c r="J128" s="137">
        <f t="shared" si="44"/>
        <v>0</v>
      </c>
      <c r="K128" s="158">
        <f>SUMIF('Che.-Prod'!A:A,Used_before_Trf!A128,'Che.-Prod'!D:D)</f>
        <v>0</v>
      </c>
      <c r="L128" s="137">
        <f t="shared" si="45"/>
        <v>0</v>
      </c>
      <c r="M128" s="159">
        <f>SUMIF('Che.-Prod'!A:A,Used_before_Trf!A128,'Che.-Prod'!F:F)</f>
        <v>0</v>
      </c>
      <c r="N128" s="160">
        <f>SUMIF('Che.-Prod'!A:A,Used_before_Trf!A128,'Che.-Prod'!G:G)</f>
        <v>0</v>
      </c>
      <c r="O128" s="161">
        <f t="shared" si="46"/>
        <v>0</v>
      </c>
      <c r="P128" s="162">
        <f>SUMIF('Che.-Prod'!A:A,Used_before_Trf!A128,'Che.-Prod'!H:H)</f>
        <v>0</v>
      </c>
      <c r="Q128" s="160">
        <f>SUMIF('Che.-Prod'!A:A,Used_before_Trf!A128,'Che.-Prod'!P:P)</f>
        <v>0</v>
      </c>
      <c r="R128" s="161">
        <f t="shared" si="47"/>
        <v>0</v>
      </c>
      <c r="S128" s="159">
        <f>SUMIF('Che.-Prod'!A:A,Used_before_Trf!A128,'Che.-Prod'!R:R)</f>
        <v>0</v>
      </c>
      <c r="T128" s="169">
        <f t="shared" si="48"/>
        <v>0</v>
      </c>
      <c r="U128" s="507">
        <f t="shared" si="49"/>
        <v>0</v>
      </c>
      <c r="V128" s="170">
        <f t="shared" si="50"/>
        <v>0</v>
      </c>
      <c r="W128" s="158">
        <f>SUMIF('CHE-last month'!$A:$A,Used_before_Trf!A128,'CHE-last month'!C:C)</f>
        <v>0</v>
      </c>
      <c r="X128" s="520">
        <f t="shared" si="51"/>
        <v>0</v>
      </c>
      <c r="Y128" s="162">
        <f>SUMIF('CHE-last month'!$A:$A,Used_before_Trf!A128,'CHE-last month'!E:E)</f>
        <v>0</v>
      </c>
      <c r="Z128" s="159">
        <f t="shared" si="52"/>
        <v>0</v>
      </c>
      <c r="AA128" s="520">
        <f t="shared" si="53"/>
        <v>0</v>
      </c>
      <c r="AB128" s="159">
        <f t="shared" si="54"/>
        <v>0</v>
      </c>
      <c r="AC128" s="160">
        <f>SUMIFS(BalCom!M:M,BalCom!N:N,Used_before_Trf!A128,BalCom!C:C,Used_before_Trf!$AC$1)</f>
        <v>0</v>
      </c>
      <c r="AD128" s="171">
        <f t="shared" si="55"/>
        <v>0</v>
      </c>
      <c r="AE128" s="159">
        <f>SUMIFS(BalCom!P:P,BalCom!N:N,Used_before_Trf!A128,BalCom!C:C,Used_before_Trf!$AC$1)</f>
        <v>0</v>
      </c>
      <c r="AF128" s="160">
        <f>SUMIFS(BalDis!I:I,BalDis!J:J,Used_before_Trf!A128)</f>
        <v>0</v>
      </c>
      <c r="AG128" s="171">
        <f t="shared" si="56"/>
        <v>0</v>
      </c>
      <c r="AH128" s="162">
        <f>SUMIFS(BalDis!L:L,BalDis!J:J,Used_before_Trf!A128)</f>
        <v>0</v>
      </c>
      <c r="AI128" s="159">
        <f>SUMIFS(BalDip!$N$49:$N$75,BalDip!$C$49:$C$75,Used_before_Trf!A128)+SUMIFS(BalDip!$N$134:$N$157,BalDip!$C$134:$C$157,Used_before_Trf!A128)</f>
        <v>0</v>
      </c>
      <c r="AJ128" s="171">
        <f t="shared" si="57"/>
        <v>0</v>
      </c>
      <c r="AK128" s="177">
        <f>SUMIFS(BalDip!$N$80:$N$106,BalDip!$C$80:$C$106,Used_before_Trf!A128)+SUMIFS(BalDip!$N$161:$N$184,BalDip!$C$161:$C$184,Used_before_Trf!A128)</f>
        <v>0</v>
      </c>
      <c r="AL128" s="178">
        <f t="shared" si="58"/>
        <v>0</v>
      </c>
      <c r="AM128" s="179">
        <f t="shared" si="59"/>
        <v>0</v>
      </c>
      <c r="AN128" s="440">
        <f t="shared" si="60"/>
        <v>0</v>
      </c>
      <c r="AO128" s="180">
        <f t="shared" si="61"/>
        <v>0</v>
      </c>
    </row>
    <row r="129" spans="1:41" s="108" customFormat="1" ht="15" customHeight="1">
      <c r="A129" s="135" t="s">
        <v>417</v>
      </c>
      <c r="B129" s="573" t="s">
        <v>418</v>
      </c>
      <c r="C129" s="136">
        <f>SUMIF('Che-Store'!A:A,Used_before_Trf!A129,'Che-Store'!AC:AC)+SUMIF('Che-Comp'!A:A,Used_before_Trf!A129,'Che-Comp'!AC:AC)</f>
        <v>0</v>
      </c>
      <c r="D129" s="137">
        <f t="shared" si="41"/>
        <v>0</v>
      </c>
      <c r="E129" s="138">
        <f>SUMIF('Che-Store'!A:A,Used_before_Trf!A129,'Che-Store'!AE:AE)+SUMIF('Che-Comp'!A:A,Used_before_Trf!A129,'Che-Comp'!AE:AE)</f>
        <v>0</v>
      </c>
      <c r="F129" s="136">
        <f>SUMIFS('Che-Comp'!F:F,'Che-Comp'!$A:$A,Used_before_Trf!$A129)</f>
        <v>0</v>
      </c>
      <c r="G129" s="138">
        <f>SUMIFS('Che-Comp'!G:G,'Che-Comp'!$A:$A,Used_before_Trf!$A129)</f>
        <v>0</v>
      </c>
      <c r="H129" s="137">
        <f t="shared" si="42"/>
        <v>0</v>
      </c>
      <c r="I129" s="137">
        <f t="shared" si="43"/>
        <v>0</v>
      </c>
      <c r="J129" s="137">
        <f t="shared" si="44"/>
        <v>0</v>
      </c>
      <c r="K129" s="158">
        <f>SUMIF('Che.-Prod'!A:A,Used_before_Trf!A129,'Che.-Prod'!D:D)</f>
        <v>0</v>
      </c>
      <c r="L129" s="137">
        <f t="shared" si="45"/>
        <v>0</v>
      </c>
      <c r="M129" s="159">
        <f>SUMIF('Che.-Prod'!A:A,Used_before_Trf!A129,'Che.-Prod'!F:F)</f>
        <v>0</v>
      </c>
      <c r="N129" s="160">
        <f>SUMIF('Che.-Prod'!A:A,Used_before_Trf!A129,'Che.-Prod'!G:G)</f>
        <v>0</v>
      </c>
      <c r="O129" s="161">
        <f t="shared" si="46"/>
        <v>0</v>
      </c>
      <c r="P129" s="162">
        <f>SUMIF('Che.-Prod'!A:A,Used_before_Trf!A129,'Che.-Prod'!H:H)</f>
        <v>0</v>
      </c>
      <c r="Q129" s="160">
        <f>SUMIF('Che.-Prod'!A:A,Used_before_Trf!A129,'Che.-Prod'!P:P)</f>
        <v>0</v>
      </c>
      <c r="R129" s="161">
        <f t="shared" si="47"/>
        <v>0</v>
      </c>
      <c r="S129" s="159">
        <f>SUMIF('Che.-Prod'!A:A,Used_before_Trf!A129,'Che.-Prod'!R:R)</f>
        <v>0</v>
      </c>
      <c r="T129" s="169">
        <f t="shared" si="48"/>
        <v>0</v>
      </c>
      <c r="U129" s="507">
        <f t="shared" si="49"/>
        <v>0</v>
      </c>
      <c r="V129" s="170">
        <f t="shared" si="50"/>
        <v>0</v>
      </c>
      <c r="W129" s="158">
        <f>SUMIF('CHE-last month'!$A:$A,Used_before_Trf!A129,'CHE-last month'!C:C)</f>
        <v>0</v>
      </c>
      <c r="X129" s="520">
        <f t="shared" si="51"/>
        <v>0</v>
      </c>
      <c r="Y129" s="162">
        <f>SUMIF('CHE-last month'!$A:$A,Used_before_Trf!A129,'CHE-last month'!E:E)</f>
        <v>0</v>
      </c>
      <c r="Z129" s="159">
        <f t="shared" si="52"/>
        <v>0</v>
      </c>
      <c r="AA129" s="520">
        <f t="shared" si="53"/>
        <v>0</v>
      </c>
      <c r="AB129" s="159">
        <f t="shared" si="54"/>
        <v>0</v>
      </c>
      <c r="AC129" s="160">
        <f>SUMIFS(BalCom!M:M,BalCom!N:N,Used_before_Trf!A129,BalCom!C:C,Used_before_Trf!$AC$1)</f>
        <v>0</v>
      </c>
      <c r="AD129" s="171">
        <f t="shared" si="55"/>
        <v>0</v>
      </c>
      <c r="AE129" s="159">
        <f>SUMIFS(BalCom!P:P,BalCom!N:N,Used_before_Trf!A129,BalCom!C:C,Used_before_Trf!$AC$1)</f>
        <v>0</v>
      </c>
      <c r="AF129" s="160">
        <f>SUMIFS(BalDis!I:I,BalDis!J:J,Used_before_Trf!A129)</f>
        <v>0</v>
      </c>
      <c r="AG129" s="171">
        <f t="shared" si="56"/>
        <v>0</v>
      </c>
      <c r="AH129" s="162">
        <f>SUMIFS(BalDis!L:L,BalDis!J:J,Used_before_Trf!A129)</f>
        <v>0</v>
      </c>
      <c r="AI129" s="159">
        <f>SUMIFS(BalDip!$N$49:$N$75,BalDip!$C$49:$C$75,Used_before_Trf!A129)+SUMIFS(BalDip!$N$134:$N$157,BalDip!$C$134:$C$157,Used_before_Trf!A129)</f>
        <v>0</v>
      </c>
      <c r="AJ129" s="171">
        <f t="shared" si="57"/>
        <v>0</v>
      </c>
      <c r="AK129" s="177">
        <f>SUMIFS(BalDip!$N$80:$N$106,BalDip!$C$80:$C$106,Used_before_Trf!A129)+SUMIFS(BalDip!$N$161:$N$184,BalDip!$C$161:$C$184,Used_before_Trf!A129)</f>
        <v>0</v>
      </c>
      <c r="AL129" s="178">
        <f t="shared" si="58"/>
        <v>0</v>
      </c>
      <c r="AM129" s="179">
        <f t="shared" si="59"/>
        <v>0</v>
      </c>
      <c r="AN129" s="440">
        <f t="shared" si="60"/>
        <v>0</v>
      </c>
      <c r="AO129" s="180">
        <f t="shared" si="61"/>
        <v>0</v>
      </c>
    </row>
    <row r="130" spans="1:41" s="108" customFormat="1" ht="15" customHeight="1">
      <c r="A130" s="135" t="s">
        <v>419</v>
      </c>
      <c r="B130" s="573" t="s">
        <v>420</v>
      </c>
      <c r="C130" s="136">
        <f>SUMIF('Che-Store'!A:A,Used_before_Trf!A130,'Che-Store'!AC:AC)+SUMIF('Che-Comp'!A:A,Used_before_Trf!A130,'Che-Comp'!AC:AC)</f>
        <v>0</v>
      </c>
      <c r="D130" s="137">
        <f t="shared" si="41"/>
        <v>0</v>
      </c>
      <c r="E130" s="138">
        <f>SUMIF('Che-Store'!A:A,Used_before_Trf!A130,'Che-Store'!AE:AE)+SUMIF('Che-Comp'!A:A,Used_before_Trf!A130,'Che-Comp'!AE:AE)</f>
        <v>0</v>
      </c>
      <c r="F130" s="136">
        <f>SUMIFS('Che-Comp'!F:F,'Che-Comp'!$A:$A,Used_before_Trf!$A130)</f>
        <v>0</v>
      </c>
      <c r="G130" s="138">
        <f>SUMIFS('Che-Comp'!G:G,'Che-Comp'!$A:$A,Used_before_Trf!$A130)</f>
        <v>0</v>
      </c>
      <c r="H130" s="137">
        <f t="shared" si="42"/>
        <v>0</v>
      </c>
      <c r="I130" s="137">
        <f t="shared" si="43"/>
        <v>0</v>
      </c>
      <c r="J130" s="137">
        <f t="shared" si="44"/>
        <v>0</v>
      </c>
      <c r="K130" s="158">
        <f>SUMIF('Che.-Prod'!A:A,Used_before_Trf!A130,'Che.-Prod'!D:D)</f>
        <v>0</v>
      </c>
      <c r="L130" s="137">
        <f t="shared" si="45"/>
        <v>0</v>
      </c>
      <c r="M130" s="159">
        <f>SUMIF('Che.-Prod'!A:A,Used_before_Trf!A130,'Che.-Prod'!F:F)</f>
        <v>0</v>
      </c>
      <c r="N130" s="160">
        <f>SUMIF('Che.-Prod'!A:A,Used_before_Trf!A130,'Che.-Prod'!G:G)</f>
        <v>0</v>
      </c>
      <c r="O130" s="161">
        <f t="shared" si="46"/>
        <v>0</v>
      </c>
      <c r="P130" s="162">
        <f>SUMIF('Che.-Prod'!A:A,Used_before_Trf!A130,'Che.-Prod'!H:H)</f>
        <v>0</v>
      </c>
      <c r="Q130" s="160">
        <f>SUMIF('Che.-Prod'!A:A,Used_before_Trf!A130,'Che.-Prod'!P:P)</f>
        <v>0</v>
      </c>
      <c r="R130" s="161">
        <f t="shared" si="47"/>
        <v>0</v>
      </c>
      <c r="S130" s="159">
        <f>SUMIF('Che.-Prod'!A:A,Used_before_Trf!A130,'Che.-Prod'!R:R)</f>
        <v>0</v>
      </c>
      <c r="T130" s="169">
        <f t="shared" si="48"/>
        <v>0</v>
      </c>
      <c r="U130" s="507">
        <f t="shared" si="49"/>
        <v>0</v>
      </c>
      <c r="V130" s="170">
        <f t="shared" si="50"/>
        <v>0</v>
      </c>
      <c r="W130" s="158">
        <f>SUMIF('CHE-last month'!$A:$A,Used_before_Trf!A130,'CHE-last month'!C:C)</f>
        <v>0</v>
      </c>
      <c r="X130" s="520">
        <f t="shared" si="51"/>
        <v>0</v>
      </c>
      <c r="Y130" s="162">
        <f>SUMIF('CHE-last month'!$A:$A,Used_before_Trf!A130,'CHE-last month'!E:E)</f>
        <v>0</v>
      </c>
      <c r="Z130" s="159">
        <f t="shared" si="52"/>
        <v>0</v>
      </c>
      <c r="AA130" s="520">
        <f t="shared" si="53"/>
        <v>0</v>
      </c>
      <c r="AB130" s="159">
        <f t="shared" si="54"/>
        <v>0</v>
      </c>
      <c r="AC130" s="160">
        <f>SUMIFS(BalCom!M:M,BalCom!N:N,Used_before_Trf!A130,BalCom!C:C,Used_before_Trf!$AC$1)</f>
        <v>0</v>
      </c>
      <c r="AD130" s="171">
        <f t="shared" si="55"/>
        <v>0</v>
      </c>
      <c r="AE130" s="159">
        <f>SUMIFS(BalCom!P:P,BalCom!N:N,Used_before_Trf!A130,BalCom!C:C,Used_before_Trf!$AC$1)</f>
        <v>0</v>
      </c>
      <c r="AF130" s="160">
        <f>SUMIFS(BalDis!I:I,BalDis!J:J,Used_before_Trf!A130)</f>
        <v>0</v>
      </c>
      <c r="AG130" s="171">
        <f t="shared" si="56"/>
        <v>0</v>
      </c>
      <c r="AH130" s="162">
        <f>SUMIFS(BalDis!L:L,BalDis!J:J,Used_before_Trf!A130)</f>
        <v>0</v>
      </c>
      <c r="AI130" s="159">
        <f>SUMIFS(BalDip!$N$49:$N$75,BalDip!$C$49:$C$75,Used_before_Trf!A130)+SUMIFS(BalDip!$N$134:$N$157,BalDip!$C$134:$C$157,Used_before_Trf!A130)</f>
        <v>0</v>
      </c>
      <c r="AJ130" s="171">
        <f t="shared" si="57"/>
        <v>0</v>
      </c>
      <c r="AK130" s="177">
        <f>SUMIFS(BalDip!$N$80:$N$106,BalDip!$C$80:$C$106,Used_before_Trf!A130)+SUMIFS(BalDip!$N$161:$N$184,BalDip!$C$161:$C$184,Used_before_Trf!A130)</f>
        <v>0</v>
      </c>
      <c r="AL130" s="178">
        <f t="shared" si="58"/>
        <v>0</v>
      </c>
      <c r="AM130" s="179">
        <f t="shared" si="59"/>
        <v>0</v>
      </c>
      <c r="AN130" s="440">
        <f t="shared" si="60"/>
        <v>0</v>
      </c>
      <c r="AO130" s="180">
        <f t="shared" si="61"/>
        <v>0</v>
      </c>
    </row>
    <row r="131" spans="1:41" s="108" customFormat="1" ht="15" customHeight="1">
      <c r="A131" s="135" t="s">
        <v>421</v>
      </c>
      <c r="B131" s="573" t="s">
        <v>422</v>
      </c>
      <c r="C131" s="136">
        <f>SUMIF('Che-Store'!A:A,Used_before_Trf!A131,'Che-Store'!AC:AC)+SUMIF('Che-Comp'!A:A,Used_before_Trf!A131,'Che-Comp'!AC:AC)</f>
        <v>0</v>
      </c>
      <c r="D131" s="137">
        <f t="shared" si="41"/>
        <v>0</v>
      </c>
      <c r="E131" s="138">
        <f>SUMIF('Che-Store'!A:A,Used_before_Trf!A131,'Che-Store'!AE:AE)+SUMIF('Che-Comp'!A:A,Used_before_Trf!A131,'Che-Comp'!AE:AE)</f>
        <v>0</v>
      </c>
      <c r="F131" s="136">
        <f>SUMIFS('Che-Comp'!F:F,'Che-Comp'!$A:$A,Used_before_Trf!$A131)</f>
        <v>0</v>
      </c>
      <c r="G131" s="138">
        <f>SUMIFS('Che-Comp'!G:G,'Che-Comp'!$A:$A,Used_before_Trf!$A131)</f>
        <v>0</v>
      </c>
      <c r="H131" s="137">
        <f t="shared" si="42"/>
        <v>0</v>
      </c>
      <c r="I131" s="137">
        <f t="shared" si="43"/>
        <v>0</v>
      </c>
      <c r="J131" s="137">
        <f t="shared" si="44"/>
        <v>0</v>
      </c>
      <c r="K131" s="158">
        <f>SUMIF('Che.-Prod'!A:A,Used_before_Trf!A131,'Che.-Prod'!D:D)</f>
        <v>0</v>
      </c>
      <c r="L131" s="137">
        <f t="shared" si="45"/>
        <v>0</v>
      </c>
      <c r="M131" s="159">
        <f>SUMIF('Che.-Prod'!A:A,Used_before_Trf!A131,'Che.-Prod'!F:F)</f>
        <v>0</v>
      </c>
      <c r="N131" s="160">
        <f>SUMIF('Che.-Prod'!A:A,Used_before_Trf!A131,'Che.-Prod'!G:G)</f>
        <v>0</v>
      </c>
      <c r="O131" s="161">
        <f t="shared" si="46"/>
        <v>0</v>
      </c>
      <c r="P131" s="162">
        <f>SUMIF('Che.-Prod'!A:A,Used_before_Trf!A131,'Che.-Prod'!H:H)</f>
        <v>0</v>
      </c>
      <c r="Q131" s="160">
        <f>SUMIF('Che.-Prod'!A:A,Used_before_Trf!A131,'Che.-Prod'!P:P)</f>
        <v>0</v>
      </c>
      <c r="R131" s="161">
        <f t="shared" si="47"/>
        <v>0</v>
      </c>
      <c r="S131" s="159">
        <f>SUMIF('Che.-Prod'!A:A,Used_before_Trf!A131,'Che.-Prod'!R:R)</f>
        <v>0</v>
      </c>
      <c r="T131" s="169">
        <f t="shared" si="48"/>
        <v>0</v>
      </c>
      <c r="U131" s="507">
        <f t="shared" si="49"/>
        <v>0</v>
      </c>
      <c r="V131" s="170">
        <f t="shared" si="50"/>
        <v>0</v>
      </c>
      <c r="W131" s="158">
        <f>SUMIF('CHE-last month'!$A:$A,Used_before_Trf!A131,'CHE-last month'!C:C)</f>
        <v>0</v>
      </c>
      <c r="X131" s="520">
        <f t="shared" si="51"/>
        <v>0</v>
      </c>
      <c r="Y131" s="162">
        <f>SUMIF('CHE-last month'!$A:$A,Used_before_Trf!A131,'CHE-last month'!E:E)</f>
        <v>0</v>
      </c>
      <c r="Z131" s="159">
        <f t="shared" si="52"/>
        <v>0</v>
      </c>
      <c r="AA131" s="520">
        <f t="shared" si="53"/>
        <v>0</v>
      </c>
      <c r="AB131" s="159">
        <f t="shared" si="54"/>
        <v>0</v>
      </c>
      <c r="AC131" s="160">
        <f>SUMIFS(BalCom!M:M,BalCom!N:N,Used_before_Trf!A131,BalCom!C:C,Used_before_Trf!$AC$1)</f>
        <v>0</v>
      </c>
      <c r="AD131" s="171">
        <f t="shared" si="55"/>
        <v>0</v>
      </c>
      <c r="AE131" s="159">
        <f>SUMIFS(BalCom!P:P,BalCom!N:N,Used_before_Trf!A131,BalCom!C:C,Used_before_Trf!$AC$1)</f>
        <v>0</v>
      </c>
      <c r="AF131" s="160">
        <f>SUMIFS(BalDis!I:I,BalDis!J:J,Used_before_Trf!A131)</f>
        <v>0</v>
      </c>
      <c r="AG131" s="171">
        <f t="shared" si="56"/>
        <v>0</v>
      </c>
      <c r="AH131" s="162">
        <f>SUMIFS(BalDis!L:L,BalDis!J:J,Used_before_Trf!A131)</f>
        <v>0</v>
      </c>
      <c r="AI131" s="159">
        <f>SUMIFS(BalDip!$N$49:$N$75,BalDip!$C$49:$C$75,Used_before_Trf!A131)+SUMIFS(BalDip!$N$134:$N$157,BalDip!$C$134:$C$157,Used_before_Trf!A131)</f>
        <v>0</v>
      </c>
      <c r="AJ131" s="171">
        <f t="shared" si="57"/>
        <v>0</v>
      </c>
      <c r="AK131" s="177">
        <f>SUMIFS(BalDip!$N$80:$N$106,BalDip!$C$80:$C$106,Used_before_Trf!A131)+SUMIFS(BalDip!$N$161:$N$184,BalDip!$C$161:$C$184,Used_before_Trf!A131)</f>
        <v>0</v>
      </c>
      <c r="AL131" s="178">
        <f t="shared" si="58"/>
        <v>0</v>
      </c>
      <c r="AM131" s="179">
        <f t="shared" si="59"/>
        <v>0</v>
      </c>
      <c r="AN131" s="440">
        <f t="shared" si="60"/>
        <v>0</v>
      </c>
      <c r="AO131" s="180">
        <f t="shared" si="61"/>
        <v>0</v>
      </c>
    </row>
    <row r="132" spans="1:41" s="108" customFormat="1" ht="15" customHeight="1">
      <c r="A132" s="135" t="s">
        <v>423</v>
      </c>
      <c r="B132" s="573" t="s">
        <v>424</v>
      </c>
      <c r="C132" s="136">
        <f>SUMIF('Che-Store'!A:A,Used_before_Trf!A132,'Che-Store'!AC:AC)+SUMIF('Che-Comp'!A:A,Used_before_Trf!A132,'Che-Comp'!AC:AC)</f>
        <v>0</v>
      </c>
      <c r="D132" s="137">
        <f t="shared" si="41"/>
        <v>0</v>
      </c>
      <c r="E132" s="138">
        <f>SUMIF('Che-Store'!A:A,Used_before_Trf!A132,'Che-Store'!AE:AE)+SUMIF('Che-Comp'!A:A,Used_before_Trf!A132,'Che-Comp'!AE:AE)</f>
        <v>0</v>
      </c>
      <c r="F132" s="136">
        <f>SUMIFS('Che-Comp'!F:F,'Che-Comp'!$A:$A,Used_before_Trf!$A132)</f>
        <v>0</v>
      </c>
      <c r="G132" s="138">
        <f>SUMIFS('Che-Comp'!G:G,'Che-Comp'!$A:$A,Used_before_Trf!$A132)</f>
        <v>0</v>
      </c>
      <c r="H132" s="137">
        <f t="shared" si="42"/>
        <v>0</v>
      </c>
      <c r="I132" s="137">
        <f t="shared" si="43"/>
        <v>0</v>
      </c>
      <c r="J132" s="137">
        <f t="shared" si="44"/>
        <v>0</v>
      </c>
      <c r="K132" s="158">
        <f>SUMIF('Che.-Prod'!A:A,Used_before_Trf!A132,'Che.-Prod'!D:D)</f>
        <v>0</v>
      </c>
      <c r="L132" s="137">
        <f t="shared" si="45"/>
        <v>0</v>
      </c>
      <c r="M132" s="159">
        <f>SUMIF('Che.-Prod'!A:A,Used_before_Trf!A132,'Che.-Prod'!F:F)</f>
        <v>0</v>
      </c>
      <c r="N132" s="160">
        <f>SUMIF('Che.-Prod'!A:A,Used_before_Trf!A132,'Che.-Prod'!G:G)</f>
        <v>0</v>
      </c>
      <c r="O132" s="161">
        <f t="shared" si="46"/>
        <v>0</v>
      </c>
      <c r="P132" s="162">
        <f>SUMIF('Che.-Prod'!A:A,Used_before_Trf!A132,'Che.-Prod'!H:H)</f>
        <v>0</v>
      </c>
      <c r="Q132" s="160">
        <f>SUMIF('Che.-Prod'!A:A,Used_before_Trf!A132,'Che.-Prod'!P:P)</f>
        <v>0</v>
      </c>
      <c r="R132" s="161">
        <f t="shared" si="47"/>
        <v>0</v>
      </c>
      <c r="S132" s="159">
        <f>SUMIF('Che.-Prod'!A:A,Used_before_Trf!A132,'Che.-Prod'!R:R)</f>
        <v>0</v>
      </c>
      <c r="T132" s="169">
        <f t="shared" si="48"/>
        <v>0</v>
      </c>
      <c r="U132" s="507">
        <f t="shared" si="49"/>
        <v>0</v>
      </c>
      <c r="V132" s="170">
        <f t="shared" si="50"/>
        <v>0</v>
      </c>
      <c r="W132" s="158">
        <f>SUMIF('CHE-last month'!$A:$A,Used_before_Trf!A132,'CHE-last month'!C:C)</f>
        <v>0</v>
      </c>
      <c r="X132" s="520">
        <f t="shared" si="51"/>
        <v>0</v>
      </c>
      <c r="Y132" s="162">
        <f>SUMIF('CHE-last month'!$A:$A,Used_before_Trf!A132,'CHE-last month'!E:E)</f>
        <v>0</v>
      </c>
      <c r="Z132" s="159">
        <f t="shared" si="52"/>
        <v>0</v>
      </c>
      <c r="AA132" s="520">
        <f t="shared" si="53"/>
        <v>0</v>
      </c>
      <c r="AB132" s="159">
        <f t="shared" si="54"/>
        <v>0</v>
      </c>
      <c r="AC132" s="160">
        <f>SUMIFS(BalCom!M:M,BalCom!N:N,Used_before_Trf!A132,BalCom!C:C,Used_before_Trf!$AC$1)</f>
        <v>0</v>
      </c>
      <c r="AD132" s="171">
        <f t="shared" si="55"/>
        <v>0</v>
      </c>
      <c r="AE132" s="159">
        <f>SUMIFS(BalCom!P:P,BalCom!N:N,Used_before_Trf!A132,BalCom!C:C,Used_before_Trf!$AC$1)</f>
        <v>0</v>
      </c>
      <c r="AF132" s="160">
        <f>SUMIFS(BalDis!I:I,BalDis!J:J,Used_before_Trf!A132)</f>
        <v>0</v>
      </c>
      <c r="AG132" s="171">
        <f t="shared" si="56"/>
        <v>0</v>
      </c>
      <c r="AH132" s="162">
        <f>SUMIFS(BalDis!L:L,BalDis!J:J,Used_before_Trf!A132)</f>
        <v>0</v>
      </c>
      <c r="AI132" s="159">
        <f>SUMIFS(BalDip!$N$49:$N$75,BalDip!$C$49:$C$75,Used_before_Trf!A132)+SUMIFS(BalDip!$N$134:$N$157,BalDip!$C$134:$C$157,Used_before_Trf!A132)</f>
        <v>0</v>
      </c>
      <c r="AJ132" s="171">
        <f t="shared" si="57"/>
        <v>0</v>
      </c>
      <c r="AK132" s="177">
        <f>SUMIFS(BalDip!$N$80:$N$106,BalDip!$C$80:$C$106,Used_before_Trf!A132)+SUMIFS(BalDip!$N$161:$N$184,BalDip!$C$161:$C$184,Used_before_Trf!A132)</f>
        <v>0</v>
      </c>
      <c r="AL132" s="178">
        <f t="shared" si="58"/>
        <v>0</v>
      </c>
      <c r="AM132" s="179">
        <f t="shared" si="59"/>
        <v>0</v>
      </c>
      <c r="AN132" s="440">
        <f t="shared" si="60"/>
        <v>0</v>
      </c>
      <c r="AO132" s="180">
        <f t="shared" si="61"/>
        <v>0</v>
      </c>
    </row>
    <row r="133" spans="1:41" s="108" customFormat="1" ht="15" customHeight="1">
      <c r="A133" s="135" t="s">
        <v>425</v>
      </c>
      <c r="B133" s="573" t="s">
        <v>426</v>
      </c>
      <c r="C133" s="136">
        <f>SUMIF('Che-Store'!A:A,Used_before_Trf!A133,'Che-Store'!AC:AC)+SUMIF('Che-Comp'!A:A,Used_before_Trf!A133,'Che-Comp'!AC:AC)</f>
        <v>0</v>
      </c>
      <c r="D133" s="137">
        <f t="shared" si="41"/>
        <v>0</v>
      </c>
      <c r="E133" s="138">
        <f>SUMIF('Che-Store'!A:A,Used_before_Trf!A133,'Che-Store'!AE:AE)+SUMIF('Che-Comp'!A:A,Used_before_Trf!A133,'Che-Comp'!AE:AE)</f>
        <v>0</v>
      </c>
      <c r="F133" s="136">
        <f>SUMIFS('Che-Comp'!F:F,'Che-Comp'!$A:$A,Used_before_Trf!$A133)</f>
        <v>0</v>
      </c>
      <c r="G133" s="138">
        <f>SUMIFS('Che-Comp'!G:G,'Che-Comp'!$A:$A,Used_before_Trf!$A133)</f>
        <v>0</v>
      </c>
      <c r="H133" s="137">
        <f t="shared" si="42"/>
        <v>0</v>
      </c>
      <c r="I133" s="137">
        <f t="shared" si="43"/>
        <v>0</v>
      </c>
      <c r="J133" s="137">
        <f t="shared" si="44"/>
        <v>0</v>
      </c>
      <c r="K133" s="158">
        <f>SUMIF('Che.-Prod'!A:A,Used_before_Trf!A133,'Che.-Prod'!D:D)</f>
        <v>0</v>
      </c>
      <c r="L133" s="137">
        <f t="shared" si="45"/>
        <v>0</v>
      </c>
      <c r="M133" s="159">
        <f>SUMIF('Che.-Prod'!A:A,Used_before_Trf!A133,'Che.-Prod'!F:F)</f>
        <v>0</v>
      </c>
      <c r="N133" s="160">
        <f>SUMIF('Che.-Prod'!A:A,Used_before_Trf!A133,'Che.-Prod'!G:G)</f>
        <v>0</v>
      </c>
      <c r="O133" s="161">
        <f t="shared" si="46"/>
        <v>0</v>
      </c>
      <c r="P133" s="162">
        <f>SUMIF('Che.-Prod'!A:A,Used_before_Trf!A133,'Che.-Prod'!H:H)</f>
        <v>0</v>
      </c>
      <c r="Q133" s="160">
        <f>SUMIF('Che.-Prod'!A:A,Used_before_Trf!A133,'Che.-Prod'!P:P)</f>
        <v>0</v>
      </c>
      <c r="R133" s="161">
        <f t="shared" si="47"/>
        <v>0</v>
      </c>
      <c r="S133" s="159">
        <f>SUMIF('Che.-Prod'!A:A,Used_before_Trf!A133,'Che.-Prod'!R:R)</f>
        <v>0</v>
      </c>
      <c r="T133" s="169">
        <f t="shared" si="48"/>
        <v>0</v>
      </c>
      <c r="U133" s="507">
        <f t="shared" si="49"/>
        <v>0</v>
      </c>
      <c r="V133" s="170">
        <f t="shared" si="50"/>
        <v>0</v>
      </c>
      <c r="W133" s="158">
        <f>SUMIF('CHE-last month'!$A:$A,Used_before_Trf!A133,'CHE-last month'!C:C)</f>
        <v>0</v>
      </c>
      <c r="X133" s="520">
        <f t="shared" si="51"/>
        <v>0</v>
      </c>
      <c r="Y133" s="162">
        <f>SUMIF('CHE-last month'!$A:$A,Used_before_Trf!A133,'CHE-last month'!E:E)</f>
        <v>0</v>
      </c>
      <c r="Z133" s="159">
        <f t="shared" si="52"/>
        <v>0</v>
      </c>
      <c r="AA133" s="520">
        <f t="shared" si="53"/>
        <v>0</v>
      </c>
      <c r="AB133" s="159">
        <f t="shared" si="54"/>
        <v>0</v>
      </c>
      <c r="AC133" s="160">
        <f>SUMIFS(BalCom!M:M,BalCom!N:N,Used_before_Trf!A133,BalCom!C:C,Used_before_Trf!$AC$1)</f>
        <v>0</v>
      </c>
      <c r="AD133" s="171">
        <f t="shared" si="55"/>
        <v>0</v>
      </c>
      <c r="AE133" s="159">
        <f>SUMIFS(BalCom!P:P,BalCom!N:N,Used_before_Trf!A133,BalCom!C:C,Used_before_Trf!$AC$1)</f>
        <v>0</v>
      </c>
      <c r="AF133" s="160">
        <f>SUMIFS(BalDis!I:I,BalDis!J:J,Used_before_Trf!A133)</f>
        <v>0</v>
      </c>
      <c r="AG133" s="171">
        <f t="shared" si="56"/>
        <v>0</v>
      </c>
      <c r="AH133" s="162">
        <f>SUMIFS(BalDis!L:L,BalDis!J:J,Used_before_Trf!A133)</f>
        <v>0</v>
      </c>
      <c r="AI133" s="159">
        <f>SUMIFS(BalDip!$N$49:$N$75,BalDip!$C$49:$C$75,Used_before_Trf!A133)+SUMIFS(BalDip!$N$134:$N$157,BalDip!$C$134:$C$157,Used_before_Trf!A133)</f>
        <v>0</v>
      </c>
      <c r="AJ133" s="171">
        <f t="shared" si="57"/>
        <v>0</v>
      </c>
      <c r="AK133" s="177">
        <f>SUMIFS(BalDip!$N$80:$N$106,BalDip!$C$80:$C$106,Used_before_Trf!A133)+SUMIFS(BalDip!$N$161:$N$184,BalDip!$C$161:$C$184,Used_before_Trf!A133)</f>
        <v>0</v>
      </c>
      <c r="AL133" s="178">
        <f t="shared" si="58"/>
        <v>0</v>
      </c>
      <c r="AM133" s="179">
        <f t="shared" si="59"/>
        <v>0</v>
      </c>
      <c r="AN133" s="440">
        <f t="shared" si="60"/>
        <v>0</v>
      </c>
      <c r="AO133" s="180">
        <f t="shared" si="61"/>
        <v>0</v>
      </c>
    </row>
    <row r="134" spans="1:41" s="108" customFormat="1" ht="15" customHeight="1">
      <c r="A134" s="135" t="s">
        <v>427</v>
      </c>
      <c r="B134" s="573" t="s">
        <v>428</v>
      </c>
      <c r="C134" s="136">
        <f>SUMIF('Che-Store'!A:A,Used_before_Trf!A134,'Che-Store'!AC:AC)+SUMIF('Che-Comp'!A:A,Used_before_Trf!A134,'Che-Comp'!AC:AC)</f>
        <v>0</v>
      </c>
      <c r="D134" s="137">
        <f t="shared" ref="D134:D170" si="64">IFERROR(E134/C134,0)</f>
        <v>0</v>
      </c>
      <c r="E134" s="138">
        <f>SUMIF('Che-Store'!A:A,Used_before_Trf!A134,'Che-Store'!AE:AE)+SUMIF('Che-Comp'!A:A,Used_before_Trf!A134,'Che-Comp'!AE:AE)</f>
        <v>0</v>
      </c>
      <c r="F134" s="136">
        <f>SUMIFS('Che-Comp'!F:F,'Che-Comp'!$A:$A,Used_before_Trf!$A134)</f>
        <v>0</v>
      </c>
      <c r="G134" s="138">
        <f>SUMIFS('Che-Comp'!G:G,'Che-Comp'!$A:$A,Used_before_Trf!$A134)</f>
        <v>0</v>
      </c>
      <c r="H134" s="137">
        <f t="shared" ref="H134:H170" si="65">C134-F134</f>
        <v>0</v>
      </c>
      <c r="I134" s="137">
        <f t="shared" ref="I134:I170" si="66">IFERROR(J134/H134,0)</f>
        <v>0</v>
      </c>
      <c r="J134" s="137">
        <f t="shared" ref="J134:J170" si="67">E134-G134</f>
        <v>0</v>
      </c>
      <c r="K134" s="158">
        <f>SUMIF('Che.-Prod'!A:A,Used_before_Trf!A134,'Che.-Prod'!D:D)</f>
        <v>0</v>
      </c>
      <c r="L134" s="137">
        <f t="shared" ref="L134:L170" si="68">IFERROR(M134/K134,0)</f>
        <v>0</v>
      </c>
      <c r="M134" s="159">
        <f>SUMIF('Che.-Prod'!A:A,Used_before_Trf!A134,'Che.-Prod'!F:F)</f>
        <v>0</v>
      </c>
      <c r="N134" s="160">
        <f>SUMIF('Che.-Prod'!A:A,Used_before_Trf!A134,'Che.-Prod'!G:G)</f>
        <v>0</v>
      </c>
      <c r="O134" s="161">
        <f t="shared" ref="O134:O170" si="69">IF(N134=0,0,P134/N134)</f>
        <v>0</v>
      </c>
      <c r="P134" s="162">
        <f>SUMIF('Che.-Prod'!A:A,Used_before_Trf!A134,'Che.-Prod'!H:H)</f>
        <v>0</v>
      </c>
      <c r="Q134" s="160">
        <f>SUMIF('Che.-Prod'!A:A,Used_before_Trf!A134,'Che.-Prod'!P:P)</f>
        <v>0</v>
      </c>
      <c r="R134" s="161">
        <f t="shared" ref="R134:R170" si="70">IF(Q134=0,0,S134/Q134)</f>
        <v>0</v>
      </c>
      <c r="S134" s="159">
        <f>SUMIF('Che.-Prod'!A:A,Used_before_Trf!A134,'Che.-Prod'!R:R)</f>
        <v>0</v>
      </c>
      <c r="T134" s="169">
        <f t="shared" ref="T134:T170" si="71">H134+K134+N134-Q134</f>
        <v>0</v>
      </c>
      <c r="U134" s="507">
        <f t="shared" ref="U134:U170" si="72">IF(T134=0,0,V134/T134)</f>
        <v>0</v>
      </c>
      <c r="V134" s="170">
        <f t="shared" ref="V134:V170" si="73">J134+M134+P134-S134</f>
        <v>0</v>
      </c>
      <c r="W134" s="158">
        <f>SUMIF('CHE-last month'!$A:$A,Used_before_Trf!A134,'CHE-last month'!C:C)</f>
        <v>0</v>
      </c>
      <c r="X134" s="520">
        <f t="shared" ref="X134:X170" si="74">IF(W134=0,0,Y134/W134)</f>
        <v>0</v>
      </c>
      <c r="Y134" s="162">
        <f>SUMIF('CHE-last month'!$A:$A,Used_before_Trf!A134,'CHE-last month'!E:E)</f>
        <v>0</v>
      </c>
      <c r="Z134" s="159">
        <f t="shared" ref="Z134:Z170" si="75">+AC134+AF134+AI134</f>
        <v>0</v>
      </c>
      <c r="AA134" s="520">
        <f t="shared" ref="AA134:AA170" si="76">IF(Z134=0,0,AB134/Z134)</f>
        <v>0</v>
      </c>
      <c r="AB134" s="159">
        <f t="shared" ref="AB134:AB170" si="77">+AE134+AH134+AK134</f>
        <v>0</v>
      </c>
      <c r="AC134" s="160">
        <f>SUMIFS(BalCom!M:M,BalCom!N:N,Used_before_Trf!A134,BalCom!C:C,Used_before_Trf!$AC$1)</f>
        <v>0</v>
      </c>
      <c r="AD134" s="171">
        <f t="shared" ref="AD134:AD170" si="78">IF(AC134=0,0,AE134/AC134)</f>
        <v>0</v>
      </c>
      <c r="AE134" s="159">
        <f>SUMIFS(BalCom!P:P,BalCom!N:N,Used_before_Trf!A134,BalCom!C:C,Used_before_Trf!$AC$1)</f>
        <v>0</v>
      </c>
      <c r="AF134" s="160">
        <f>SUMIFS(BalDis!I:I,BalDis!J:J,Used_before_Trf!A134)</f>
        <v>0</v>
      </c>
      <c r="AG134" s="171">
        <f t="shared" ref="AG134:AG170" si="79">IF(AF134=0,0,AH134/AF134)</f>
        <v>0</v>
      </c>
      <c r="AH134" s="162">
        <f>SUMIFS(BalDis!L:L,BalDis!J:J,Used_before_Trf!A134)</f>
        <v>0</v>
      </c>
      <c r="AI134" s="159">
        <f>SUMIFS(BalDip!$N$49:$N$75,BalDip!$C$49:$C$75,Used_before_Trf!A134)+SUMIFS(BalDip!$N$134:$N$157,BalDip!$C$134:$C$157,Used_before_Trf!A134)</f>
        <v>0</v>
      </c>
      <c r="AJ134" s="171">
        <f t="shared" ref="AJ134:AJ170" si="80">IF(AI134=0,0,AK134/AI134)</f>
        <v>0</v>
      </c>
      <c r="AK134" s="177">
        <f>SUMIFS(BalDip!$N$80:$N$106,BalDip!$C$80:$C$106,Used_before_Trf!A134)+SUMIFS(BalDip!$N$161:$N$184,BalDip!$C$161:$C$184,Used_before_Trf!A134)</f>
        <v>0</v>
      </c>
      <c r="AL134" s="178">
        <f t="shared" ref="AL134:AL170" si="81">+T134+W134-Z134</f>
        <v>0</v>
      </c>
      <c r="AM134" s="179">
        <f t="shared" ref="AM134:AM170" si="82">IF(AL134=0,0,AN134/AL134)</f>
        <v>0</v>
      </c>
      <c r="AN134" s="440">
        <f t="shared" ref="AN134:AN170" si="83">+V134+Y134-AB134</f>
        <v>0</v>
      </c>
      <c r="AO134" s="180">
        <f t="shared" si="61"/>
        <v>0</v>
      </c>
    </row>
    <row r="135" spans="1:41" s="108" customFormat="1" ht="15" customHeight="1">
      <c r="A135" s="135" t="s">
        <v>429</v>
      </c>
      <c r="B135" s="573" t="s">
        <v>430</v>
      </c>
      <c r="C135" s="136">
        <f>SUMIF('Che-Store'!A:A,Used_before_Trf!A135,'Che-Store'!AC:AC)+SUMIF('Che-Comp'!A:A,Used_before_Trf!A135,'Che-Comp'!AC:AC)</f>
        <v>0</v>
      </c>
      <c r="D135" s="137">
        <f t="shared" si="64"/>
        <v>0</v>
      </c>
      <c r="E135" s="138">
        <f>SUMIF('Che-Store'!A:A,Used_before_Trf!A135,'Che-Store'!AE:AE)+SUMIF('Che-Comp'!A:A,Used_before_Trf!A135,'Che-Comp'!AE:AE)</f>
        <v>0</v>
      </c>
      <c r="F135" s="136">
        <f>SUMIFS('Che-Comp'!F:F,'Che-Comp'!$A:$A,Used_before_Trf!$A135)</f>
        <v>0</v>
      </c>
      <c r="G135" s="138">
        <f>SUMIFS('Che-Comp'!G:G,'Che-Comp'!$A:$A,Used_before_Trf!$A135)</f>
        <v>0</v>
      </c>
      <c r="H135" s="137">
        <f t="shared" si="65"/>
        <v>0</v>
      </c>
      <c r="I135" s="137">
        <f t="shared" si="66"/>
        <v>0</v>
      </c>
      <c r="J135" s="137">
        <f t="shared" si="67"/>
        <v>0</v>
      </c>
      <c r="K135" s="158">
        <f>SUMIF('Che.-Prod'!A:A,Used_before_Trf!A135,'Che.-Prod'!D:D)</f>
        <v>0</v>
      </c>
      <c r="L135" s="137">
        <f t="shared" si="68"/>
        <v>0</v>
      </c>
      <c r="M135" s="159">
        <f>SUMIF('Che.-Prod'!A:A,Used_before_Trf!A135,'Che.-Prod'!F:F)</f>
        <v>0</v>
      </c>
      <c r="N135" s="160">
        <f>SUMIF('Che.-Prod'!A:A,Used_before_Trf!A135,'Che.-Prod'!G:G)</f>
        <v>0</v>
      </c>
      <c r="O135" s="161">
        <f t="shared" si="69"/>
        <v>0</v>
      </c>
      <c r="P135" s="162">
        <f>SUMIF('Che.-Prod'!A:A,Used_before_Trf!A135,'Che.-Prod'!H:H)</f>
        <v>0</v>
      </c>
      <c r="Q135" s="160">
        <f>SUMIF('Che.-Prod'!A:A,Used_before_Trf!A135,'Che.-Prod'!P:P)</f>
        <v>0</v>
      </c>
      <c r="R135" s="161">
        <f t="shared" si="70"/>
        <v>0</v>
      </c>
      <c r="S135" s="159">
        <f>SUMIF('Che.-Prod'!A:A,Used_before_Trf!A135,'Che.-Prod'!R:R)</f>
        <v>0</v>
      </c>
      <c r="T135" s="169">
        <f t="shared" si="71"/>
        <v>0</v>
      </c>
      <c r="U135" s="507">
        <f t="shared" si="72"/>
        <v>0</v>
      </c>
      <c r="V135" s="170">
        <f t="shared" si="73"/>
        <v>0</v>
      </c>
      <c r="W135" s="158">
        <f>SUMIF('CHE-last month'!$A:$A,Used_before_Trf!A135,'CHE-last month'!C:C)</f>
        <v>0</v>
      </c>
      <c r="X135" s="520">
        <f t="shared" si="74"/>
        <v>0</v>
      </c>
      <c r="Y135" s="162">
        <f>SUMIF('CHE-last month'!$A:$A,Used_before_Trf!A135,'CHE-last month'!E:E)</f>
        <v>0</v>
      </c>
      <c r="Z135" s="159">
        <f t="shared" si="75"/>
        <v>0</v>
      </c>
      <c r="AA135" s="520">
        <f t="shared" si="76"/>
        <v>0</v>
      </c>
      <c r="AB135" s="159">
        <f t="shared" si="77"/>
        <v>0</v>
      </c>
      <c r="AC135" s="160">
        <f>SUMIFS(BalCom!M:M,BalCom!N:N,Used_before_Trf!A135,BalCom!C:C,Used_before_Trf!$AC$1)</f>
        <v>0</v>
      </c>
      <c r="AD135" s="171">
        <f t="shared" si="78"/>
        <v>0</v>
      </c>
      <c r="AE135" s="159">
        <f>SUMIFS(BalCom!P:P,BalCom!N:N,Used_before_Trf!A135,BalCom!C:C,Used_before_Trf!$AC$1)</f>
        <v>0</v>
      </c>
      <c r="AF135" s="160">
        <f>SUMIFS(BalDis!I:I,BalDis!J:J,Used_before_Trf!A135)</f>
        <v>0</v>
      </c>
      <c r="AG135" s="171">
        <f t="shared" si="79"/>
        <v>0</v>
      </c>
      <c r="AH135" s="162">
        <f>SUMIFS(BalDis!L:L,BalDis!J:J,Used_before_Trf!A135)</f>
        <v>0</v>
      </c>
      <c r="AI135" s="159">
        <f>SUMIFS(BalDip!$N$49:$N$75,BalDip!$C$49:$C$75,Used_before_Trf!A135)+SUMIFS(BalDip!$N$134:$N$157,BalDip!$C$134:$C$157,Used_before_Trf!A135)</f>
        <v>0</v>
      </c>
      <c r="AJ135" s="171">
        <f t="shared" si="80"/>
        <v>0</v>
      </c>
      <c r="AK135" s="177">
        <f>SUMIFS(BalDip!$N$80:$N$106,BalDip!$C$80:$C$106,Used_before_Trf!A135)+SUMIFS(BalDip!$N$161:$N$184,BalDip!$C$161:$C$184,Used_before_Trf!A135)</f>
        <v>0</v>
      </c>
      <c r="AL135" s="178">
        <f t="shared" si="81"/>
        <v>0</v>
      </c>
      <c r="AM135" s="179">
        <f t="shared" si="82"/>
        <v>0</v>
      </c>
      <c r="AN135" s="440">
        <f t="shared" si="83"/>
        <v>0</v>
      </c>
      <c r="AO135" s="180">
        <f t="shared" si="61"/>
        <v>0</v>
      </c>
    </row>
    <row r="136" spans="1:41" s="108" customFormat="1" ht="15" customHeight="1">
      <c r="A136" s="135" t="s">
        <v>431</v>
      </c>
      <c r="B136" s="573" t="s">
        <v>432</v>
      </c>
      <c r="C136" s="136">
        <f>SUMIF('Che-Store'!A:A,Used_before_Trf!A136,'Che-Store'!AC:AC)+SUMIF('Che-Comp'!A:A,Used_before_Trf!A136,'Che-Comp'!AC:AC)</f>
        <v>0</v>
      </c>
      <c r="D136" s="137">
        <f t="shared" si="64"/>
        <v>0</v>
      </c>
      <c r="E136" s="138">
        <f>SUMIF('Che-Store'!A:A,Used_before_Trf!A136,'Che-Store'!AE:AE)+SUMIF('Che-Comp'!A:A,Used_before_Trf!A136,'Che-Comp'!AE:AE)</f>
        <v>0</v>
      </c>
      <c r="F136" s="136">
        <f>SUMIFS('Che-Comp'!F:F,'Che-Comp'!$A:$A,Used_before_Trf!$A136)</f>
        <v>0</v>
      </c>
      <c r="G136" s="138">
        <f>SUMIFS('Che-Comp'!G:G,'Che-Comp'!$A:$A,Used_before_Trf!$A136)</f>
        <v>0</v>
      </c>
      <c r="H136" s="137">
        <f t="shared" si="65"/>
        <v>0</v>
      </c>
      <c r="I136" s="137">
        <f t="shared" si="66"/>
        <v>0</v>
      </c>
      <c r="J136" s="137">
        <f t="shared" si="67"/>
        <v>0</v>
      </c>
      <c r="K136" s="158">
        <f>SUMIF('Che.-Prod'!A:A,Used_before_Trf!A136,'Che.-Prod'!D:D)</f>
        <v>0</v>
      </c>
      <c r="L136" s="137">
        <f t="shared" si="68"/>
        <v>0</v>
      </c>
      <c r="M136" s="159">
        <f>SUMIF('Che.-Prod'!A:A,Used_before_Trf!A136,'Che.-Prod'!F:F)</f>
        <v>0</v>
      </c>
      <c r="N136" s="160">
        <f>SUMIF('Che.-Prod'!A:A,Used_before_Trf!A136,'Che.-Prod'!G:G)</f>
        <v>0</v>
      </c>
      <c r="O136" s="161">
        <f t="shared" si="69"/>
        <v>0</v>
      </c>
      <c r="P136" s="162">
        <f>SUMIF('Che.-Prod'!A:A,Used_before_Trf!A136,'Che.-Prod'!H:H)</f>
        <v>0</v>
      </c>
      <c r="Q136" s="160">
        <f>SUMIF('Che.-Prod'!A:A,Used_before_Trf!A136,'Che.-Prod'!P:P)</f>
        <v>0</v>
      </c>
      <c r="R136" s="161">
        <f t="shared" si="70"/>
        <v>0</v>
      </c>
      <c r="S136" s="159">
        <f>SUMIF('Che.-Prod'!A:A,Used_before_Trf!A136,'Che.-Prod'!R:R)</f>
        <v>0</v>
      </c>
      <c r="T136" s="169">
        <f t="shared" si="71"/>
        <v>0</v>
      </c>
      <c r="U136" s="507">
        <f t="shared" si="72"/>
        <v>0</v>
      </c>
      <c r="V136" s="170">
        <f t="shared" si="73"/>
        <v>0</v>
      </c>
      <c r="W136" s="158">
        <f>SUMIF('CHE-last month'!$A:$A,Used_before_Trf!A136,'CHE-last month'!C:C)</f>
        <v>0</v>
      </c>
      <c r="X136" s="520">
        <f t="shared" si="74"/>
        <v>0</v>
      </c>
      <c r="Y136" s="162">
        <f>SUMIF('CHE-last month'!$A:$A,Used_before_Trf!A136,'CHE-last month'!E:E)</f>
        <v>0</v>
      </c>
      <c r="Z136" s="159">
        <f t="shared" si="75"/>
        <v>0</v>
      </c>
      <c r="AA136" s="520">
        <f t="shared" si="76"/>
        <v>0</v>
      </c>
      <c r="AB136" s="159">
        <f t="shared" si="77"/>
        <v>0</v>
      </c>
      <c r="AC136" s="160">
        <f>SUMIFS(BalCom!M:M,BalCom!N:N,Used_before_Trf!A136,BalCom!C:C,Used_before_Trf!$AC$1)</f>
        <v>0</v>
      </c>
      <c r="AD136" s="171">
        <f t="shared" si="78"/>
        <v>0</v>
      </c>
      <c r="AE136" s="159">
        <f>SUMIFS(BalCom!P:P,BalCom!N:N,Used_before_Trf!A136,BalCom!C:C,Used_before_Trf!$AC$1)</f>
        <v>0</v>
      </c>
      <c r="AF136" s="160">
        <f>SUMIFS(BalDis!I:I,BalDis!J:J,Used_before_Trf!A136)</f>
        <v>0</v>
      </c>
      <c r="AG136" s="171">
        <f t="shared" si="79"/>
        <v>0</v>
      </c>
      <c r="AH136" s="162">
        <f>SUMIFS(BalDis!L:L,BalDis!J:J,Used_before_Trf!A136)</f>
        <v>0</v>
      </c>
      <c r="AI136" s="159">
        <f>SUMIFS(BalDip!$N$49:$N$75,BalDip!$C$49:$C$75,Used_before_Trf!A136)+SUMIFS(BalDip!$N$134:$N$157,BalDip!$C$134:$C$157,Used_before_Trf!A136)</f>
        <v>0</v>
      </c>
      <c r="AJ136" s="171">
        <f t="shared" si="80"/>
        <v>0</v>
      </c>
      <c r="AK136" s="177">
        <f>SUMIFS(BalDip!$N$80:$N$106,BalDip!$C$80:$C$106,Used_before_Trf!A136)+SUMIFS(BalDip!$N$161:$N$184,BalDip!$C$161:$C$184,Used_before_Trf!A136)</f>
        <v>0</v>
      </c>
      <c r="AL136" s="178">
        <f t="shared" si="81"/>
        <v>0</v>
      </c>
      <c r="AM136" s="179">
        <f t="shared" si="82"/>
        <v>0</v>
      </c>
      <c r="AN136" s="440">
        <f t="shared" si="83"/>
        <v>0</v>
      </c>
      <c r="AO136" s="180">
        <f t="shared" si="61"/>
        <v>0</v>
      </c>
    </row>
    <row r="137" spans="1:41" s="108" customFormat="1" ht="15" customHeight="1">
      <c r="A137" s="135" t="s">
        <v>433</v>
      </c>
      <c r="B137" s="573" t="s">
        <v>434</v>
      </c>
      <c r="C137" s="136">
        <f>SUMIF('Che-Store'!A:A,Used_before_Trf!A137,'Che-Store'!AC:AC)+SUMIF('Che-Comp'!A:A,Used_before_Trf!A137,'Che-Comp'!AC:AC)</f>
        <v>0</v>
      </c>
      <c r="D137" s="137">
        <f t="shared" si="64"/>
        <v>0</v>
      </c>
      <c r="E137" s="138">
        <f>SUMIF('Che-Store'!A:A,Used_before_Trf!A137,'Che-Store'!AE:AE)+SUMIF('Che-Comp'!A:A,Used_before_Trf!A137,'Che-Comp'!AE:AE)</f>
        <v>0</v>
      </c>
      <c r="F137" s="136">
        <f>SUMIFS('Che-Comp'!F:F,'Che-Comp'!$A:$A,Used_before_Trf!$A137)</f>
        <v>0</v>
      </c>
      <c r="G137" s="138">
        <f>SUMIFS('Che-Comp'!G:G,'Che-Comp'!$A:$A,Used_before_Trf!$A137)</f>
        <v>0</v>
      </c>
      <c r="H137" s="137">
        <f t="shared" si="65"/>
        <v>0</v>
      </c>
      <c r="I137" s="137">
        <f t="shared" si="66"/>
        <v>0</v>
      </c>
      <c r="J137" s="137">
        <f t="shared" si="67"/>
        <v>0</v>
      </c>
      <c r="K137" s="158">
        <f>SUMIF('Che.-Prod'!A:A,Used_before_Trf!A137,'Che.-Prod'!D:D)</f>
        <v>0</v>
      </c>
      <c r="L137" s="137">
        <f t="shared" si="68"/>
        <v>0</v>
      </c>
      <c r="M137" s="159">
        <f>SUMIF('Che.-Prod'!A:A,Used_before_Trf!A137,'Che.-Prod'!F:F)</f>
        <v>0</v>
      </c>
      <c r="N137" s="160">
        <f>SUMIF('Che.-Prod'!A:A,Used_before_Trf!A137,'Che.-Prod'!G:G)</f>
        <v>0</v>
      </c>
      <c r="O137" s="161">
        <f t="shared" si="69"/>
        <v>0</v>
      </c>
      <c r="P137" s="162">
        <f>SUMIF('Che.-Prod'!A:A,Used_before_Trf!A137,'Che.-Prod'!H:H)</f>
        <v>0</v>
      </c>
      <c r="Q137" s="160">
        <f>SUMIF('Che.-Prod'!A:A,Used_before_Trf!A137,'Che.-Prod'!P:P)</f>
        <v>0</v>
      </c>
      <c r="R137" s="161">
        <f t="shared" si="70"/>
        <v>0</v>
      </c>
      <c r="S137" s="159">
        <f>SUMIF('Che.-Prod'!A:A,Used_before_Trf!A137,'Che.-Prod'!R:R)</f>
        <v>0</v>
      </c>
      <c r="T137" s="169">
        <f t="shared" si="71"/>
        <v>0</v>
      </c>
      <c r="U137" s="507">
        <f t="shared" si="72"/>
        <v>0</v>
      </c>
      <c r="V137" s="170">
        <f t="shared" si="73"/>
        <v>0</v>
      </c>
      <c r="W137" s="158">
        <f>SUMIF('CHE-last month'!$A:$A,Used_before_Trf!A137,'CHE-last month'!C:C)</f>
        <v>0</v>
      </c>
      <c r="X137" s="520">
        <f t="shared" si="74"/>
        <v>0</v>
      </c>
      <c r="Y137" s="162">
        <f>SUMIF('CHE-last month'!$A:$A,Used_before_Trf!A137,'CHE-last month'!E:E)</f>
        <v>0</v>
      </c>
      <c r="Z137" s="159">
        <f t="shared" si="75"/>
        <v>0</v>
      </c>
      <c r="AA137" s="520">
        <f t="shared" si="76"/>
        <v>0</v>
      </c>
      <c r="AB137" s="159">
        <f t="shared" si="77"/>
        <v>0</v>
      </c>
      <c r="AC137" s="160">
        <f>SUMIFS(BalCom!M:M,BalCom!N:N,Used_before_Trf!A137,BalCom!C:C,Used_before_Trf!$AC$1)</f>
        <v>0</v>
      </c>
      <c r="AD137" s="171">
        <f t="shared" si="78"/>
        <v>0</v>
      </c>
      <c r="AE137" s="159">
        <f>SUMIFS(BalCom!P:P,BalCom!N:N,Used_before_Trf!A137,BalCom!C:C,Used_before_Trf!$AC$1)</f>
        <v>0</v>
      </c>
      <c r="AF137" s="160">
        <f>SUMIFS(BalDis!I:I,BalDis!J:J,Used_before_Trf!A137)</f>
        <v>0</v>
      </c>
      <c r="AG137" s="171">
        <f t="shared" si="79"/>
        <v>0</v>
      </c>
      <c r="AH137" s="162">
        <f>SUMIFS(BalDis!L:L,BalDis!J:J,Used_before_Trf!A137)</f>
        <v>0</v>
      </c>
      <c r="AI137" s="159">
        <f>SUMIFS(BalDip!$N$49:$N$75,BalDip!$C$49:$C$75,Used_before_Trf!A137)+SUMIFS(BalDip!$N$134:$N$157,BalDip!$C$134:$C$157,Used_before_Trf!A137)</f>
        <v>0</v>
      </c>
      <c r="AJ137" s="171">
        <f t="shared" si="80"/>
        <v>0</v>
      </c>
      <c r="AK137" s="177">
        <f>SUMIFS(BalDip!$N$80:$N$106,BalDip!$C$80:$C$106,Used_before_Trf!A137)+SUMIFS(BalDip!$N$161:$N$184,BalDip!$C$161:$C$184,Used_before_Trf!A137)</f>
        <v>0</v>
      </c>
      <c r="AL137" s="178">
        <f t="shared" si="81"/>
        <v>0</v>
      </c>
      <c r="AM137" s="179">
        <f t="shared" si="82"/>
        <v>0</v>
      </c>
      <c r="AN137" s="440">
        <f t="shared" si="83"/>
        <v>0</v>
      </c>
      <c r="AO137" s="180">
        <f t="shared" si="61"/>
        <v>0</v>
      </c>
    </row>
    <row r="138" spans="1:41" s="108" customFormat="1" ht="15" customHeight="1">
      <c r="A138" s="135" t="s">
        <v>435</v>
      </c>
      <c r="B138" s="573" t="s">
        <v>436</v>
      </c>
      <c r="C138" s="136">
        <f>SUMIF('Che-Store'!A:A,Used_before_Trf!A138,'Che-Store'!AC:AC)+SUMIF('Che-Comp'!A:A,Used_before_Trf!A138,'Che-Comp'!AC:AC)</f>
        <v>0</v>
      </c>
      <c r="D138" s="137">
        <f t="shared" si="64"/>
        <v>0</v>
      </c>
      <c r="E138" s="138">
        <f>SUMIF('Che-Store'!A:A,Used_before_Trf!A138,'Che-Store'!AE:AE)+SUMIF('Che-Comp'!A:A,Used_before_Trf!A138,'Che-Comp'!AE:AE)</f>
        <v>0</v>
      </c>
      <c r="F138" s="136">
        <f>SUMIFS('Che-Comp'!F:F,'Che-Comp'!$A:$A,Used_before_Trf!$A138)</f>
        <v>0</v>
      </c>
      <c r="G138" s="138">
        <f>SUMIFS('Che-Comp'!G:G,'Che-Comp'!$A:$A,Used_before_Trf!$A138)</f>
        <v>0</v>
      </c>
      <c r="H138" s="137">
        <f t="shared" si="65"/>
        <v>0</v>
      </c>
      <c r="I138" s="137">
        <f t="shared" si="66"/>
        <v>0</v>
      </c>
      <c r="J138" s="137">
        <f t="shared" si="67"/>
        <v>0</v>
      </c>
      <c r="K138" s="158">
        <f>SUMIF('Che.-Prod'!A:A,Used_before_Trf!A138,'Che.-Prod'!D:D)</f>
        <v>0</v>
      </c>
      <c r="L138" s="137">
        <f t="shared" si="68"/>
        <v>0</v>
      </c>
      <c r="M138" s="159">
        <f>SUMIF('Che.-Prod'!A:A,Used_before_Trf!A138,'Che.-Prod'!F:F)</f>
        <v>0</v>
      </c>
      <c r="N138" s="160">
        <f>SUMIF('Che.-Prod'!A:A,Used_before_Trf!A138,'Che.-Prod'!G:G)</f>
        <v>0</v>
      </c>
      <c r="O138" s="161">
        <f t="shared" si="69"/>
        <v>0</v>
      </c>
      <c r="P138" s="162">
        <f>SUMIF('Che.-Prod'!A:A,Used_before_Trf!A138,'Che.-Prod'!H:H)</f>
        <v>0</v>
      </c>
      <c r="Q138" s="160">
        <f>SUMIF('Che.-Prod'!A:A,Used_before_Trf!A138,'Che.-Prod'!P:P)</f>
        <v>0</v>
      </c>
      <c r="R138" s="161">
        <f t="shared" si="70"/>
        <v>0</v>
      </c>
      <c r="S138" s="159">
        <f>SUMIF('Che.-Prod'!A:A,Used_before_Trf!A138,'Che.-Prod'!R:R)</f>
        <v>0</v>
      </c>
      <c r="T138" s="169">
        <f t="shared" si="71"/>
        <v>0</v>
      </c>
      <c r="U138" s="507">
        <f t="shared" si="72"/>
        <v>0</v>
      </c>
      <c r="V138" s="170">
        <f t="shared" si="73"/>
        <v>0</v>
      </c>
      <c r="W138" s="158">
        <f>SUMIF('CHE-last month'!$A:$A,Used_before_Trf!A138,'CHE-last month'!C:C)</f>
        <v>0</v>
      </c>
      <c r="X138" s="520">
        <f t="shared" si="74"/>
        <v>0</v>
      </c>
      <c r="Y138" s="162">
        <f>SUMIF('CHE-last month'!$A:$A,Used_before_Trf!A138,'CHE-last month'!E:E)</f>
        <v>0</v>
      </c>
      <c r="Z138" s="159">
        <f t="shared" si="75"/>
        <v>0</v>
      </c>
      <c r="AA138" s="520">
        <f t="shared" si="76"/>
        <v>0</v>
      </c>
      <c r="AB138" s="159">
        <f t="shared" si="77"/>
        <v>0</v>
      </c>
      <c r="AC138" s="160">
        <f>SUMIFS(BalCom!M:M,BalCom!N:N,Used_before_Trf!A138,BalCom!C:C,Used_before_Trf!$AC$1)</f>
        <v>0</v>
      </c>
      <c r="AD138" s="171">
        <f t="shared" si="78"/>
        <v>0</v>
      </c>
      <c r="AE138" s="159">
        <f>SUMIFS(BalCom!P:P,BalCom!N:N,Used_before_Trf!A138,BalCom!C:C,Used_before_Trf!$AC$1)</f>
        <v>0</v>
      </c>
      <c r="AF138" s="160">
        <f>SUMIFS(BalDis!I:I,BalDis!J:J,Used_before_Trf!A138)</f>
        <v>0</v>
      </c>
      <c r="AG138" s="171">
        <f t="shared" si="79"/>
        <v>0</v>
      </c>
      <c r="AH138" s="162">
        <f>SUMIFS(BalDis!L:L,BalDis!J:J,Used_before_Trf!A138)</f>
        <v>0</v>
      </c>
      <c r="AI138" s="159">
        <f>SUMIFS(BalDip!$N$49:$N$75,BalDip!$C$49:$C$75,Used_before_Trf!A138)+SUMIFS(BalDip!$N$134:$N$157,BalDip!$C$134:$C$157,Used_before_Trf!A138)</f>
        <v>0</v>
      </c>
      <c r="AJ138" s="171">
        <f t="shared" si="80"/>
        <v>0</v>
      </c>
      <c r="AK138" s="177">
        <f>SUMIFS(BalDip!$N$80:$N$106,BalDip!$C$80:$C$106,Used_before_Trf!A138)+SUMIFS(BalDip!$N$161:$N$184,BalDip!$C$161:$C$184,Used_before_Trf!A138)</f>
        <v>0</v>
      </c>
      <c r="AL138" s="178">
        <f t="shared" si="81"/>
        <v>0</v>
      </c>
      <c r="AM138" s="179">
        <f t="shared" si="82"/>
        <v>0</v>
      </c>
      <c r="AN138" s="440">
        <f t="shared" si="83"/>
        <v>0</v>
      </c>
      <c r="AO138" s="180">
        <f t="shared" si="61"/>
        <v>0</v>
      </c>
    </row>
    <row r="139" spans="1:41" s="108" customFormat="1" ht="15" customHeight="1">
      <c r="A139" s="135" t="s">
        <v>437</v>
      </c>
      <c r="B139" s="573" t="s">
        <v>438</v>
      </c>
      <c r="C139" s="136">
        <f>SUMIF('Che-Store'!A:A,Used_before_Trf!A139,'Che-Store'!AC:AC)+SUMIF('Che-Comp'!A:A,Used_before_Trf!A139,'Che-Comp'!AC:AC)</f>
        <v>0</v>
      </c>
      <c r="D139" s="137">
        <f t="shared" si="64"/>
        <v>0</v>
      </c>
      <c r="E139" s="138">
        <f>SUMIF('Che-Store'!A:A,Used_before_Trf!A139,'Che-Store'!AE:AE)+SUMIF('Che-Comp'!A:A,Used_before_Trf!A139,'Che-Comp'!AE:AE)</f>
        <v>0</v>
      </c>
      <c r="F139" s="136">
        <f>SUMIFS('Che-Comp'!F:F,'Che-Comp'!$A:$A,Used_before_Trf!$A139)</f>
        <v>0</v>
      </c>
      <c r="G139" s="138">
        <f>SUMIFS('Che-Comp'!G:G,'Che-Comp'!$A:$A,Used_before_Trf!$A139)</f>
        <v>0</v>
      </c>
      <c r="H139" s="137">
        <f t="shared" si="65"/>
        <v>0</v>
      </c>
      <c r="I139" s="137">
        <f t="shared" si="66"/>
        <v>0</v>
      </c>
      <c r="J139" s="137">
        <f t="shared" si="67"/>
        <v>0</v>
      </c>
      <c r="K139" s="158">
        <f>SUMIF('Che.-Prod'!A:A,Used_before_Trf!A139,'Che.-Prod'!D:D)</f>
        <v>0</v>
      </c>
      <c r="L139" s="137">
        <f t="shared" si="68"/>
        <v>0</v>
      </c>
      <c r="M139" s="159">
        <f>SUMIF('Che.-Prod'!A:A,Used_before_Trf!A139,'Che.-Prod'!F:F)</f>
        <v>0</v>
      </c>
      <c r="N139" s="160">
        <f>SUMIF('Che.-Prod'!A:A,Used_before_Trf!A139,'Che.-Prod'!G:G)</f>
        <v>0</v>
      </c>
      <c r="O139" s="161">
        <f t="shared" si="69"/>
        <v>0</v>
      </c>
      <c r="P139" s="162">
        <f>SUMIF('Che.-Prod'!A:A,Used_before_Trf!A139,'Che.-Prod'!H:H)</f>
        <v>0</v>
      </c>
      <c r="Q139" s="160">
        <f>SUMIF('Che.-Prod'!A:A,Used_before_Trf!A139,'Che.-Prod'!P:P)</f>
        <v>0</v>
      </c>
      <c r="R139" s="161">
        <f t="shared" si="70"/>
        <v>0</v>
      </c>
      <c r="S139" s="159">
        <f>SUMIF('Che.-Prod'!A:A,Used_before_Trf!A139,'Che.-Prod'!R:R)</f>
        <v>0</v>
      </c>
      <c r="T139" s="169">
        <f t="shared" si="71"/>
        <v>0</v>
      </c>
      <c r="U139" s="507">
        <f t="shared" si="72"/>
        <v>0</v>
      </c>
      <c r="V139" s="170">
        <f t="shared" si="73"/>
        <v>0</v>
      </c>
      <c r="W139" s="158">
        <f>SUMIF('CHE-last month'!$A:$A,Used_before_Trf!A139,'CHE-last month'!C:C)</f>
        <v>0</v>
      </c>
      <c r="X139" s="520">
        <f t="shared" si="74"/>
        <v>0</v>
      </c>
      <c r="Y139" s="162">
        <f>SUMIF('CHE-last month'!$A:$A,Used_before_Trf!A139,'CHE-last month'!E:E)</f>
        <v>0</v>
      </c>
      <c r="Z139" s="159">
        <f t="shared" si="75"/>
        <v>0</v>
      </c>
      <c r="AA139" s="520">
        <f t="shared" si="76"/>
        <v>0</v>
      </c>
      <c r="AB139" s="159">
        <f t="shared" si="77"/>
        <v>0</v>
      </c>
      <c r="AC139" s="160">
        <f>SUMIFS(BalCom!M:M,BalCom!N:N,Used_before_Trf!A139,BalCom!C:C,Used_before_Trf!$AC$1)</f>
        <v>0</v>
      </c>
      <c r="AD139" s="171">
        <f t="shared" si="78"/>
        <v>0</v>
      </c>
      <c r="AE139" s="159">
        <f>SUMIFS(BalCom!P:P,BalCom!N:N,Used_before_Trf!A139,BalCom!C:C,Used_before_Trf!$AC$1)</f>
        <v>0</v>
      </c>
      <c r="AF139" s="160">
        <f>SUMIFS(BalDis!I:I,BalDis!J:J,Used_before_Trf!A139)</f>
        <v>0</v>
      </c>
      <c r="AG139" s="171">
        <f t="shared" si="79"/>
        <v>0</v>
      </c>
      <c r="AH139" s="162">
        <f>SUMIFS(BalDis!L:L,BalDis!J:J,Used_before_Trf!A139)</f>
        <v>0</v>
      </c>
      <c r="AI139" s="159">
        <f>SUMIFS(BalDip!$N$49:$N$75,BalDip!$C$49:$C$75,Used_before_Trf!A139)+SUMIFS(BalDip!$N$134:$N$157,BalDip!$C$134:$C$157,Used_before_Trf!A139)</f>
        <v>0</v>
      </c>
      <c r="AJ139" s="171">
        <f t="shared" si="80"/>
        <v>0</v>
      </c>
      <c r="AK139" s="177">
        <f>SUMIFS(BalDip!$N$80:$N$106,BalDip!$C$80:$C$106,Used_before_Trf!A139)+SUMIFS(BalDip!$N$161:$N$184,BalDip!$C$161:$C$184,Used_before_Trf!A139)</f>
        <v>0</v>
      </c>
      <c r="AL139" s="178">
        <f t="shared" si="81"/>
        <v>0</v>
      </c>
      <c r="AM139" s="179">
        <f t="shared" si="82"/>
        <v>0</v>
      </c>
      <c r="AN139" s="440">
        <f t="shared" si="83"/>
        <v>0</v>
      </c>
      <c r="AO139" s="180">
        <f t="shared" si="61"/>
        <v>0</v>
      </c>
    </row>
    <row r="140" spans="1:41" s="108" customFormat="1" ht="15" customHeight="1">
      <c r="A140" s="135" t="s">
        <v>439</v>
      </c>
      <c r="B140" s="573" t="s">
        <v>218</v>
      </c>
      <c r="C140" s="136">
        <f>SUMIF('Che-Store'!A:A,Used_before_Trf!A140,'Che-Store'!AC:AC)+SUMIF('Che-Comp'!A:A,Used_before_Trf!A140,'Che-Comp'!AC:AC)</f>
        <v>0</v>
      </c>
      <c r="D140" s="137">
        <f t="shared" si="64"/>
        <v>0</v>
      </c>
      <c r="E140" s="138">
        <f>SUMIF('Che-Store'!A:A,Used_before_Trf!A140,'Che-Store'!AE:AE)+SUMIF('Che-Comp'!A:A,Used_before_Trf!A140,'Che-Comp'!AE:AE)</f>
        <v>0</v>
      </c>
      <c r="F140" s="136">
        <f>SUMIFS('Che-Comp'!F:F,'Che-Comp'!$A:$A,Used_before_Trf!$A140)</f>
        <v>0</v>
      </c>
      <c r="G140" s="138">
        <f>SUMIFS('Che-Comp'!G:G,'Che-Comp'!$A:$A,Used_before_Trf!$A140)</f>
        <v>0</v>
      </c>
      <c r="H140" s="137">
        <f t="shared" si="65"/>
        <v>0</v>
      </c>
      <c r="I140" s="137">
        <f t="shared" si="66"/>
        <v>0</v>
      </c>
      <c r="J140" s="137">
        <f t="shared" si="67"/>
        <v>0</v>
      </c>
      <c r="K140" s="158">
        <f>SUMIF('Che.-Prod'!A:A,Used_before_Trf!A140,'Che.-Prod'!D:D)</f>
        <v>0</v>
      </c>
      <c r="L140" s="137">
        <f t="shared" si="68"/>
        <v>0</v>
      </c>
      <c r="M140" s="159">
        <f>SUMIF('Che.-Prod'!A:A,Used_before_Trf!A140,'Che.-Prod'!F:F)</f>
        <v>0</v>
      </c>
      <c r="N140" s="160">
        <f>SUMIF('Che.-Prod'!A:A,Used_before_Trf!A140,'Che.-Prod'!G:G)</f>
        <v>0</v>
      </c>
      <c r="O140" s="161">
        <f t="shared" si="69"/>
        <v>0</v>
      </c>
      <c r="P140" s="162">
        <f>SUMIF('Che.-Prod'!A:A,Used_before_Trf!A140,'Che.-Prod'!H:H)</f>
        <v>0</v>
      </c>
      <c r="Q140" s="160">
        <f>SUMIF('Che.-Prod'!A:A,Used_before_Trf!A140,'Che.-Prod'!P:P)</f>
        <v>0</v>
      </c>
      <c r="R140" s="161">
        <f t="shared" si="70"/>
        <v>0</v>
      </c>
      <c r="S140" s="159">
        <f>SUMIF('Che.-Prod'!A:A,Used_before_Trf!A140,'Che.-Prod'!R:R)</f>
        <v>0</v>
      </c>
      <c r="T140" s="169">
        <f t="shared" si="71"/>
        <v>0</v>
      </c>
      <c r="U140" s="507">
        <f t="shared" si="72"/>
        <v>0</v>
      </c>
      <c r="V140" s="170">
        <f t="shared" si="73"/>
        <v>0</v>
      </c>
      <c r="W140" s="158">
        <f>SUMIF('CHE-last month'!$A:$A,Used_before_Trf!A140,'CHE-last month'!C:C)</f>
        <v>0</v>
      </c>
      <c r="X140" s="520">
        <f t="shared" si="74"/>
        <v>0</v>
      </c>
      <c r="Y140" s="162">
        <f>SUMIF('CHE-last month'!$A:$A,Used_before_Trf!A140,'CHE-last month'!E:E)</f>
        <v>0</v>
      </c>
      <c r="Z140" s="159">
        <f t="shared" si="75"/>
        <v>0</v>
      </c>
      <c r="AA140" s="520">
        <f t="shared" si="76"/>
        <v>0</v>
      </c>
      <c r="AB140" s="159">
        <f t="shared" si="77"/>
        <v>0</v>
      </c>
      <c r="AC140" s="160">
        <f>SUMIFS(BalCom!M:M,BalCom!N:N,Used_before_Trf!A140,BalCom!C:C,Used_before_Trf!$AC$1)</f>
        <v>0</v>
      </c>
      <c r="AD140" s="171">
        <f t="shared" si="78"/>
        <v>0</v>
      </c>
      <c r="AE140" s="159">
        <f>SUMIFS(BalCom!P:P,BalCom!N:N,Used_before_Trf!A140,BalCom!C:C,Used_before_Trf!$AC$1)</f>
        <v>0</v>
      </c>
      <c r="AF140" s="160">
        <f>SUMIFS(BalDis!I:I,BalDis!J:J,Used_before_Trf!A140)</f>
        <v>0</v>
      </c>
      <c r="AG140" s="171">
        <f t="shared" si="79"/>
        <v>0</v>
      </c>
      <c r="AH140" s="162">
        <f>SUMIFS(BalDis!L:L,BalDis!J:J,Used_before_Trf!A140)</f>
        <v>0</v>
      </c>
      <c r="AI140" s="159">
        <f>SUMIFS(BalDip!$N$49:$N$75,BalDip!$C$49:$C$75,Used_before_Trf!A140)+SUMIFS(BalDip!$N$134:$N$157,BalDip!$C$134:$C$157,Used_before_Trf!A140)</f>
        <v>0</v>
      </c>
      <c r="AJ140" s="171">
        <f t="shared" si="80"/>
        <v>0</v>
      </c>
      <c r="AK140" s="177">
        <f>SUMIFS(BalDip!$N$80:$N$106,BalDip!$C$80:$C$106,Used_before_Trf!A140)+SUMIFS(BalDip!$N$161:$N$184,BalDip!$C$161:$C$184,Used_before_Trf!A140)</f>
        <v>0</v>
      </c>
      <c r="AL140" s="178">
        <f t="shared" si="81"/>
        <v>0</v>
      </c>
      <c r="AM140" s="179">
        <f t="shared" si="82"/>
        <v>0</v>
      </c>
      <c r="AN140" s="440">
        <f t="shared" si="83"/>
        <v>0</v>
      </c>
      <c r="AO140" s="180">
        <f t="shared" si="61"/>
        <v>0</v>
      </c>
    </row>
    <row r="141" spans="1:41" s="108" customFormat="1" ht="15" customHeight="1">
      <c r="A141" s="135" t="s">
        <v>440</v>
      </c>
      <c r="B141" s="573" t="s">
        <v>441</v>
      </c>
      <c r="C141" s="136">
        <f>SUMIF('Che-Store'!A:A,Used_before_Trf!A141,'Che-Store'!AC:AC)+SUMIF('Che-Comp'!A:A,Used_before_Trf!A141,'Che-Comp'!AC:AC)</f>
        <v>0</v>
      </c>
      <c r="D141" s="137">
        <f t="shared" si="64"/>
        <v>0</v>
      </c>
      <c r="E141" s="138">
        <f>SUMIF('Che-Store'!A:A,Used_before_Trf!A141,'Che-Store'!AE:AE)+SUMIF('Che-Comp'!A:A,Used_before_Trf!A141,'Che-Comp'!AE:AE)</f>
        <v>0</v>
      </c>
      <c r="F141" s="136">
        <f>SUMIFS('Che-Comp'!F:F,'Che-Comp'!$A:$A,Used_before_Trf!$A141)</f>
        <v>0</v>
      </c>
      <c r="G141" s="138">
        <f>SUMIFS('Che-Comp'!G:G,'Che-Comp'!$A:$A,Used_before_Trf!$A141)</f>
        <v>0</v>
      </c>
      <c r="H141" s="137">
        <f t="shared" si="65"/>
        <v>0</v>
      </c>
      <c r="I141" s="137">
        <f t="shared" si="66"/>
        <v>0</v>
      </c>
      <c r="J141" s="137">
        <f t="shared" si="67"/>
        <v>0</v>
      </c>
      <c r="K141" s="158">
        <f>SUMIF('Che.-Prod'!A:A,Used_before_Trf!A141,'Che.-Prod'!D:D)</f>
        <v>0</v>
      </c>
      <c r="L141" s="137">
        <f t="shared" si="68"/>
        <v>0</v>
      </c>
      <c r="M141" s="159">
        <f>SUMIF('Che.-Prod'!A:A,Used_before_Trf!A141,'Che.-Prod'!F:F)</f>
        <v>0</v>
      </c>
      <c r="N141" s="160">
        <f>SUMIF('Che.-Prod'!A:A,Used_before_Trf!A141,'Che.-Prod'!G:G)</f>
        <v>0</v>
      </c>
      <c r="O141" s="161">
        <f t="shared" si="69"/>
        <v>0</v>
      </c>
      <c r="P141" s="162">
        <f>SUMIF('Che.-Prod'!A:A,Used_before_Trf!A141,'Che.-Prod'!H:H)</f>
        <v>0</v>
      </c>
      <c r="Q141" s="160">
        <f>SUMIF('Che.-Prod'!A:A,Used_before_Trf!A141,'Che.-Prod'!P:P)</f>
        <v>0</v>
      </c>
      <c r="R141" s="161">
        <f t="shared" si="70"/>
        <v>0</v>
      </c>
      <c r="S141" s="159">
        <f>SUMIF('Che.-Prod'!A:A,Used_before_Trf!A141,'Che.-Prod'!R:R)</f>
        <v>0</v>
      </c>
      <c r="T141" s="169">
        <f t="shared" si="71"/>
        <v>0</v>
      </c>
      <c r="U141" s="507">
        <f t="shared" si="72"/>
        <v>0</v>
      </c>
      <c r="V141" s="170">
        <f t="shared" si="73"/>
        <v>0</v>
      </c>
      <c r="W141" s="158">
        <f>SUMIF('CHE-last month'!$A:$A,Used_before_Trf!A141,'CHE-last month'!C:C)</f>
        <v>0</v>
      </c>
      <c r="X141" s="520">
        <f t="shared" si="74"/>
        <v>0</v>
      </c>
      <c r="Y141" s="162">
        <f>SUMIF('CHE-last month'!$A:$A,Used_before_Trf!A141,'CHE-last month'!E:E)</f>
        <v>0</v>
      </c>
      <c r="Z141" s="159">
        <f t="shared" si="75"/>
        <v>0</v>
      </c>
      <c r="AA141" s="520">
        <f t="shared" si="76"/>
        <v>0</v>
      </c>
      <c r="AB141" s="159">
        <f t="shared" si="77"/>
        <v>0</v>
      </c>
      <c r="AC141" s="160">
        <f>SUMIFS(BalCom!M:M,BalCom!N:N,Used_before_Trf!A141,BalCom!C:C,Used_before_Trf!$AC$1)</f>
        <v>0</v>
      </c>
      <c r="AD141" s="171">
        <f t="shared" si="78"/>
        <v>0</v>
      </c>
      <c r="AE141" s="159">
        <f>SUMIFS(BalCom!P:P,BalCom!N:N,Used_before_Trf!A141,BalCom!C:C,Used_before_Trf!$AC$1)</f>
        <v>0</v>
      </c>
      <c r="AF141" s="160">
        <f>SUMIFS(BalDis!I:I,BalDis!J:J,Used_before_Trf!A141)</f>
        <v>0</v>
      </c>
      <c r="AG141" s="171">
        <f t="shared" si="79"/>
        <v>0</v>
      </c>
      <c r="AH141" s="162">
        <f>SUMIFS(BalDis!L:L,BalDis!J:J,Used_before_Trf!A141)</f>
        <v>0</v>
      </c>
      <c r="AI141" s="159">
        <f>SUMIFS(BalDip!$N$49:$N$75,BalDip!$C$49:$C$75,Used_before_Trf!A141)+SUMIFS(BalDip!$N$134:$N$157,BalDip!$C$134:$C$157,Used_before_Trf!A141)</f>
        <v>0</v>
      </c>
      <c r="AJ141" s="171">
        <f t="shared" si="80"/>
        <v>0</v>
      </c>
      <c r="AK141" s="177">
        <f>SUMIFS(BalDip!$N$80:$N$106,BalDip!$C$80:$C$106,Used_before_Trf!A141)+SUMIFS(BalDip!$N$161:$N$184,BalDip!$C$161:$C$184,Used_before_Trf!A141)</f>
        <v>0</v>
      </c>
      <c r="AL141" s="178">
        <f t="shared" si="81"/>
        <v>0</v>
      </c>
      <c r="AM141" s="179">
        <f t="shared" si="82"/>
        <v>0</v>
      </c>
      <c r="AN141" s="440">
        <f t="shared" si="83"/>
        <v>0</v>
      </c>
      <c r="AO141" s="180">
        <f t="shared" si="61"/>
        <v>0</v>
      </c>
    </row>
    <row r="142" spans="1:41" s="108" customFormat="1" ht="15" customHeight="1">
      <c r="A142" s="135" t="s">
        <v>442</v>
      </c>
      <c r="B142" s="573" t="s">
        <v>443</v>
      </c>
      <c r="C142" s="136">
        <f>SUMIF('Che-Store'!A:A,Used_before_Trf!A142,'Che-Store'!AC:AC)+SUMIF('Che-Comp'!A:A,Used_before_Trf!A142,'Che-Comp'!AC:AC)</f>
        <v>0</v>
      </c>
      <c r="D142" s="137">
        <f t="shared" si="64"/>
        <v>0</v>
      </c>
      <c r="E142" s="138">
        <f>SUMIF('Che-Store'!A:A,Used_before_Trf!A142,'Che-Store'!AE:AE)+SUMIF('Che-Comp'!A:A,Used_before_Trf!A142,'Che-Comp'!AE:AE)</f>
        <v>0</v>
      </c>
      <c r="F142" s="136">
        <f>SUMIFS('Che-Comp'!F:F,'Che-Comp'!$A:$A,Used_before_Trf!$A142)</f>
        <v>0</v>
      </c>
      <c r="G142" s="138">
        <f>SUMIFS('Che-Comp'!G:G,'Che-Comp'!$A:$A,Used_before_Trf!$A142)</f>
        <v>0</v>
      </c>
      <c r="H142" s="137">
        <f t="shared" si="65"/>
        <v>0</v>
      </c>
      <c r="I142" s="137">
        <f t="shared" si="66"/>
        <v>0</v>
      </c>
      <c r="J142" s="137">
        <f t="shared" si="67"/>
        <v>0</v>
      </c>
      <c r="K142" s="158">
        <f>SUMIF('Che.-Prod'!A:A,Used_before_Trf!A142,'Che.-Prod'!D:D)</f>
        <v>0</v>
      </c>
      <c r="L142" s="137">
        <f t="shared" si="68"/>
        <v>0</v>
      </c>
      <c r="M142" s="159">
        <f>SUMIF('Che.-Prod'!A:A,Used_before_Trf!A142,'Che.-Prod'!F:F)</f>
        <v>0</v>
      </c>
      <c r="N142" s="160">
        <f>SUMIF('Che.-Prod'!A:A,Used_before_Trf!A142,'Che.-Prod'!G:G)</f>
        <v>0</v>
      </c>
      <c r="O142" s="161">
        <f t="shared" si="69"/>
        <v>0</v>
      </c>
      <c r="P142" s="162">
        <f>SUMIF('Che.-Prod'!A:A,Used_before_Trf!A142,'Che.-Prod'!H:H)</f>
        <v>0</v>
      </c>
      <c r="Q142" s="160">
        <f>SUMIF('Che.-Prod'!A:A,Used_before_Trf!A142,'Che.-Prod'!P:P)</f>
        <v>0</v>
      </c>
      <c r="R142" s="161">
        <f t="shared" si="70"/>
        <v>0</v>
      </c>
      <c r="S142" s="159">
        <f>SUMIF('Che.-Prod'!A:A,Used_before_Trf!A142,'Che.-Prod'!R:R)</f>
        <v>0</v>
      </c>
      <c r="T142" s="169">
        <f t="shared" si="71"/>
        <v>0</v>
      </c>
      <c r="U142" s="507">
        <f t="shared" si="72"/>
        <v>0</v>
      </c>
      <c r="V142" s="170">
        <f t="shared" si="73"/>
        <v>0</v>
      </c>
      <c r="W142" s="158">
        <f>SUMIF('CHE-last month'!$A:$A,Used_before_Trf!A142,'CHE-last month'!C:C)</f>
        <v>0</v>
      </c>
      <c r="X142" s="520">
        <f t="shared" si="74"/>
        <v>0</v>
      </c>
      <c r="Y142" s="162">
        <f>SUMIF('CHE-last month'!$A:$A,Used_before_Trf!A142,'CHE-last month'!E:E)</f>
        <v>0</v>
      </c>
      <c r="Z142" s="159">
        <f t="shared" si="75"/>
        <v>0</v>
      </c>
      <c r="AA142" s="520">
        <f t="shared" si="76"/>
        <v>0</v>
      </c>
      <c r="AB142" s="159">
        <f t="shared" si="77"/>
        <v>0</v>
      </c>
      <c r="AC142" s="160">
        <f>SUMIFS(BalCom!M:M,BalCom!N:N,Used_before_Trf!A142,BalCom!C:C,Used_before_Trf!$AC$1)</f>
        <v>0</v>
      </c>
      <c r="AD142" s="171">
        <f t="shared" si="78"/>
        <v>0</v>
      </c>
      <c r="AE142" s="159">
        <f>SUMIFS(BalCom!P:P,BalCom!N:N,Used_before_Trf!A142,BalCom!C:C,Used_before_Trf!$AC$1)</f>
        <v>0</v>
      </c>
      <c r="AF142" s="160">
        <f>SUMIFS(BalDis!I:I,BalDis!J:J,Used_before_Trf!A142)</f>
        <v>0</v>
      </c>
      <c r="AG142" s="171">
        <f t="shared" si="79"/>
        <v>0</v>
      </c>
      <c r="AH142" s="162">
        <f>SUMIFS(BalDis!L:L,BalDis!J:J,Used_before_Trf!A142)</f>
        <v>0</v>
      </c>
      <c r="AI142" s="159">
        <f>SUMIFS(BalDip!$N$49:$N$75,BalDip!$C$49:$C$75,Used_before_Trf!A142)+SUMIFS(BalDip!$N$134:$N$157,BalDip!$C$134:$C$157,Used_before_Trf!A142)</f>
        <v>0</v>
      </c>
      <c r="AJ142" s="171">
        <f t="shared" si="80"/>
        <v>0</v>
      </c>
      <c r="AK142" s="177">
        <f>SUMIFS(BalDip!$N$80:$N$106,BalDip!$C$80:$C$106,Used_before_Trf!A142)+SUMIFS(BalDip!$N$161:$N$184,BalDip!$C$161:$C$184,Used_before_Trf!A142)</f>
        <v>0</v>
      </c>
      <c r="AL142" s="178">
        <f t="shared" si="81"/>
        <v>0</v>
      </c>
      <c r="AM142" s="179">
        <f t="shared" si="82"/>
        <v>0</v>
      </c>
      <c r="AN142" s="440">
        <f t="shared" si="83"/>
        <v>0</v>
      </c>
      <c r="AO142" s="180">
        <f t="shared" si="61"/>
        <v>0</v>
      </c>
    </row>
    <row r="143" spans="1:41" s="108" customFormat="1" ht="15" customHeight="1">
      <c r="A143" s="135" t="s">
        <v>444</v>
      </c>
      <c r="B143" s="573" t="s">
        <v>445</v>
      </c>
      <c r="C143" s="136">
        <f>SUMIF('Che-Store'!A:A,Used_before_Trf!A143,'Che-Store'!AC:AC)+SUMIF('Che-Comp'!A:A,Used_before_Trf!A143,'Che-Comp'!AC:AC)</f>
        <v>0</v>
      </c>
      <c r="D143" s="137">
        <f t="shared" si="64"/>
        <v>0</v>
      </c>
      <c r="E143" s="138">
        <f>SUMIF('Che-Store'!A:A,Used_before_Trf!A143,'Che-Store'!AE:AE)+SUMIF('Che-Comp'!A:A,Used_before_Trf!A143,'Che-Comp'!AE:AE)</f>
        <v>0</v>
      </c>
      <c r="F143" s="136">
        <f>SUMIFS('Che-Comp'!F:F,'Che-Comp'!$A:$A,Used_before_Trf!$A143)</f>
        <v>0</v>
      </c>
      <c r="G143" s="138">
        <f>SUMIFS('Che-Comp'!G:G,'Che-Comp'!$A:$A,Used_before_Trf!$A143)</f>
        <v>0</v>
      </c>
      <c r="H143" s="137">
        <f t="shared" si="65"/>
        <v>0</v>
      </c>
      <c r="I143" s="137">
        <f t="shared" si="66"/>
        <v>0</v>
      </c>
      <c r="J143" s="137">
        <f t="shared" si="67"/>
        <v>0</v>
      </c>
      <c r="K143" s="158">
        <f>SUMIF('Che.-Prod'!A:A,Used_before_Trf!A143,'Che.-Prod'!D:D)</f>
        <v>0</v>
      </c>
      <c r="L143" s="137">
        <f t="shared" si="68"/>
        <v>0</v>
      </c>
      <c r="M143" s="159">
        <f>SUMIF('Che.-Prod'!A:A,Used_before_Trf!A143,'Che.-Prod'!F:F)</f>
        <v>0</v>
      </c>
      <c r="N143" s="160">
        <f>SUMIF('Che.-Prod'!A:A,Used_before_Trf!A143,'Che.-Prod'!G:G)</f>
        <v>0</v>
      </c>
      <c r="O143" s="161">
        <f t="shared" si="69"/>
        <v>0</v>
      </c>
      <c r="P143" s="162">
        <f>SUMIF('Che.-Prod'!A:A,Used_before_Trf!A143,'Che.-Prod'!H:H)</f>
        <v>0</v>
      </c>
      <c r="Q143" s="160">
        <f>SUMIF('Che.-Prod'!A:A,Used_before_Trf!A143,'Che.-Prod'!P:P)</f>
        <v>0</v>
      </c>
      <c r="R143" s="161">
        <f t="shared" si="70"/>
        <v>0</v>
      </c>
      <c r="S143" s="159">
        <f>SUMIF('Che.-Prod'!A:A,Used_before_Trf!A143,'Che.-Prod'!R:R)</f>
        <v>0</v>
      </c>
      <c r="T143" s="169">
        <f t="shared" si="71"/>
        <v>0</v>
      </c>
      <c r="U143" s="507">
        <f t="shared" si="72"/>
        <v>0</v>
      </c>
      <c r="V143" s="170">
        <f t="shared" si="73"/>
        <v>0</v>
      </c>
      <c r="W143" s="158">
        <f>SUMIF('CHE-last month'!$A:$A,Used_before_Trf!A143,'CHE-last month'!C:C)</f>
        <v>0</v>
      </c>
      <c r="X143" s="520">
        <f t="shared" si="74"/>
        <v>0</v>
      </c>
      <c r="Y143" s="162">
        <f>SUMIF('CHE-last month'!$A:$A,Used_before_Trf!A143,'CHE-last month'!E:E)</f>
        <v>0</v>
      </c>
      <c r="Z143" s="159">
        <f t="shared" si="75"/>
        <v>0</v>
      </c>
      <c r="AA143" s="520">
        <f t="shared" si="76"/>
        <v>0</v>
      </c>
      <c r="AB143" s="159">
        <f t="shared" si="77"/>
        <v>0</v>
      </c>
      <c r="AC143" s="160">
        <f>SUMIFS(BalCom!M:M,BalCom!N:N,Used_before_Trf!A143,BalCom!C:C,Used_before_Trf!$AC$1)</f>
        <v>0</v>
      </c>
      <c r="AD143" s="171">
        <f t="shared" si="78"/>
        <v>0</v>
      </c>
      <c r="AE143" s="159">
        <f>SUMIFS(BalCom!P:P,BalCom!N:N,Used_before_Trf!A143,BalCom!C:C,Used_before_Trf!$AC$1)</f>
        <v>0</v>
      </c>
      <c r="AF143" s="160">
        <f>SUMIFS(BalDis!I:I,BalDis!J:J,Used_before_Trf!A143)</f>
        <v>0</v>
      </c>
      <c r="AG143" s="171">
        <f t="shared" si="79"/>
        <v>0</v>
      </c>
      <c r="AH143" s="162">
        <f>SUMIFS(BalDis!L:L,BalDis!J:J,Used_before_Trf!A143)</f>
        <v>0</v>
      </c>
      <c r="AI143" s="159">
        <f>SUMIFS(BalDip!$N$49:$N$75,BalDip!$C$49:$C$75,Used_before_Trf!A143)+SUMIFS(BalDip!$N$134:$N$157,BalDip!$C$134:$C$157,Used_before_Trf!A143)</f>
        <v>0</v>
      </c>
      <c r="AJ143" s="171">
        <f t="shared" si="80"/>
        <v>0</v>
      </c>
      <c r="AK143" s="177">
        <f>SUMIFS(BalDip!$N$80:$N$106,BalDip!$C$80:$C$106,Used_before_Trf!A143)+SUMIFS(BalDip!$N$161:$N$184,BalDip!$C$161:$C$184,Used_before_Trf!A143)</f>
        <v>0</v>
      </c>
      <c r="AL143" s="178">
        <f t="shared" si="81"/>
        <v>0</v>
      </c>
      <c r="AM143" s="179">
        <f t="shared" si="82"/>
        <v>0</v>
      </c>
      <c r="AN143" s="440">
        <f t="shared" si="83"/>
        <v>0</v>
      </c>
      <c r="AO143" s="180">
        <f t="shared" si="61"/>
        <v>0</v>
      </c>
    </row>
    <row r="144" spans="1:41" s="108" customFormat="1" ht="15" customHeight="1">
      <c r="A144" s="135" t="s">
        <v>446</v>
      </c>
      <c r="B144" s="573" t="s">
        <v>447</v>
      </c>
      <c r="C144" s="136">
        <f>SUMIF('Che-Store'!A:A,Used_before_Trf!A144,'Che-Store'!AC:AC)+SUMIF('Che-Comp'!A:A,Used_before_Trf!A144,'Che-Comp'!AC:AC)</f>
        <v>0</v>
      </c>
      <c r="D144" s="137">
        <f t="shared" si="64"/>
        <v>0</v>
      </c>
      <c r="E144" s="138">
        <f>SUMIF('Che-Store'!A:A,Used_before_Trf!A144,'Che-Store'!AE:AE)+SUMIF('Che-Comp'!A:A,Used_before_Trf!A144,'Che-Comp'!AE:AE)</f>
        <v>0</v>
      </c>
      <c r="F144" s="136">
        <f>SUMIFS('Che-Comp'!F:F,'Che-Comp'!$A:$A,Used_before_Trf!$A144)</f>
        <v>0</v>
      </c>
      <c r="G144" s="138">
        <f>SUMIFS('Che-Comp'!G:G,'Che-Comp'!$A:$A,Used_before_Trf!$A144)</f>
        <v>0</v>
      </c>
      <c r="H144" s="137">
        <f t="shared" si="65"/>
        <v>0</v>
      </c>
      <c r="I144" s="137">
        <f t="shared" si="66"/>
        <v>0</v>
      </c>
      <c r="J144" s="137">
        <f t="shared" si="67"/>
        <v>0</v>
      </c>
      <c r="K144" s="158">
        <f>SUMIF('Che.-Prod'!A:A,Used_before_Trf!A144,'Che.-Prod'!D:D)</f>
        <v>0</v>
      </c>
      <c r="L144" s="137">
        <f t="shared" si="68"/>
        <v>0</v>
      </c>
      <c r="M144" s="159">
        <f>SUMIF('Che.-Prod'!A:A,Used_before_Trf!A144,'Che.-Prod'!F:F)</f>
        <v>0</v>
      </c>
      <c r="N144" s="160">
        <f>SUMIF('Che.-Prod'!A:A,Used_before_Trf!A144,'Che.-Prod'!G:G)</f>
        <v>0</v>
      </c>
      <c r="O144" s="161">
        <f t="shared" si="69"/>
        <v>0</v>
      </c>
      <c r="P144" s="162">
        <f>SUMIF('Che.-Prod'!A:A,Used_before_Trf!A144,'Che.-Prod'!H:H)</f>
        <v>0</v>
      </c>
      <c r="Q144" s="160">
        <f>SUMIF('Che.-Prod'!A:A,Used_before_Trf!A144,'Che.-Prod'!P:P)</f>
        <v>0</v>
      </c>
      <c r="R144" s="161">
        <f t="shared" si="70"/>
        <v>0</v>
      </c>
      <c r="S144" s="159">
        <f>SUMIF('Che.-Prod'!A:A,Used_before_Trf!A144,'Che.-Prod'!R:R)</f>
        <v>0</v>
      </c>
      <c r="T144" s="169">
        <f t="shared" si="71"/>
        <v>0</v>
      </c>
      <c r="U144" s="507">
        <f t="shared" si="72"/>
        <v>0</v>
      </c>
      <c r="V144" s="170">
        <f t="shared" si="73"/>
        <v>0</v>
      </c>
      <c r="W144" s="158">
        <f>SUMIF('CHE-last month'!$A:$A,Used_before_Trf!A144,'CHE-last month'!C:C)</f>
        <v>0</v>
      </c>
      <c r="X144" s="520">
        <f t="shared" si="74"/>
        <v>0</v>
      </c>
      <c r="Y144" s="162">
        <f>SUMIF('CHE-last month'!$A:$A,Used_before_Trf!A144,'CHE-last month'!E:E)</f>
        <v>0</v>
      </c>
      <c r="Z144" s="159">
        <f t="shared" si="75"/>
        <v>0</v>
      </c>
      <c r="AA144" s="520">
        <f t="shared" si="76"/>
        <v>0</v>
      </c>
      <c r="AB144" s="159">
        <f t="shared" si="77"/>
        <v>0</v>
      </c>
      <c r="AC144" s="160">
        <f>SUMIFS(BalCom!M:M,BalCom!N:N,Used_before_Trf!A144,BalCom!C:C,Used_before_Trf!$AC$1)</f>
        <v>0</v>
      </c>
      <c r="AD144" s="171">
        <f t="shared" si="78"/>
        <v>0</v>
      </c>
      <c r="AE144" s="159">
        <f>SUMIFS(BalCom!P:P,BalCom!N:N,Used_before_Trf!A144,BalCom!C:C,Used_before_Trf!$AC$1)</f>
        <v>0</v>
      </c>
      <c r="AF144" s="160">
        <f>SUMIFS(BalDis!I:I,BalDis!J:J,Used_before_Trf!A144)</f>
        <v>0</v>
      </c>
      <c r="AG144" s="171">
        <f t="shared" si="79"/>
        <v>0</v>
      </c>
      <c r="AH144" s="162">
        <f>SUMIFS(BalDis!L:L,BalDis!J:J,Used_before_Trf!A144)</f>
        <v>0</v>
      </c>
      <c r="AI144" s="159">
        <f>SUMIFS(BalDip!$N$49:$N$75,BalDip!$C$49:$C$75,Used_before_Trf!A144)+SUMIFS(BalDip!$N$134:$N$157,BalDip!$C$134:$C$157,Used_before_Trf!A144)</f>
        <v>0</v>
      </c>
      <c r="AJ144" s="171">
        <f t="shared" si="80"/>
        <v>0</v>
      </c>
      <c r="AK144" s="177">
        <f>SUMIFS(BalDip!$N$80:$N$106,BalDip!$C$80:$C$106,Used_before_Trf!A144)+SUMIFS(BalDip!$N$161:$N$184,BalDip!$C$161:$C$184,Used_before_Trf!A144)</f>
        <v>0</v>
      </c>
      <c r="AL144" s="178">
        <f t="shared" si="81"/>
        <v>0</v>
      </c>
      <c r="AM144" s="179">
        <f t="shared" si="82"/>
        <v>0</v>
      </c>
      <c r="AN144" s="440">
        <f t="shared" si="83"/>
        <v>0</v>
      </c>
      <c r="AO144" s="180">
        <f t="shared" ref="AO144:AO169" si="84">AM144-U144</f>
        <v>0</v>
      </c>
    </row>
    <row r="145" spans="1:41" s="108" customFormat="1" ht="15" customHeight="1">
      <c r="A145" s="135" t="s">
        <v>448</v>
      </c>
      <c r="B145" s="573" t="s">
        <v>449</v>
      </c>
      <c r="C145" s="136">
        <f>SUMIF('Che-Store'!A:A,Used_before_Trf!A145,'Che-Store'!AC:AC)+SUMIF('Che-Comp'!A:A,Used_before_Trf!A145,'Che-Comp'!AC:AC)</f>
        <v>0</v>
      </c>
      <c r="D145" s="137">
        <f t="shared" si="64"/>
        <v>0</v>
      </c>
      <c r="E145" s="138">
        <f>SUMIF('Che-Store'!A:A,Used_before_Trf!A145,'Che-Store'!AE:AE)+SUMIF('Che-Comp'!A:A,Used_before_Trf!A145,'Che-Comp'!AE:AE)</f>
        <v>0</v>
      </c>
      <c r="F145" s="136">
        <f>SUMIFS('Che-Comp'!F:F,'Che-Comp'!$A:$A,Used_before_Trf!$A145)</f>
        <v>0</v>
      </c>
      <c r="G145" s="138">
        <f>SUMIFS('Che-Comp'!G:G,'Che-Comp'!$A:$A,Used_before_Trf!$A145)</f>
        <v>0</v>
      </c>
      <c r="H145" s="137">
        <f t="shared" si="65"/>
        <v>0</v>
      </c>
      <c r="I145" s="137">
        <f t="shared" si="66"/>
        <v>0</v>
      </c>
      <c r="J145" s="137">
        <f t="shared" si="67"/>
        <v>0</v>
      </c>
      <c r="K145" s="158">
        <f>SUMIF('Che.-Prod'!A:A,Used_before_Trf!A145,'Che.-Prod'!D:D)</f>
        <v>0</v>
      </c>
      <c r="L145" s="137">
        <f t="shared" si="68"/>
        <v>0</v>
      </c>
      <c r="M145" s="159">
        <f>SUMIF('Che.-Prod'!A:A,Used_before_Trf!A145,'Che.-Prod'!F:F)</f>
        <v>0</v>
      </c>
      <c r="N145" s="160">
        <f>SUMIF('Che.-Prod'!A:A,Used_before_Trf!A145,'Che.-Prod'!G:G)</f>
        <v>0</v>
      </c>
      <c r="O145" s="161">
        <f t="shared" si="69"/>
        <v>0</v>
      </c>
      <c r="P145" s="162">
        <f>SUMIF('Che.-Prod'!A:A,Used_before_Trf!A145,'Che.-Prod'!H:H)</f>
        <v>0</v>
      </c>
      <c r="Q145" s="160">
        <f>SUMIF('Che.-Prod'!A:A,Used_before_Trf!A145,'Che.-Prod'!P:P)</f>
        <v>0</v>
      </c>
      <c r="R145" s="161">
        <f t="shared" si="70"/>
        <v>0</v>
      </c>
      <c r="S145" s="159">
        <f>SUMIF('Che.-Prod'!A:A,Used_before_Trf!A145,'Che.-Prod'!R:R)</f>
        <v>0</v>
      </c>
      <c r="T145" s="169">
        <f t="shared" si="71"/>
        <v>0</v>
      </c>
      <c r="U145" s="507">
        <f t="shared" si="72"/>
        <v>0</v>
      </c>
      <c r="V145" s="170">
        <f t="shared" si="73"/>
        <v>0</v>
      </c>
      <c r="W145" s="158">
        <f>SUMIF('CHE-last month'!$A:$A,Used_before_Trf!A145,'CHE-last month'!C:C)</f>
        <v>0</v>
      </c>
      <c r="X145" s="520">
        <f t="shared" si="74"/>
        <v>0</v>
      </c>
      <c r="Y145" s="162">
        <f>SUMIF('CHE-last month'!$A:$A,Used_before_Trf!A145,'CHE-last month'!E:E)</f>
        <v>0</v>
      </c>
      <c r="Z145" s="159">
        <f t="shared" si="75"/>
        <v>0</v>
      </c>
      <c r="AA145" s="520">
        <f t="shared" si="76"/>
        <v>0</v>
      </c>
      <c r="AB145" s="159">
        <f t="shared" si="77"/>
        <v>0</v>
      </c>
      <c r="AC145" s="160">
        <f>SUMIFS(BalCom!M:M,BalCom!N:N,Used_before_Trf!A145,BalCom!C:C,Used_before_Trf!$AC$1)</f>
        <v>0</v>
      </c>
      <c r="AD145" s="171">
        <f t="shared" si="78"/>
        <v>0</v>
      </c>
      <c r="AE145" s="159">
        <f>SUMIFS(BalCom!P:P,BalCom!N:N,Used_before_Trf!A145,BalCom!C:C,Used_before_Trf!$AC$1)</f>
        <v>0</v>
      </c>
      <c r="AF145" s="160">
        <f>SUMIFS(BalDis!I:I,BalDis!J:J,Used_before_Trf!A145)</f>
        <v>0</v>
      </c>
      <c r="AG145" s="171">
        <f t="shared" si="79"/>
        <v>0</v>
      </c>
      <c r="AH145" s="162">
        <f>SUMIFS(BalDis!L:L,BalDis!J:J,Used_before_Trf!A145)</f>
        <v>0</v>
      </c>
      <c r="AI145" s="159">
        <f>SUMIFS(BalDip!$N$49:$N$75,BalDip!$C$49:$C$75,Used_before_Trf!A145)+SUMIFS(BalDip!$N$134:$N$157,BalDip!$C$134:$C$157,Used_before_Trf!A145)</f>
        <v>0</v>
      </c>
      <c r="AJ145" s="171">
        <f t="shared" si="80"/>
        <v>0</v>
      </c>
      <c r="AK145" s="177">
        <f>SUMIFS(BalDip!$N$80:$N$106,BalDip!$C$80:$C$106,Used_before_Trf!A145)+SUMIFS(BalDip!$N$161:$N$184,BalDip!$C$161:$C$184,Used_before_Trf!A145)</f>
        <v>0</v>
      </c>
      <c r="AL145" s="178">
        <f t="shared" si="81"/>
        <v>0</v>
      </c>
      <c r="AM145" s="179">
        <f t="shared" si="82"/>
        <v>0</v>
      </c>
      <c r="AN145" s="440">
        <f t="shared" si="83"/>
        <v>0</v>
      </c>
      <c r="AO145" s="180">
        <f t="shared" si="84"/>
        <v>0</v>
      </c>
    </row>
    <row r="146" spans="1:41" s="108" customFormat="1" ht="15" customHeight="1">
      <c r="A146" s="135" t="s">
        <v>450</v>
      </c>
      <c r="B146" s="573" t="s">
        <v>451</v>
      </c>
      <c r="C146" s="136">
        <f>SUMIF('Che-Store'!A:A,Used_before_Trf!A146,'Che-Store'!AC:AC)+SUMIF('Che-Comp'!A:A,Used_before_Trf!A146,'Che-Comp'!AC:AC)</f>
        <v>0</v>
      </c>
      <c r="D146" s="137">
        <f t="shared" si="64"/>
        <v>0</v>
      </c>
      <c r="E146" s="138">
        <f>SUMIF('Che-Store'!A:A,Used_before_Trf!A146,'Che-Store'!AE:AE)+SUMIF('Che-Comp'!A:A,Used_before_Trf!A146,'Che-Comp'!AE:AE)</f>
        <v>0</v>
      </c>
      <c r="F146" s="136">
        <f>SUMIFS('Che-Comp'!F:F,'Che-Comp'!$A:$A,Used_before_Trf!$A146)</f>
        <v>0</v>
      </c>
      <c r="G146" s="138">
        <f>SUMIFS('Che-Comp'!G:G,'Che-Comp'!$A:$A,Used_before_Trf!$A146)</f>
        <v>0</v>
      </c>
      <c r="H146" s="137">
        <f t="shared" si="65"/>
        <v>0</v>
      </c>
      <c r="I146" s="137">
        <f t="shared" si="66"/>
        <v>0</v>
      </c>
      <c r="J146" s="137">
        <f t="shared" si="67"/>
        <v>0</v>
      </c>
      <c r="K146" s="158">
        <f>SUMIF('Che.-Prod'!A:A,Used_before_Trf!A146,'Che.-Prod'!D:D)</f>
        <v>0</v>
      </c>
      <c r="L146" s="137">
        <f t="shared" si="68"/>
        <v>0</v>
      </c>
      <c r="M146" s="159">
        <f>SUMIF('Che.-Prod'!A:A,Used_before_Trf!A146,'Che.-Prod'!F:F)</f>
        <v>0</v>
      </c>
      <c r="N146" s="160">
        <f>SUMIF('Che.-Prod'!A:A,Used_before_Trf!A146,'Che.-Prod'!G:G)</f>
        <v>0</v>
      </c>
      <c r="O146" s="161">
        <f t="shared" si="69"/>
        <v>0</v>
      </c>
      <c r="P146" s="162">
        <f>SUMIF('Che.-Prod'!A:A,Used_before_Trf!A146,'Che.-Prod'!H:H)</f>
        <v>0</v>
      </c>
      <c r="Q146" s="160">
        <f>SUMIF('Che.-Prod'!A:A,Used_before_Trf!A146,'Che.-Prod'!P:P)</f>
        <v>0</v>
      </c>
      <c r="R146" s="161">
        <f t="shared" si="70"/>
        <v>0</v>
      </c>
      <c r="S146" s="159">
        <f>SUMIF('Che.-Prod'!A:A,Used_before_Trf!A146,'Che.-Prod'!R:R)</f>
        <v>0</v>
      </c>
      <c r="T146" s="169">
        <f t="shared" si="71"/>
        <v>0</v>
      </c>
      <c r="U146" s="507">
        <f t="shared" si="72"/>
        <v>0</v>
      </c>
      <c r="V146" s="170">
        <f t="shared" si="73"/>
        <v>0</v>
      </c>
      <c r="W146" s="158">
        <f>SUMIF('CHE-last month'!$A:$A,Used_before_Trf!A146,'CHE-last month'!C:C)</f>
        <v>0</v>
      </c>
      <c r="X146" s="520">
        <f t="shared" si="74"/>
        <v>0</v>
      </c>
      <c r="Y146" s="162">
        <f>SUMIF('CHE-last month'!$A:$A,Used_before_Trf!A146,'CHE-last month'!E:E)</f>
        <v>0</v>
      </c>
      <c r="Z146" s="159">
        <f t="shared" si="75"/>
        <v>0</v>
      </c>
      <c r="AA146" s="520">
        <f t="shared" si="76"/>
        <v>0</v>
      </c>
      <c r="AB146" s="159">
        <f t="shared" si="77"/>
        <v>0</v>
      </c>
      <c r="AC146" s="160">
        <f>SUMIFS(BalCom!M:M,BalCom!N:N,Used_before_Trf!A146,BalCom!C:C,Used_before_Trf!$AC$1)</f>
        <v>0</v>
      </c>
      <c r="AD146" s="171">
        <f t="shared" si="78"/>
        <v>0</v>
      </c>
      <c r="AE146" s="159">
        <f>SUMIFS(BalCom!P:P,BalCom!N:N,Used_before_Trf!A146,BalCom!C:C,Used_before_Trf!$AC$1)</f>
        <v>0</v>
      </c>
      <c r="AF146" s="160">
        <f>SUMIFS(BalDis!I:I,BalDis!J:J,Used_before_Trf!A146)</f>
        <v>0</v>
      </c>
      <c r="AG146" s="171">
        <f t="shared" si="79"/>
        <v>0</v>
      </c>
      <c r="AH146" s="162">
        <f>SUMIFS(BalDis!L:L,BalDis!J:J,Used_before_Trf!A146)</f>
        <v>0</v>
      </c>
      <c r="AI146" s="159">
        <f>SUMIFS(BalDip!$N$49:$N$75,BalDip!$C$49:$C$75,Used_before_Trf!A146)+SUMIFS(BalDip!$N$134:$N$157,BalDip!$C$134:$C$157,Used_before_Trf!A146)</f>
        <v>0</v>
      </c>
      <c r="AJ146" s="171">
        <f t="shared" si="80"/>
        <v>0</v>
      </c>
      <c r="AK146" s="177">
        <f>SUMIFS(BalDip!$N$80:$N$106,BalDip!$C$80:$C$106,Used_before_Trf!A146)+SUMIFS(BalDip!$N$161:$N$184,BalDip!$C$161:$C$184,Used_before_Trf!A146)</f>
        <v>0</v>
      </c>
      <c r="AL146" s="178">
        <f t="shared" si="81"/>
        <v>0</v>
      </c>
      <c r="AM146" s="179">
        <f t="shared" si="82"/>
        <v>0</v>
      </c>
      <c r="AN146" s="440">
        <f t="shared" si="83"/>
        <v>0</v>
      </c>
      <c r="AO146" s="180">
        <f t="shared" si="84"/>
        <v>0</v>
      </c>
    </row>
    <row r="147" spans="1:41" s="108" customFormat="1" ht="15" customHeight="1">
      <c r="A147" s="135" t="s">
        <v>452</v>
      </c>
      <c r="B147" s="573" t="s">
        <v>453</v>
      </c>
      <c r="C147" s="136">
        <f>SUMIF('Che-Store'!A:A,Used_before_Trf!A147,'Che-Store'!AC:AC)+SUMIF('Che-Comp'!A:A,Used_before_Trf!A147,'Che-Comp'!AC:AC)</f>
        <v>0</v>
      </c>
      <c r="D147" s="137">
        <f t="shared" si="64"/>
        <v>0</v>
      </c>
      <c r="E147" s="138">
        <f>SUMIF('Che-Store'!A:A,Used_before_Trf!A147,'Che-Store'!AE:AE)+SUMIF('Che-Comp'!A:A,Used_before_Trf!A147,'Che-Comp'!AE:AE)</f>
        <v>0</v>
      </c>
      <c r="F147" s="136">
        <f>SUMIFS('Che-Comp'!F:F,'Che-Comp'!$A:$A,Used_before_Trf!$A147)</f>
        <v>0</v>
      </c>
      <c r="G147" s="138">
        <f>SUMIFS('Che-Comp'!G:G,'Che-Comp'!$A:$A,Used_before_Trf!$A147)</f>
        <v>0</v>
      </c>
      <c r="H147" s="137">
        <f t="shared" si="65"/>
        <v>0</v>
      </c>
      <c r="I147" s="137">
        <f t="shared" si="66"/>
        <v>0</v>
      </c>
      <c r="J147" s="137">
        <f t="shared" si="67"/>
        <v>0</v>
      </c>
      <c r="K147" s="158">
        <f>SUMIF('Che.-Prod'!A:A,Used_before_Trf!A147,'Che.-Prod'!D:D)</f>
        <v>0</v>
      </c>
      <c r="L147" s="137">
        <f t="shared" si="68"/>
        <v>0</v>
      </c>
      <c r="M147" s="159">
        <f>SUMIF('Che.-Prod'!A:A,Used_before_Trf!A147,'Che.-Prod'!F:F)</f>
        <v>0</v>
      </c>
      <c r="N147" s="160">
        <f>SUMIF('Che.-Prod'!A:A,Used_before_Trf!A147,'Che.-Prod'!G:G)</f>
        <v>0</v>
      </c>
      <c r="O147" s="161">
        <f t="shared" si="69"/>
        <v>0</v>
      </c>
      <c r="P147" s="162">
        <f>SUMIF('Che.-Prod'!A:A,Used_before_Trf!A147,'Che.-Prod'!H:H)</f>
        <v>0</v>
      </c>
      <c r="Q147" s="160">
        <f>SUMIF('Che.-Prod'!A:A,Used_before_Trf!A147,'Che.-Prod'!P:P)</f>
        <v>0</v>
      </c>
      <c r="R147" s="161">
        <f t="shared" si="70"/>
        <v>0</v>
      </c>
      <c r="S147" s="159">
        <f>SUMIF('Che.-Prod'!A:A,Used_before_Trf!A147,'Che.-Prod'!R:R)</f>
        <v>0</v>
      </c>
      <c r="T147" s="169">
        <f t="shared" si="71"/>
        <v>0</v>
      </c>
      <c r="U147" s="507">
        <f t="shared" si="72"/>
        <v>0</v>
      </c>
      <c r="V147" s="170">
        <f t="shared" si="73"/>
        <v>0</v>
      </c>
      <c r="W147" s="158">
        <f>SUMIF('CHE-last month'!$A:$A,Used_before_Trf!A147,'CHE-last month'!C:C)</f>
        <v>0</v>
      </c>
      <c r="X147" s="520">
        <f t="shared" si="74"/>
        <v>0</v>
      </c>
      <c r="Y147" s="162">
        <f>SUMIF('CHE-last month'!$A:$A,Used_before_Trf!A147,'CHE-last month'!E:E)</f>
        <v>0</v>
      </c>
      <c r="Z147" s="159">
        <f t="shared" si="75"/>
        <v>0</v>
      </c>
      <c r="AA147" s="520">
        <f t="shared" si="76"/>
        <v>0</v>
      </c>
      <c r="AB147" s="159">
        <f t="shared" si="77"/>
        <v>0</v>
      </c>
      <c r="AC147" s="160">
        <f>SUMIFS(BalCom!M:M,BalCom!N:N,Used_before_Trf!A147,BalCom!C:C,Used_before_Trf!$AC$1)</f>
        <v>0</v>
      </c>
      <c r="AD147" s="171">
        <f t="shared" si="78"/>
        <v>0</v>
      </c>
      <c r="AE147" s="159">
        <f>SUMIFS(BalCom!P:P,BalCom!N:N,Used_before_Trf!A147,BalCom!C:C,Used_before_Trf!$AC$1)</f>
        <v>0</v>
      </c>
      <c r="AF147" s="160">
        <f>SUMIFS(BalDis!I:I,BalDis!J:J,Used_before_Trf!A147)</f>
        <v>0</v>
      </c>
      <c r="AG147" s="171">
        <f t="shared" si="79"/>
        <v>0</v>
      </c>
      <c r="AH147" s="162">
        <f>SUMIFS(BalDis!L:L,BalDis!J:J,Used_before_Trf!A147)</f>
        <v>0</v>
      </c>
      <c r="AI147" s="159">
        <f>SUMIFS(BalDip!$N$49:$N$75,BalDip!$C$49:$C$75,Used_before_Trf!A147)+SUMIFS(BalDip!$N$134:$N$157,BalDip!$C$134:$C$157,Used_before_Trf!A147)</f>
        <v>0</v>
      </c>
      <c r="AJ147" s="171">
        <f t="shared" si="80"/>
        <v>0</v>
      </c>
      <c r="AK147" s="177">
        <f>SUMIFS(BalDip!$N$80:$N$106,BalDip!$C$80:$C$106,Used_before_Trf!A147)+SUMIFS(BalDip!$N$161:$N$184,BalDip!$C$161:$C$184,Used_before_Trf!A147)</f>
        <v>0</v>
      </c>
      <c r="AL147" s="178">
        <f t="shared" si="81"/>
        <v>0</v>
      </c>
      <c r="AM147" s="179">
        <f t="shared" si="82"/>
        <v>0</v>
      </c>
      <c r="AN147" s="440">
        <f t="shared" si="83"/>
        <v>0</v>
      </c>
      <c r="AO147" s="180">
        <f t="shared" si="84"/>
        <v>0</v>
      </c>
    </row>
    <row r="148" spans="1:41" s="108" customFormat="1" ht="15" customHeight="1">
      <c r="A148" s="135" t="s">
        <v>454</v>
      </c>
      <c r="B148" s="573" t="s">
        <v>455</v>
      </c>
      <c r="C148" s="136">
        <f>SUMIF('Che-Store'!A:A,Used_before_Trf!A148,'Che-Store'!AC:AC)+SUMIF('Che-Comp'!A:A,Used_before_Trf!A148,'Che-Comp'!AC:AC)</f>
        <v>0</v>
      </c>
      <c r="D148" s="137">
        <f t="shared" si="64"/>
        <v>0</v>
      </c>
      <c r="E148" s="138">
        <f>SUMIF('Che-Store'!A:A,Used_before_Trf!A148,'Che-Store'!AE:AE)+SUMIF('Che-Comp'!A:A,Used_before_Trf!A148,'Che-Comp'!AE:AE)</f>
        <v>0</v>
      </c>
      <c r="F148" s="136">
        <f>SUMIFS('Che-Comp'!F:F,'Che-Comp'!$A:$A,Used_before_Trf!$A148)</f>
        <v>0</v>
      </c>
      <c r="G148" s="138">
        <f>SUMIFS('Che-Comp'!G:G,'Che-Comp'!$A:$A,Used_before_Trf!$A148)</f>
        <v>0</v>
      </c>
      <c r="H148" s="137">
        <f t="shared" si="65"/>
        <v>0</v>
      </c>
      <c r="I148" s="137">
        <f t="shared" si="66"/>
        <v>0</v>
      </c>
      <c r="J148" s="137">
        <f t="shared" si="67"/>
        <v>0</v>
      </c>
      <c r="K148" s="158">
        <f>SUMIF('Che.-Prod'!A:A,Used_before_Trf!A148,'Che.-Prod'!D:D)</f>
        <v>0</v>
      </c>
      <c r="L148" s="137">
        <f t="shared" si="68"/>
        <v>0</v>
      </c>
      <c r="M148" s="159">
        <f>SUMIF('Che.-Prod'!A:A,Used_before_Trf!A148,'Che.-Prod'!F:F)</f>
        <v>0</v>
      </c>
      <c r="N148" s="160">
        <f>SUMIF('Che.-Prod'!A:A,Used_before_Trf!A148,'Che.-Prod'!G:G)</f>
        <v>0</v>
      </c>
      <c r="O148" s="161">
        <f t="shared" si="69"/>
        <v>0</v>
      </c>
      <c r="P148" s="162">
        <f>SUMIF('Che.-Prod'!A:A,Used_before_Trf!A148,'Che.-Prod'!H:H)</f>
        <v>0</v>
      </c>
      <c r="Q148" s="160">
        <f>SUMIF('Che.-Prod'!A:A,Used_before_Trf!A148,'Che.-Prod'!P:P)</f>
        <v>0</v>
      </c>
      <c r="R148" s="161">
        <f t="shared" si="70"/>
        <v>0</v>
      </c>
      <c r="S148" s="159">
        <f>SUMIF('Che.-Prod'!A:A,Used_before_Trf!A148,'Che.-Prod'!R:R)</f>
        <v>0</v>
      </c>
      <c r="T148" s="169">
        <f t="shared" si="71"/>
        <v>0</v>
      </c>
      <c r="U148" s="507">
        <f t="shared" si="72"/>
        <v>0</v>
      </c>
      <c r="V148" s="170">
        <f t="shared" si="73"/>
        <v>0</v>
      </c>
      <c r="W148" s="158">
        <f>SUMIF('CHE-last month'!$A:$A,Used_before_Trf!A148,'CHE-last month'!C:C)</f>
        <v>0</v>
      </c>
      <c r="X148" s="520">
        <f t="shared" si="74"/>
        <v>0</v>
      </c>
      <c r="Y148" s="162">
        <f>SUMIF('CHE-last month'!$A:$A,Used_before_Trf!A148,'CHE-last month'!E:E)</f>
        <v>0</v>
      </c>
      <c r="Z148" s="159">
        <f t="shared" si="75"/>
        <v>0</v>
      </c>
      <c r="AA148" s="520">
        <f t="shared" si="76"/>
        <v>0</v>
      </c>
      <c r="AB148" s="159">
        <f t="shared" si="77"/>
        <v>0</v>
      </c>
      <c r="AC148" s="160">
        <f>SUMIFS(BalCom!M:M,BalCom!N:N,Used_before_Trf!A148,BalCom!C:C,Used_before_Trf!$AC$1)</f>
        <v>0</v>
      </c>
      <c r="AD148" s="171">
        <f t="shared" si="78"/>
        <v>0</v>
      </c>
      <c r="AE148" s="159">
        <f>SUMIFS(BalCom!P:P,BalCom!N:N,Used_before_Trf!A148,BalCom!C:C,Used_before_Trf!$AC$1)</f>
        <v>0</v>
      </c>
      <c r="AF148" s="160">
        <f>SUMIFS(BalDis!I:I,BalDis!J:J,Used_before_Trf!A148)</f>
        <v>0</v>
      </c>
      <c r="AG148" s="171">
        <f t="shared" si="79"/>
        <v>0</v>
      </c>
      <c r="AH148" s="162">
        <f>SUMIFS(BalDis!L:L,BalDis!J:J,Used_before_Trf!A148)</f>
        <v>0</v>
      </c>
      <c r="AI148" s="159">
        <f>SUMIFS(BalDip!$N$49:$N$75,BalDip!$C$49:$C$75,Used_before_Trf!A148)+SUMIFS(BalDip!$N$134:$N$157,BalDip!$C$134:$C$157,Used_before_Trf!A148)</f>
        <v>0</v>
      </c>
      <c r="AJ148" s="171">
        <f t="shared" si="80"/>
        <v>0</v>
      </c>
      <c r="AK148" s="177">
        <f>SUMIFS(BalDip!$N$80:$N$106,BalDip!$C$80:$C$106,Used_before_Trf!A148)+SUMIFS(BalDip!$N$161:$N$184,BalDip!$C$161:$C$184,Used_before_Trf!A148)</f>
        <v>0</v>
      </c>
      <c r="AL148" s="178">
        <f t="shared" si="81"/>
        <v>0</v>
      </c>
      <c r="AM148" s="179">
        <f t="shared" si="82"/>
        <v>0</v>
      </c>
      <c r="AN148" s="440">
        <f t="shared" si="83"/>
        <v>0</v>
      </c>
      <c r="AO148" s="180">
        <f t="shared" si="84"/>
        <v>0</v>
      </c>
    </row>
    <row r="149" spans="1:41" s="108" customFormat="1" ht="15" customHeight="1">
      <c r="A149" s="135" t="s">
        <v>456</v>
      </c>
      <c r="B149" s="573" t="s">
        <v>457</v>
      </c>
      <c r="C149" s="136">
        <f>SUMIF('Che-Store'!A:A,Used_before_Trf!A149,'Che-Store'!AC:AC)+SUMIF('Che-Comp'!A:A,Used_before_Trf!A149,'Che-Comp'!AC:AC)</f>
        <v>0</v>
      </c>
      <c r="D149" s="137">
        <f t="shared" si="64"/>
        <v>0</v>
      </c>
      <c r="E149" s="138">
        <f>SUMIF('Che-Store'!A:A,Used_before_Trf!A149,'Che-Store'!AE:AE)+SUMIF('Che-Comp'!A:A,Used_before_Trf!A149,'Che-Comp'!AE:AE)</f>
        <v>0</v>
      </c>
      <c r="F149" s="136">
        <f>SUMIFS('Che-Comp'!F:F,'Che-Comp'!$A:$A,Used_before_Trf!$A149)</f>
        <v>0</v>
      </c>
      <c r="G149" s="138">
        <f>SUMIFS('Che-Comp'!G:G,'Che-Comp'!$A:$A,Used_before_Trf!$A149)</f>
        <v>0</v>
      </c>
      <c r="H149" s="137">
        <f t="shared" si="65"/>
        <v>0</v>
      </c>
      <c r="I149" s="137">
        <f t="shared" si="66"/>
        <v>0</v>
      </c>
      <c r="J149" s="137">
        <f t="shared" si="67"/>
        <v>0</v>
      </c>
      <c r="K149" s="158">
        <f>SUMIF('Che.-Prod'!A:A,Used_before_Trf!A149,'Che.-Prod'!D:D)</f>
        <v>0</v>
      </c>
      <c r="L149" s="137">
        <f t="shared" si="68"/>
        <v>0</v>
      </c>
      <c r="M149" s="159">
        <f>SUMIF('Che.-Prod'!A:A,Used_before_Trf!A149,'Che.-Prod'!F:F)</f>
        <v>0</v>
      </c>
      <c r="N149" s="160">
        <f>SUMIF('Che.-Prod'!A:A,Used_before_Trf!A149,'Che.-Prod'!G:G)</f>
        <v>0</v>
      </c>
      <c r="O149" s="161">
        <f t="shared" si="69"/>
        <v>0</v>
      </c>
      <c r="P149" s="162">
        <f>SUMIF('Che.-Prod'!A:A,Used_before_Trf!A149,'Che.-Prod'!H:H)</f>
        <v>0</v>
      </c>
      <c r="Q149" s="160">
        <f>SUMIF('Che.-Prod'!A:A,Used_before_Trf!A149,'Che.-Prod'!P:P)</f>
        <v>0</v>
      </c>
      <c r="R149" s="161">
        <f t="shared" si="70"/>
        <v>0</v>
      </c>
      <c r="S149" s="159">
        <f>SUMIF('Che.-Prod'!A:A,Used_before_Trf!A149,'Che.-Prod'!R:R)</f>
        <v>0</v>
      </c>
      <c r="T149" s="169">
        <f t="shared" si="71"/>
        <v>0</v>
      </c>
      <c r="U149" s="507">
        <f t="shared" si="72"/>
        <v>0</v>
      </c>
      <c r="V149" s="170">
        <f t="shared" si="73"/>
        <v>0</v>
      </c>
      <c r="W149" s="158">
        <f>SUMIF('CHE-last month'!$A:$A,Used_before_Trf!A149,'CHE-last month'!C:C)</f>
        <v>0</v>
      </c>
      <c r="X149" s="520">
        <f t="shared" si="74"/>
        <v>0</v>
      </c>
      <c r="Y149" s="162">
        <f>SUMIF('CHE-last month'!$A:$A,Used_before_Trf!A149,'CHE-last month'!E:E)</f>
        <v>0</v>
      </c>
      <c r="Z149" s="159">
        <f t="shared" si="75"/>
        <v>0</v>
      </c>
      <c r="AA149" s="520">
        <f t="shared" si="76"/>
        <v>0</v>
      </c>
      <c r="AB149" s="159">
        <f t="shared" si="77"/>
        <v>0</v>
      </c>
      <c r="AC149" s="160">
        <f>SUMIFS(BalCom!M:M,BalCom!N:N,Used_before_Trf!A149,BalCom!C:C,Used_before_Trf!$AC$1)</f>
        <v>0</v>
      </c>
      <c r="AD149" s="171">
        <f t="shared" si="78"/>
        <v>0</v>
      </c>
      <c r="AE149" s="159">
        <f>SUMIFS(BalCom!P:P,BalCom!N:N,Used_before_Trf!A149,BalCom!C:C,Used_before_Trf!$AC$1)</f>
        <v>0</v>
      </c>
      <c r="AF149" s="160">
        <f>SUMIFS(BalDis!I:I,BalDis!J:J,Used_before_Trf!A149)</f>
        <v>0</v>
      </c>
      <c r="AG149" s="171">
        <f t="shared" si="79"/>
        <v>0</v>
      </c>
      <c r="AH149" s="162">
        <f>SUMIFS(BalDis!L:L,BalDis!J:J,Used_before_Trf!A149)</f>
        <v>0</v>
      </c>
      <c r="AI149" s="159">
        <f>SUMIFS(BalDip!$N$49:$N$75,BalDip!$C$49:$C$75,Used_before_Trf!A149)+SUMIFS(BalDip!$N$134:$N$157,BalDip!$C$134:$C$157,Used_before_Trf!A149)</f>
        <v>0</v>
      </c>
      <c r="AJ149" s="171">
        <f t="shared" si="80"/>
        <v>0</v>
      </c>
      <c r="AK149" s="177">
        <f>SUMIFS(BalDip!$N$80:$N$106,BalDip!$C$80:$C$106,Used_before_Trf!A149)+SUMIFS(BalDip!$N$161:$N$184,BalDip!$C$161:$C$184,Used_before_Trf!A149)</f>
        <v>0</v>
      </c>
      <c r="AL149" s="178">
        <f t="shared" si="81"/>
        <v>0</v>
      </c>
      <c r="AM149" s="179">
        <f t="shared" si="82"/>
        <v>0</v>
      </c>
      <c r="AN149" s="440">
        <f t="shared" si="83"/>
        <v>0</v>
      </c>
      <c r="AO149" s="180">
        <f t="shared" si="84"/>
        <v>0</v>
      </c>
    </row>
    <row r="150" spans="1:41" s="108" customFormat="1" ht="15" customHeight="1">
      <c r="A150" s="135" t="s">
        <v>458</v>
      </c>
      <c r="B150" s="573" t="s">
        <v>459</v>
      </c>
      <c r="C150" s="136">
        <f>SUMIF('Che-Store'!A:A,Used_before_Trf!A150,'Che-Store'!AC:AC)+SUMIF('Che-Comp'!A:A,Used_before_Trf!A150,'Che-Comp'!AC:AC)</f>
        <v>0</v>
      </c>
      <c r="D150" s="137">
        <f t="shared" si="64"/>
        <v>0</v>
      </c>
      <c r="E150" s="138">
        <f>SUMIF('Che-Store'!A:A,Used_before_Trf!A150,'Che-Store'!AE:AE)+SUMIF('Che-Comp'!A:A,Used_before_Trf!A150,'Che-Comp'!AE:AE)</f>
        <v>0</v>
      </c>
      <c r="F150" s="136">
        <f>SUMIFS('Che-Comp'!F:F,'Che-Comp'!$A:$A,Used_before_Trf!$A150)</f>
        <v>0</v>
      </c>
      <c r="G150" s="138">
        <f>SUMIFS('Che-Comp'!G:G,'Che-Comp'!$A:$A,Used_before_Trf!$A150)</f>
        <v>0</v>
      </c>
      <c r="H150" s="137">
        <f t="shared" si="65"/>
        <v>0</v>
      </c>
      <c r="I150" s="137">
        <f t="shared" si="66"/>
        <v>0</v>
      </c>
      <c r="J150" s="137">
        <f t="shared" si="67"/>
        <v>0</v>
      </c>
      <c r="K150" s="158">
        <f>SUMIF('Che.-Prod'!A:A,Used_before_Trf!A150,'Che.-Prod'!D:D)</f>
        <v>0</v>
      </c>
      <c r="L150" s="137">
        <f t="shared" si="68"/>
        <v>0</v>
      </c>
      <c r="M150" s="159">
        <f>SUMIF('Che.-Prod'!A:A,Used_before_Trf!A150,'Che.-Prod'!F:F)</f>
        <v>0</v>
      </c>
      <c r="N150" s="160">
        <f>SUMIF('Che.-Prod'!A:A,Used_before_Trf!A150,'Che.-Prod'!G:G)</f>
        <v>0</v>
      </c>
      <c r="O150" s="161">
        <f t="shared" si="69"/>
        <v>0</v>
      </c>
      <c r="P150" s="162">
        <f>SUMIF('Che.-Prod'!A:A,Used_before_Trf!A150,'Che.-Prod'!H:H)</f>
        <v>0</v>
      </c>
      <c r="Q150" s="160">
        <f>SUMIF('Che.-Prod'!A:A,Used_before_Trf!A150,'Che.-Prod'!P:P)</f>
        <v>0</v>
      </c>
      <c r="R150" s="161">
        <f t="shared" si="70"/>
        <v>0</v>
      </c>
      <c r="S150" s="159">
        <f>SUMIF('Che.-Prod'!A:A,Used_before_Trf!A150,'Che.-Prod'!R:R)</f>
        <v>0</v>
      </c>
      <c r="T150" s="169">
        <f t="shared" si="71"/>
        <v>0</v>
      </c>
      <c r="U150" s="507">
        <f t="shared" si="72"/>
        <v>0</v>
      </c>
      <c r="V150" s="170">
        <f t="shared" si="73"/>
        <v>0</v>
      </c>
      <c r="W150" s="158">
        <f>SUMIF('CHE-last month'!$A:$A,Used_before_Trf!A150,'CHE-last month'!C:C)</f>
        <v>0</v>
      </c>
      <c r="X150" s="520">
        <f t="shared" si="74"/>
        <v>0</v>
      </c>
      <c r="Y150" s="162">
        <f>SUMIF('CHE-last month'!$A:$A,Used_before_Trf!A150,'CHE-last month'!E:E)</f>
        <v>0</v>
      </c>
      <c r="Z150" s="159">
        <f t="shared" si="75"/>
        <v>0</v>
      </c>
      <c r="AA150" s="520">
        <f t="shared" si="76"/>
        <v>0</v>
      </c>
      <c r="AB150" s="159">
        <f t="shared" si="77"/>
        <v>0</v>
      </c>
      <c r="AC150" s="160">
        <f>SUMIFS(BalCom!M:M,BalCom!N:N,Used_before_Trf!A150,BalCom!C:C,Used_before_Trf!$AC$1)</f>
        <v>0</v>
      </c>
      <c r="AD150" s="171">
        <f t="shared" si="78"/>
        <v>0</v>
      </c>
      <c r="AE150" s="159">
        <f>SUMIFS(BalCom!P:P,BalCom!N:N,Used_before_Trf!A150,BalCom!C:C,Used_before_Trf!$AC$1)</f>
        <v>0</v>
      </c>
      <c r="AF150" s="160">
        <f>SUMIFS(BalDis!I:I,BalDis!J:J,Used_before_Trf!A150)</f>
        <v>0</v>
      </c>
      <c r="AG150" s="171">
        <f t="shared" si="79"/>
        <v>0</v>
      </c>
      <c r="AH150" s="162">
        <f>SUMIFS(BalDis!L:L,BalDis!J:J,Used_before_Trf!A150)</f>
        <v>0</v>
      </c>
      <c r="AI150" s="159">
        <f>SUMIFS(BalDip!$N$49:$N$75,BalDip!$C$49:$C$75,Used_before_Trf!A150)+SUMIFS(BalDip!$N$134:$N$157,BalDip!$C$134:$C$157,Used_before_Trf!A150)</f>
        <v>0</v>
      </c>
      <c r="AJ150" s="171">
        <f t="shared" si="80"/>
        <v>0</v>
      </c>
      <c r="AK150" s="177">
        <f>SUMIFS(BalDip!$N$80:$N$106,BalDip!$C$80:$C$106,Used_before_Trf!A150)+SUMIFS(BalDip!$N$161:$N$184,BalDip!$C$161:$C$184,Used_before_Trf!A150)</f>
        <v>0</v>
      </c>
      <c r="AL150" s="178">
        <f t="shared" si="81"/>
        <v>0</v>
      </c>
      <c r="AM150" s="179">
        <f t="shared" si="82"/>
        <v>0</v>
      </c>
      <c r="AN150" s="440">
        <f t="shared" si="83"/>
        <v>0</v>
      </c>
      <c r="AO150" s="180">
        <f t="shared" si="84"/>
        <v>0</v>
      </c>
    </row>
    <row r="151" spans="1:41" s="108" customFormat="1" ht="15" customHeight="1">
      <c r="A151" s="135" t="s">
        <v>460</v>
      </c>
      <c r="B151" s="573" t="s">
        <v>461</v>
      </c>
      <c r="C151" s="136">
        <f>SUMIF('Che-Store'!A:A,Used_before_Trf!A151,'Che-Store'!AC:AC)+SUMIF('Che-Comp'!A:A,Used_before_Trf!A151,'Che-Comp'!AC:AC)</f>
        <v>0</v>
      </c>
      <c r="D151" s="137">
        <f t="shared" si="64"/>
        <v>0</v>
      </c>
      <c r="E151" s="138">
        <f>SUMIF('Che-Store'!A:A,Used_before_Trf!A151,'Che-Store'!AE:AE)+SUMIF('Che-Comp'!A:A,Used_before_Trf!A151,'Che-Comp'!AE:AE)</f>
        <v>0</v>
      </c>
      <c r="F151" s="136">
        <f>SUMIFS('Che-Comp'!F:F,'Che-Comp'!$A:$A,Used_before_Trf!$A151)</f>
        <v>0</v>
      </c>
      <c r="G151" s="138">
        <f>SUMIFS('Che-Comp'!G:G,'Che-Comp'!$A:$A,Used_before_Trf!$A151)</f>
        <v>0</v>
      </c>
      <c r="H151" s="137">
        <f t="shared" si="65"/>
        <v>0</v>
      </c>
      <c r="I151" s="137">
        <f t="shared" si="66"/>
        <v>0</v>
      </c>
      <c r="J151" s="137">
        <f t="shared" si="67"/>
        <v>0</v>
      </c>
      <c r="K151" s="158">
        <f>SUMIF('Che.-Prod'!A:A,Used_before_Trf!A151,'Che.-Prod'!D:D)</f>
        <v>0</v>
      </c>
      <c r="L151" s="137">
        <f t="shared" si="68"/>
        <v>0</v>
      </c>
      <c r="M151" s="159">
        <f>SUMIF('Che.-Prod'!A:A,Used_before_Trf!A151,'Che.-Prod'!F:F)</f>
        <v>0</v>
      </c>
      <c r="N151" s="160">
        <f>SUMIF('Che.-Prod'!A:A,Used_before_Trf!A151,'Che.-Prod'!G:G)</f>
        <v>0</v>
      </c>
      <c r="O151" s="161">
        <f t="shared" si="69"/>
        <v>0</v>
      </c>
      <c r="P151" s="162">
        <f>SUMIF('Che.-Prod'!A:A,Used_before_Trf!A151,'Che.-Prod'!H:H)</f>
        <v>0</v>
      </c>
      <c r="Q151" s="160">
        <f>SUMIF('Che.-Prod'!A:A,Used_before_Trf!A151,'Che.-Prod'!P:P)</f>
        <v>0</v>
      </c>
      <c r="R151" s="161">
        <f t="shared" si="70"/>
        <v>0</v>
      </c>
      <c r="S151" s="159">
        <f>SUMIF('Che.-Prod'!A:A,Used_before_Trf!A151,'Che.-Prod'!R:R)</f>
        <v>0</v>
      </c>
      <c r="T151" s="169">
        <f t="shared" si="71"/>
        <v>0</v>
      </c>
      <c r="U151" s="507">
        <f t="shared" si="72"/>
        <v>0</v>
      </c>
      <c r="V151" s="170">
        <f t="shared" si="73"/>
        <v>0</v>
      </c>
      <c r="W151" s="158">
        <f>SUMIF('CHE-last month'!$A:$A,Used_before_Trf!A151,'CHE-last month'!C:C)</f>
        <v>0</v>
      </c>
      <c r="X151" s="520">
        <f t="shared" si="74"/>
        <v>0</v>
      </c>
      <c r="Y151" s="162">
        <f>SUMIF('CHE-last month'!$A:$A,Used_before_Trf!A151,'CHE-last month'!E:E)</f>
        <v>0</v>
      </c>
      <c r="Z151" s="159">
        <f t="shared" si="75"/>
        <v>0</v>
      </c>
      <c r="AA151" s="520">
        <f t="shared" si="76"/>
        <v>0</v>
      </c>
      <c r="AB151" s="159">
        <f t="shared" si="77"/>
        <v>0</v>
      </c>
      <c r="AC151" s="160">
        <f>SUMIFS(BalCom!M:M,BalCom!N:N,Used_before_Trf!A151,BalCom!C:C,Used_before_Trf!$AC$1)</f>
        <v>0</v>
      </c>
      <c r="AD151" s="171">
        <f t="shared" si="78"/>
        <v>0</v>
      </c>
      <c r="AE151" s="159">
        <f>SUMIFS(BalCom!P:P,BalCom!N:N,Used_before_Trf!A151,BalCom!C:C,Used_before_Trf!$AC$1)</f>
        <v>0</v>
      </c>
      <c r="AF151" s="160">
        <f>SUMIFS(BalDis!I:I,BalDis!J:J,Used_before_Trf!A151)</f>
        <v>0</v>
      </c>
      <c r="AG151" s="171">
        <f t="shared" si="79"/>
        <v>0</v>
      </c>
      <c r="AH151" s="162">
        <f>SUMIFS(BalDis!L:L,BalDis!J:J,Used_before_Trf!A151)</f>
        <v>0</v>
      </c>
      <c r="AI151" s="159">
        <f>SUMIFS(BalDip!$N$49:$N$75,BalDip!$C$49:$C$75,Used_before_Trf!A151)+SUMIFS(BalDip!$N$134:$N$157,BalDip!$C$134:$C$157,Used_before_Trf!A151)</f>
        <v>0</v>
      </c>
      <c r="AJ151" s="171">
        <f t="shared" si="80"/>
        <v>0</v>
      </c>
      <c r="AK151" s="177">
        <f>SUMIFS(BalDip!$N$80:$N$106,BalDip!$C$80:$C$106,Used_before_Trf!A151)+SUMIFS(BalDip!$N$161:$N$184,BalDip!$C$161:$C$184,Used_before_Trf!A151)</f>
        <v>0</v>
      </c>
      <c r="AL151" s="178">
        <f t="shared" si="81"/>
        <v>0</v>
      </c>
      <c r="AM151" s="179">
        <f t="shared" si="82"/>
        <v>0</v>
      </c>
      <c r="AN151" s="440">
        <f t="shared" si="83"/>
        <v>0</v>
      </c>
      <c r="AO151" s="180">
        <f t="shared" si="84"/>
        <v>0</v>
      </c>
    </row>
    <row r="152" spans="1:41" s="108" customFormat="1" ht="15" customHeight="1">
      <c r="A152" s="135" t="s">
        <v>462</v>
      </c>
      <c r="B152" s="573" t="s">
        <v>463</v>
      </c>
      <c r="C152" s="136">
        <f>SUMIF('Che-Store'!A:A,Used_before_Trf!A152,'Che-Store'!AC:AC)+SUMIF('Che-Comp'!A:A,Used_before_Trf!A152,'Che-Comp'!AC:AC)</f>
        <v>0</v>
      </c>
      <c r="D152" s="137">
        <f t="shared" si="64"/>
        <v>0</v>
      </c>
      <c r="E152" s="138">
        <f>SUMIF('Che-Store'!A:A,Used_before_Trf!A152,'Che-Store'!AE:AE)+SUMIF('Che-Comp'!A:A,Used_before_Trf!A152,'Che-Comp'!AE:AE)</f>
        <v>0</v>
      </c>
      <c r="F152" s="136">
        <f>SUMIFS('Che-Comp'!F:F,'Che-Comp'!$A:$A,Used_before_Trf!$A152)</f>
        <v>0</v>
      </c>
      <c r="G152" s="138">
        <f>SUMIFS('Che-Comp'!G:G,'Che-Comp'!$A:$A,Used_before_Trf!$A152)</f>
        <v>0</v>
      </c>
      <c r="H152" s="137">
        <f t="shared" si="65"/>
        <v>0</v>
      </c>
      <c r="I152" s="137">
        <f t="shared" si="66"/>
        <v>0</v>
      </c>
      <c r="J152" s="137">
        <f t="shared" si="67"/>
        <v>0</v>
      </c>
      <c r="K152" s="158">
        <f>SUMIF('Che.-Prod'!A:A,Used_before_Trf!A152,'Che.-Prod'!D:D)</f>
        <v>0</v>
      </c>
      <c r="L152" s="137">
        <f t="shared" si="68"/>
        <v>0</v>
      </c>
      <c r="M152" s="159">
        <f>SUMIF('Che.-Prod'!A:A,Used_before_Trf!A152,'Che.-Prod'!F:F)</f>
        <v>0</v>
      </c>
      <c r="N152" s="160">
        <f>SUMIF('Che.-Prod'!A:A,Used_before_Trf!A152,'Che.-Prod'!G:G)</f>
        <v>0</v>
      </c>
      <c r="O152" s="161">
        <f t="shared" si="69"/>
        <v>0</v>
      </c>
      <c r="P152" s="162">
        <f>SUMIF('Che.-Prod'!A:A,Used_before_Trf!A152,'Che.-Prod'!H:H)</f>
        <v>0</v>
      </c>
      <c r="Q152" s="160">
        <f>SUMIF('Che.-Prod'!A:A,Used_before_Trf!A152,'Che.-Prod'!P:P)</f>
        <v>0</v>
      </c>
      <c r="R152" s="161">
        <f t="shared" si="70"/>
        <v>0</v>
      </c>
      <c r="S152" s="159">
        <f>SUMIF('Che.-Prod'!A:A,Used_before_Trf!A152,'Che.-Prod'!R:R)</f>
        <v>0</v>
      </c>
      <c r="T152" s="169">
        <f t="shared" si="71"/>
        <v>0</v>
      </c>
      <c r="U152" s="507">
        <f t="shared" si="72"/>
        <v>0</v>
      </c>
      <c r="V152" s="170">
        <f t="shared" si="73"/>
        <v>0</v>
      </c>
      <c r="W152" s="158">
        <f>SUMIF('CHE-last month'!$A:$A,Used_before_Trf!A152,'CHE-last month'!C:C)</f>
        <v>0</v>
      </c>
      <c r="X152" s="520">
        <f t="shared" si="74"/>
        <v>0</v>
      </c>
      <c r="Y152" s="162">
        <f>SUMIF('CHE-last month'!$A:$A,Used_before_Trf!A152,'CHE-last month'!E:E)</f>
        <v>0</v>
      </c>
      <c r="Z152" s="159">
        <f t="shared" si="75"/>
        <v>0</v>
      </c>
      <c r="AA152" s="520">
        <f t="shared" si="76"/>
        <v>0</v>
      </c>
      <c r="AB152" s="159">
        <f t="shared" si="77"/>
        <v>0</v>
      </c>
      <c r="AC152" s="160">
        <f>SUMIFS(BalCom!M:M,BalCom!N:N,Used_before_Trf!A152,BalCom!C:C,Used_before_Trf!$AC$1)</f>
        <v>0</v>
      </c>
      <c r="AD152" s="171">
        <f t="shared" si="78"/>
        <v>0</v>
      </c>
      <c r="AE152" s="159">
        <f>SUMIFS(BalCom!P:P,BalCom!N:N,Used_before_Trf!A152,BalCom!C:C,Used_before_Trf!$AC$1)</f>
        <v>0</v>
      </c>
      <c r="AF152" s="160">
        <f>SUMIFS(BalDis!I:I,BalDis!J:J,Used_before_Trf!A152)</f>
        <v>0</v>
      </c>
      <c r="AG152" s="171">
        <f t="shared" si="79"/>
        <v>0</v>
      </c>
      <c r="AH152" s="162">
        <f>SUMIFS(BalDis!L:L,BalDis!J:J,Used_before_Trf!A152)</f>
        <v>0</v>
      </c>
      <c r="AI152" s="159">
        <f>SUMIFS(BalDip!$N$49:$N$75,BalDip!$C$49:$C$75,Used_before_Trf!A152)+SUMIFS(BalDip!$N$134:$N$157,BalDip!$C$134:$C$157,Used_before_Trf!A152)</f>
        <v>0</v>
      </c>
      <c r="AJ152" s="171">
        <f t="shared" si="80"/>
        <v>0</v>
      </c>
      <c r="AK152" s="177">
        <f>SUMIFS(BalDip!$N$80:$N$106,BalDip!$C$80:$C$106,Used_before_Trf!A152)+SUMIFS(BalDip!$N$161:$N$184,BalDip!$C$161:$C$184,Used_before_Trf!A152)</f>
        <v>0</v>
      </c>
      <c r="AL152" s="178">
        <f t="shared" si="81"/>
        <v>0</v>
      </c>
      <c r="AM152" s="179">
        <f t="shared" si="82"/>
        <v>0</v>
      </c>
      <c r="AN152" s="440">
        <f t="shared" si="83"/>
        <v>0</v>
      </c>
      <c r="AO152" s="180">
        <f t="shared" si="84"/>
        <v>0</v>
      </c>
    </row>
    <row r="153" spans="1:41" s="108" customFormat="1" ht="15" customHeight="1">
      <c r="A153" s="135" t="s">
        <v>464</v>
      </c>
      <c r="B153" s="573" t="s">
        <v>465</v>
      </c>
      <c r="C153" s="136">
        <f>SUMIF('Che-Store'!A:A,Used_before_Trf!A153,'Che-Store'!AC:AC)+SUMIF('Che-Comp'!A:A,Used_before_Trf!A153,'Che-Comp'!AC:AC)</f>
        <v>0</v>
      </c>
      <c r="D153" s="137">
        <f t="shared" si="64"/>
        <v>0</v>
      </c>
      <c r="E153" s="138">
        <f>SUMIF('Che-Store'!A:A,Used_before_Trf!A153,'Che-Store'!AE:AE)+SUMIF('Che-Comp'!A:A,Used_before_Trf!A153,'Che-Comp'!AE:AE)</f>
        <v>0</v>
      </c>
      <c r="F153" s="136">
        <f>SUMIFS('Che-Comp'!F:F,'Che-Comp'!$A:$A,Used_before_Trf!$A153)</f>
        <v>0</v>
      </c>
      <c r="G153" s="138">
        <f>SUMIFS('Che-Comp'!G:G,'Che-Comp'!$A:$A,Used_before_Trf!$A153)</f>
        <v>0</v>
      </c>
      <c r="H153" s="137">
        <f t="shared" si="65"/>
        <v>0</v>
      </c>
      <c r="I153" s="137">
        <f t="shared" si="66"/>
        <v>0</v>
      </c>
      <c r="J153" s="137">
        <f t="shared" si="67"/>
        <v>0</v>
      </c>
      <c r="K153" s="158">
        <f>SUMIF('Che.-Prod'!A:A,Used_before_Trf!A153,'Che.-Prod'!D:D)</f>
        <v>0</v>
      </c>
      <c r="L153" s="137">
        <f t="shared" si="68"/>
        <v>0</v>
      </c>
      <c r="M153" s="159">
        <f>SUMIF('Che.-Prod'!A:A,Used_before_Trf!A153,'Che.-Prod'!F:F)</f>
        <v>0</v>
      </c>
      <c r="N153" s="160">
        <f>SUMIF('Che.-Prod'!A:A,Used_before_Trf!A153,'Che.-Prod'!G:G)</f>
        <v>0</v>
      </c>
      <c r="O153" s="161">
        <f t="shared" si="69"/>
        <v>0</v>
      </c>
      <c r="P153" s="162">
        <f>SUMIF('Che.-Prod'!A:A,Used_before_Trf!A153,'Che.-Prod'!H:H)</f>
        <v>0</v>
      </c>
      <c r="Q153" s="160">
        <f>SUMIF('Che.-Prod'!A:A,Used_before_Trf!A153,'Che.-Prod'!P:P)</f>
        <v>0</v>
      </c>
      <c r="R153" s="161">
        <f t="shared" si="70"/>
        <v>0</v>
      </c>
      <c r="S153" s="159">
        <f>SUMIF('Che.-Prod'!A:A,Used_before_Trf!A153,'Che.-Prod'!R:R)</f>
        <v>0</v>
      </c>
      <c r="T153" s="169">
        <f t="shared" si="71"/>
        <v>0</v>
      </c>
      <c r="U153" s="507">
        <f t="shared" si="72"/>
        <v>0</v>
      </c>
      <c r="V153" s="170">
        <f t="shared" si="73"/>
        <v>0</v>
      </c>
      <c r="W153" s="158">
        <f>SUMIF('CHE-last month'!$A:$A,Used_before_Trf!A153,'CHE-last month'!C:C)</f>
        <v>0</v>
      </c>
      <c r="X153" s="520">
        <f t="shared" si="74"/>
        <v>0</v>
      </c>
      <c r="Y153" s="162">
        <f>SUMIF('CHE-last month'!$A:$A,Used_before_Trf!A153,'CHE-last month'!E:E)</f>
        <v>0</v>
      </c>
      <c r="Z153" s="159">
        <f t="shared" si="75"/>
        <v>0</v>
      </c>
      <c r="AA153" s="520">
        <f t="shared" si="76"/>
        <v>0</v>
      </c>
      <c r="AB153" s="159">
        <f t="shared" si="77"/>
        <v>0</v>
      </c>
      <c r="AC153" s="160">
        <f>SUMIFS(BalCom!M:M,BalCom!N:N,Used_before_Trf!A153,BalCom!C:C,Used_before_Trf!$AC$1)</f>
        <v>0</v>
      </c>
      <c r="AD153" s="171">
        <f t="shared" si="78"/>
        <v>0</v>
      </c>
      <c r="AE153" s="159">
        <f>SUMIFS(BalCom!P:P,BalCom!N:N,Used_before_Trf!A153,BalCom!C:C,Used_before_Trf!$AC$1)</f>
        <v>0</v>
      </c>
      <c r="AF153" s="160">
        <f>SUMIFS(BalDis!I:I,BalDis!J:J,Used_before_Trf!A153)</f>
        <v>0</v>
      </c>
      <c r="AG153" s="171">
        <f t="shared" si="79"/>
        <v>0</v>
      </c>
      <c r="AH153" s="162">
        <f>SUMIFS(BalDis!L:L,BalDis!J:J,Used_before_Trf!A153)</f>
        <v>0</v>
      </c>
      <c r="AI153" s="159">
        <f>SUMIFS(BalDip!$N$49:$N$75,BalDip!$C$49:$C$75,Used_before_Trf!A153)+SUMIFS(BalDip!$N$134:$N$157,BalDip!$C$134:$C$157,Used_before_Trf!A153)</f>
        <v>0</v>
      </c>
      <c r="AJ153" s="171">
        <f t="shared" si="80"/>
        <v>0</v>
      </c>
      <c r="AK153" s="177">
        <f>SUMIFS(BalDip!$N$80:$N$106,BalDip!$C$80:$C$106,Used_before_Trf!A153)+SUMIFS(BalDip!$N$161:$N$184,BalDip!$C$161:$C$184,Used_before_Trf!A153)</f>
        <v>0</v>
      </c>
      <c r="AL153" s="178">
        <f t="shared" si="81"/>
        <v>0</v>
      </c>
      <c r="AM153" s="179">
        <f t="shared" si="82"/>
        <v>0</v>
      </c>
      <c r="AN153" s="440">
        <f t="shared" si="83"/>
        <v>0</v>
      </c>
      <c r="AO153" s="180">
        <f t="shared" si="84"/>
        <v>0</v>
      </c>
    </row>
    <row r="154" spans="1:41" s="108" customFormat="1" ht="15" customHeight="1">
      <c r="A154" s="135" t="s">
        <v>466</v>
      </c>
      <c r="B154" s="573" t="s">
        <v>467</v>
      </c>
      <c r="C154" s="136">
        <f>SUMIF('Che-Store'!A:A,Used_before_Trf!A154,'Che-Store'!AC:AC)+SUMIF('Che-Comp'!A:A,Used_before_Trf!A154,'Che-Comp'!AC:AC)</f>
        <v>0</v>
      </c>
      <c r="D154" s="137">
        <f t="shared" si="64"/>
        <v>0</v>
      </c>
      <c r="E154" s="138">
        <f>SUMIF('Che-Store'!A:A,Used_before_Trf!A154,'Che-Store'!AE:AE)+SUMIF('Che-Comp'!A:A,Used_before_Trf!A154,'Che-Comp'!AE:AE)</f>
        <v>0</v>
      </c>
      <c r="F154" s="136">
        <f>SUMIFS('Che-Comp'!F:F,'Che-Comp'!$A:$A,Used_before_Trf!$A154)</f>
        <v>0</v>
      </c>
      <c r="G154" s="138">
        <f>SUMIFS('Che-Comp'!G:G,'Che-Comp'!$A:$A,Used_before_Trf!$A154)</f>
        <v>0</v>
      </c>
      <c r="H154" s="137">
        <f t="shared" si="65"/>
        <v>0</v>
      </c>
      <c r="I154" s="137">
        <f t="shared" si="66"/>
        <v>0</v>
      </c>
      <c r="J154" s="137">
        <f t="shared" si="67"/>
        <v>0</v>
      </c>
      <c r="K154" s="158">
        <f>SUMIF('Che.-Prod'!A:A,Used_before_Trf!A154,'Che.-Prod'!D:D)</f>
        <v>0</v>
      </c>
      <c r="L154" s="137">
        <f t="shared" si="68"/>
        <v>0</v>
      </c>
      <c r="M154" s="159">
        <f>SUMIF('Che.-Prod'!A:A,Used_before_Trf!A154,'Che.-Prod'!F:F)</f>
        <v>0</v>
      </c>
      <c r="N154" s="160">
        <f>SUMIF('Che.-Prod'!A:A,Used_before_Trf!A154,'Che.-Prod'!G:G)</f>
        <v>0</v>
      </c>
      <c r="O154" s="161">
        <f t="shared" si="69"/>
        <v>0</v>
      </c>
      <c r="P154" s="162">
        <f>SUMIF('Che.-Prod'!A:A,Used_before_Trf!A154,'Che.-Prod'!H:H)</f>
        <v>0</v>
      </c>
      <c r="Q154" s="160">
        <f>SUMIF('Che.-Prod'!A:A,Used_before_Trf!A154,'Che.-Prod'!P:P)</f>
        <v>0</v>
      </c>
      <c r="R154" s="161">
        <f t="shared" si="70"/>
        <v>0</v>
      </c>
      <c r="S154" s="159">
        <f>SUMIF('Che.-Prod'!A:A,Used_before_Trf!A154,'Che.-Prod'!R:R)</f>
        <v>0</v>
      </c>
      <c r="T154" s="169">
        <f t="shared" si="71"/>
        <v>0</v>
      </c>
      <c r="U154" s="507">
        <f t="shared" si="72"/>
        <v>0</v>
      </c>
      <c r="V154" s="170">
        <f t="shared" si="73"/>
        <v>0</v>
      </c>
      <c r="W154" s="158">
        <f>SUMIF('CHE-last month'!$A:$A,Used_before_Trf!A154,'CHE-last month'!C:C)</f>
        <v>0</v>
      </c>
      <c r="X154" s="520">
        <f t="shared" si="74"/>
        <v>0</v>
      </c>
      <c r="Y154" s="162">
        <f>SUMIF('CHE-last month'!$A:$A,Used_before_Trf!A154,'CHE-last month'!E:E)</f>
        <v>0</v>
      </c>
      <c r="Z154" s="159">
        <f t="shared" si="75"/>
        <v>0</v>
      </c>
      <c r="AA154" s="520">
        <f t="shared" si="76"/>
        <v>0</v>
      </c>
      <c r="AB154" s="159">
        <f t="shared" si="77"/>
        <v>0</v>
      </c>
      <c r="AC154" s="160">
        <f>SUMIFS(BalCom!M:M,BalCom!N:N,Used_before_Trf!A154,BalCom!C:C,Used_before_Trf!$AC$1)</f>
        <v>0</v>
      </c>
      <c r="AD154" s="171">
        <f t="shared" si="78"/>
        <v>0</v>
      </c>
      <c r="AE154" s="159">
        <f>SUMIFS(BalCom!P:P,BalCom!N:N,Used_before_Trf!A154,BalCom!C:C,Used_before_Trf!$AC$1)</f>
        <v>0</v>
      </c>
      <c r="AF154" s="160">
        <f>SUMIFS(BalDis!I:I,BalDis!J:J,Used_before_Trf!A154)</f>
        <v>0</v>
      </c>
      <c r="AG154" s="171">
        <f t="shared" si="79"/>
        <v>0</v>
      </c>
      <c r="AH154" s="162">
        <f>SUMIFS(BalDis!L:L,BalDis!J:J,Used_before_Trf!A154)</f>
        <v>0</v>
      </c>
      <c r="AI154" s="159">
        <f>SUMIFS(BalDip!$N$49:$N$75,BalDip!$C$49:$C$75,Used_before_Trf!A154)+SUMIFS(BalDip!$N$134:$N$157,BalDip!$C$134:$C$157,Used_before_Trf!A154)</f>
        <v>0</v>
      </c>
      <c r="AJ154" s="171">
        <f t="shared" si="80"/>
        <v>0</v>
      </c>
      <c r="AK154" s="177">
        <f>SUMIFS(BalDip!$N$80:$N$106,BalDip!$C$80:$C$106,Used_before_Trf!A154)+SUMIFS(BalDip!$N$161:$N$184,BalDip!$C$161:$C$184,Used_before_Trf!A154)</f>
        <v>0</v>
      </c>
      <c r="AL154" s="178">
        <f t="shared" si="81"/>
        <v>0</v>
      </c>
      <c r="AM154" s="179">
        <f t="shared" si="82"/>
        <v>0</v>
      </c>
      <c r="AN154" s="440">
        <f t="shared" si="83"/>
        <v>0</v>
      </c>
      <c r="AO154" s="180">
        <f t="shared" si="84"/>
        <v>0</v>
      </c>
    </row>
    <row r="155" spans="1:41" s="108" customFormat="1" ht="15" customHeight="1">
      <c r="A155" s="135" t="s">
        <v>468</v>
      </c>
      <c r="B155" s="573" t="s">
        <v>469</v>
      </c>
      <c r="C155" s="136">
        <f>SUMIF('Che-Store'!A:A,Used_before_Trf!A155,'Che-Store'!AC:AC)+SUMIF('Che-Comp'!A:A,Used_before_Trf!A155,'Che-Comp'!AC:AC)</f>
        <v>0</v>
      </c>
      <c r="D155" s="137">
        <f t="shared" si="64"/>
        <v>0</v>
      </c>
      <c r="E155" s="138">
        <f>SUMIF('Che-Store'!A:A,Used_before_Trf!A155,'Che-Store'!AE:AE)+SUMIF('Che-Comp'!A:A,Used_before_Trf!A155,'Che-Comp'!AE:AE)</f>
        <v>0</v>
      </c>
      <c r="F155" s="136">
        <f>SUMIFS('Che-Comp'!F:F,'Che-Comp'!$A:$A,Used_before_Trf!$A155)</f>
        <v>0</v>
      </c>
      <c r="G155" s="138">
        <f>SUMIFS('Che-Comp'!G:G,'Che-Comp'!$A:$A,Used_before_Trf!$A155)</f>
        <v>0</v>
      </c>
      <c r="H155" s="137">
        <f t="shared" si="65"/>
        <v>0</v>
      </c>
      <c r="I155" s="137">
        <f t="shared" si="66"/>
        <v>0</v>
      </c>
      <c r="J155" s="137">
        <f t="shared" si="67"/>
        <v>0</v>
      </c>
      <c r="K155" s="158">
        <f>SUMIF('Che.-Prod'!A:A,Used_before_Trf!A155,'Che.-Prod'!D:D)</f>
        <v>0</v>
      </c>
      <c r="L155" s="137">
        <f t="shared" si="68"/>
        <v>0</v>
      </c>
      <c r="M155" s="159">
        <f>SUMIF('Che.-Prod'!A:A,Used_before_Trf!A155,'Che.-Prod'!F:F)</f>
        <v>0</v>
      </c>
      <c r="N155" s="160">
        <f>SUMIF('Che.-Prod'!A:A,Used_before_Trf!A155,'Che.-Prod'!G:G)</f>
        <v>0</v>
      </c>
      <c r="O155" s="161">
        <f t="shared" si="69"/>
        <v>0</v>
      </c>
      <c r="P155" s="162">
        <f>SUMIF('Che.-Prod'!A:A,Used_before_Trf!A155,'Che.-Prod'!H:H)</f>
        <v>0</v>
      </c>
      <c r="Q155" s="160">
        <f>SUMIF('Che.-Prod'!A:A,Used_before_Trf!A155,'Che.-Prod'!P:P)</f>
        <v>0</v>
      </c>
      <c r="R155" s="161">
        <f t="shared" si="70"/>
        <v>0</v>
      </c>
      <c r="S155" s="159">
        <f>SUMIF('Che.-Prod'!A:A,Used_before_Trf!A155,'Che.-Prod'!R:R)</f>
        <v>0</v>
      </c>
      <c r="T155" s="169">
        <f t="shared" si="71"/>
        <v>0</v>
      </c>
      <c r="U155" s="507">
        <f t="shared" si="72"/>
        <v>0</v>
      </c>
      <c r="V155" s="170">
        <f t="shared" si="73"/>
        <v>0</v>
      </c>
      <c r="W155" s="158">
        <f>SUMIF('CHE-last month'!$A:$A,Used_before_Trf!A155,'CHE-last month'!C:C)</f>
        <v>0</v>
      </c>
      <c r="X155" s="520">
        <f t="shared" si="74"/>
        <v>0</v>
      </c>
      <c r="Y155" s="162">
        <f>SUMIF('CHE-last month'!$A:$A,Used_before_Trf!A155,'CHE-last month'!E:E)</f>
        <v>0</v>
      </c>
      <c r="Z155" s="159">
        <f t="shared" si="75"/>
        <v>0</v>
      </c>
      <c r="AA155" s="520">
        <f t="shared" si="76"/>
        <v>0</v>
      </c>
      <c r="AB155" s="159">
        <f t="shared" si="77"/>
        <v>0</v>
      </c>
      <c r="AC155" s="160">
        <f>SUMIFS(BalCom!M:M,BalCom!N:N,Used_before_Trf!A155,BalCom!C:C,Used_before_Trf!$AC$1)</f>
        <v>0</v>
      </c>
      <c r="AD155" s="171">
        <f t="shared" si="78"/>
        <v>0</v>
      </c>
      <c r="AE155" s="159">
        <f>SUMIFS(BalCom!P:P,BalCom!N:N,Used_before_Trf!A155,BalCom!C:C,Used_before_Trf!$AC$1)</f>
        <v>0</v>
      </c>
      <c r="AF155" s="160">
        <f>SUMIFS(BalDis!I:I,BalDis!J:J,Used_before_Trf!A155)</f>
        <v>0</v>
      </c>
      <c r="AG155" s="171">
        <f t="shared" si="79"/>
        <v>0</v>
      </c>
      <c r="AH155" s="162">
        <f>SUMIFS(BalDis!L:L,BalDis!J:J,Used_before_Trf!A155)</f>
        <v>0</v>
      </c>
      <c r="AI155" s="159">
        <f>SUMIFS(BalDip!$N$49:$N$75,BalDip!$C$49:$C$75,Used_before_Trf!A155)+SUMIFS(BalDip!$N$134:$N$157,BalDip!$C$134:$C$157,Used_before_Trf!A155)</f>
        <v>0</v>
      </c>
      <c r="AJ155" s="171">
        <f t="shared" si="80"/>
        <v>0</v>
      </c>
      <c r="AK155" s="177">
        <f>SUMIFS(BalDip!$N$80:$N$106,BalDip!$C$80:$C$106,Used_before_Trf!A155)+SUMIFS(BalDip!$N$161:$N$184,BalDip!$C$161:$C$184,Used_before_Trf!A155)</f>
        <v>0</v>
      </c>
      <c r="AL155" s="178">
        <f t="shared" si="81"/>
        <v>0</v>
      </c>
      <c r="AM155" s="179">
        <f t="shared" si="82"/>
        <v>0</v>
      </c>
      <c r="AN155" s="440">
        <f t="shared" si="83"/>
        <v>0</v>
      </c>
      <c r="AO155" s="180">
        <f t="shared" si="84"/>
        <v>0</v>
      </c>
    </row>
    <row r="156" spans="1:41" s="108" customFormat="1" ht="15" customHeight="1">
      <c r="A156" s="135" t="s">
        <v>470</v>
      </c>
      <c r="B156" s="573" t="s">
        <v>471</v>
      </c>
      <c r="C156" s="136">
        <f>SUMIF('Che-Store'!A:A,Used_before_Trf!A156,'Che-Store'!AC:AC)+SUMIF('Che-Comp'!A:A,Used_before_Trf!A156,'Che-Comp'!AC:AC)</f>
        <v>0</v>
      </c>
      <c r="D156" s="137">
        <f t="shared" si="64"/>
        <v>0</v>
      </c>
      <c r="E156" s="138">
        <f>SUMIF('Che-Store'!A:A,Used_before_Trf!A156,'Che-Store'!AE:AE)+SUMIF('Che-Comp'!A:A,Used_before_Trf!A156,'Che-Comp'!AE:AE)</f>
        <v>0</v>
      </c>
      <c r="F156" s="136">
        <f>SUMIFS('Che-Comp'!F:F,'Che-Comp'!$A:$A,Used_before_Trf!$A156)</f>
        <v>0</v>
      </c>
      <c r="G156" s="138">
        <f>SUMIFS('Che-Comp'!G:G,'Che-Comp'!$A:$A,Used_before_Trf!$A156)</f>
        <v>0</v>
      </c>
      <c r="H156" s="137">
        <f t="shared" si="65"/>
        <v>0</v>
      </c>
      <c r="I156" s="137">
        <f t="shared" si="66"/>
        <v>0</v>
      </c>
      <c r="J156" s="137">
        <f t="shared" si="67"/>
        <v>0</v>
      </c>
      <c r="K156" s="158">
        <f>SUMIF('Che.-Prod'!A:A,Used_before_Trf!A156,'Che.-Prod'!D:D)</f>
        <v>0</v>
      </c>
      <c r="L156" s="137">
        <f t="shared" si="68"/>
        <v>0</v>
      </c>
      <c r="M156" s="159">
        <f>SUMIF('Che.-Prod'!A:A,Used_before_Trf!A156,'Che.-Prod'!F:F)</f>
        <v>0</v>
      </c>
      <c r="N156" s="160">
        <f>SUMIF('Che.-Prod'!A:A,Used_before_Trf!A156,'Che.-Prod'!G:G)</f>
        <v>0</v>
      </c>
      <c r="O156" s="161">
        <f t="shared" si="69"/>
        <v>0</v>
      </c>
      <c r="P156" s="162">
        <f>SUMIF('Che.-Prod'!A:A,Used_before_Trf!A156,'Che.-Prod'!H:H)</f>
        <v>0</v>
      </c>
      <c r="Q156" s="160">
        <f>SUMIF('Che.-Prod'!A:A,Used_before_Trf!A156,'Che.-Prod'!P:P)</f>
        <v>0</v>
      </c>
      <c r="R156" s="161">
        <f t="shared" si="70"/>
        <v>0</v>
      </c>
      <c r="S156" s="159">
        <f>SUMIF('Che.-Prod'!A:A,Used_before_Trf!A156,'Che.-Prod'!R:R)</f>
        <v>0</v>
      </c>
      <c r="T156" s="169">
        <f t="shared" si="71"/>
        <v>0</v>
      </c>
      <c r="U156" s="507">
        <f t="shared" si="72"/>
        <v>0</v>
      </c>
      <c r="V156" s="170">
        <f t="shared" si="73"/>
        <v>0</v>
      </c>
      <c r="W156" s="158">
        <f>SUMIF('CHE-last month'!$A:$A,Used_before_Trf!A156,'CHE-last month'!C:C)</f>
        <v>0</v>
      </c>
      <c r="X156" s="520">
        <f t="shared" si="74"/>
        <v>0</v>
      </c>
      <c r="Y156" s="162">
        <f>SUMIF('CHE-last month'!$A:$A,Used_before_Trf!A156,'CHE-last month'!E:E)</f>
        <v>0</v>
      </c>
      <c r="Z156" s="159">
        <f t="shared" si="75"/>
        <v>0</v>
      </c>
      <c r="AA156" s="520">
        <f t="shared" si="76"/>
        <v>0</v>
      </c>
      <c r="AB156" s="159">
        <f t="shared" si="77"/>
        <v>0</v>
      </c>
      <c r="AC156" s="160">
        <f>SUMIFS(BalCom!M:M,BalCom!N:N,Used_before_Trf!A156,BalCom!C:C,Used_before_Trf!$AC$1)</f>
        <v>0</v>
      </c>
      <c r="AD156" s="171">
        <f t="shared" si="78"/>
        <v>0</v>
      </c>
      <c r="AE156" s="159">
        <f>SUMIFS(BalCom!P:P,BalCom!N:N,Used_before_Trf!A156,BalCom!C:C,Used_before_Trf!$AC$1)</f>
        <v>0</v>
      </c>
      <c r="AF156" s="160">
        <f>SUMIFS(BalDis!I:I,BalDis!J:J,Used_before_Trf!A156)</f>
        <v>0</v>
      </c>
      <c r="AG156" s="171">
        <f t="shared" si="79"/>
        <v>0</v>
      </c>
      <c r="AH156" s="162">
        <f>SUMIFS(BalDis!L:L,BalDis!J:J,Used_before_Trf!A156)</f>
        <v>0</v>
      </c>
      <c r="AI156" s="159">
        <f>SUMIFS(BalDip!$N$49:$N$75,BalDip!$C$49:$C$75,Used_before_Trf!A156)+SUMIFS(BalDip!$N$134:$N$157,BalDip!$C$134:$C$157,Used_before_Trf!A156)</f>
        <v>0</v>
      </c>
      <c r="AJ156" s="171">
        <f t="shared" si="80"/>
        <v>0</v>
      </c>
      <c r="AK156" s="177">
        <f>SUMIFS(BalDip!$N$80:$N$106,BalDip!$C$80:$C$106,Used_before_Trf!A156)+SUMIFS(BalDip!$N$161:$N$184,BalDip!$C$161:$C$184,Used_before_Trf!A156)</f>
        <v>0</v>
      </c>
      <c r="AL156" s="178">
        <f t="shared" si="81"/>
        <v>0</v>
      </c>
      <c r="AM156" s="179">
        <f t="shared" si="82"/>
        <v>0</v>
      </c>
      <c r="AN156" s="440">
        <f t="shared" si="83"/>
        <v>0</v>
      </c>
      <c r="AO156" s="180">
        <f t="shared" si="84"/>
        <v>0</v>
      </c>
    </row>
    <row r="157" spans="1:41" s="108" customFormat="1" ht="15" customHeight="1">
      <c r="A157" s="135" t="s">
        <v>472</v>
      </c>
      <c r="B157" s="573" t="s">
        <v>473</v>
      </c>
      <c r="C157" s="136">
        <f>SUMIF('Che-Store'!A:A,Used_before_Trf!A157,'Che-Store'!AC:AC)+SUMIF('Che-Comp'!A:A,Used_before_Trf!A157,'Che-Comp'!AC:AC)</f>
        <v>0</v>
      </c>
      <c r="D157" s="137">
        <f t="shared" si="64"/>
        <v>0</v>
      </c>
      <c r="E157" s="138">
        <f>SUMIF('Che-Store'!A:A,Used_before_Trf!A157,'Che-Store'!AE:AE)+SUMIF('Che-Comp'!A:A,Used_before_Trf!A157,'Che-Comp'!AE:AE)</f>
        <v>0</v>
      </c>
      <c r="F157" s="136">
        <f>SUMIFS('Che-Comp'!F:F,'Che-Comp'!$A:$A,Used_before_Trf!$A157)</f>
        <v>0</v>
      </c>
      <c r="G157" s="138">
        <f>SUMIFS('Che-Comp'!G:G,'Che-Comp'!$A:$A,Used_before_Trf!$A157)</f>
        <v>0</v>
      </c>
      <c r="H157" s="137">
        <f t="shared" si="65"/>
        <v>0</v>
      </c>
      <c r="I157" s="137">
        <f t="shared" si="66"/>
        <v>0</v>
      </c>
      <c r="J157" s="137">
        <f t="shared" si="67"/>
        <v>0</v>
      </c>
      <c r="K157" s="158">
        <f>SUMIF('Che.-Prod'!A:A,Used_before_Trf!A157,'Che.-Prod'!D:D)</f>
        <v>0</v>
      </c>
      <c r="L157" s="137">
        <f t="shared" si="68"/>
        <v>0</v>
      </c>
      <c r="M157" s="159">
        <f>SUMIF('Che.-Prod'!A:A,Used_before_Trf!A157,'Che.-Prod'!F:F)</f>
        <v>0</v>
      </c>
      <c r="N157" s="160">
        <f>SUMIF('Che.-Prod'!A:A,Used_before_Trf!A157,'Che.-Prod'!G:G)</f>
        <v>0</v>
      </c>
      <c r="O157" s="161">
        <f t="shared" si="69"/>
        <v>0</v>
      </c>
      <c r="P157" s="162">
        <f>SUMIF('Che.-Prod'!A:A,Used_before_Trf!A157,'Che.-Prod'!H:H)</f>
        <v>0</v>
      </c>
      <c r="Q157" s="160">
        <f>SUMIF('Che.-Prod'!A:A,Used_before_Trf!A157,'Che.-Prod'!P:P)</f>
        <v>0</v>
      </c>
      <c r="R157" s="161">
        <f t="shared" si="70"/>
        <v>0</v>
      </c>
      <c r="S157" s="159">
        <f>SUMIF('Che.-Prod'!A:A,Used_before_Trf!A157,'Che.-Prod'!R:R)</f>
        <v>0</v>
      </c>
      <c r="T157" s="169">
        <f t="shared" si="71"/>
        <v>0</v>
      </c>
      <c r="U157" s="507">
        <f t="shared" si="72"/>
        <v>0</v>
      </c>
      <c r="V157" s="170">
        <f t="shared" si="73"/>
        <v>0</v>
      </c>
      <c r="W157" s="158">
        <f>SUMIF('CHE-last month'!$A:$A,Used_before_Trf!A157,'CHE-last month'!C:C)</f>
        <v>0</v>
      </c>
      <c r="X157" s="520">
        <f t="shared" si="74"/>
        <v>0</v>
      </c>
      <c r="Y157" s="162">
        <f>SUMIF('CHE-last month'!$A:$A,Used_before_Trf!A157,'CHE-last month'!E:E)</f>
        <v>0</v>
      </c>
      <c r="Z157" s="159">
        <f t="shared" si="75"/>
        <v>0</v>
      </c>
      <c r="AA157" s="520">
        <f t="shared" si="76"/>
        <v>0</v>
      </c>
      <c r="AB157" s="159">
        <f t="shared" si="77"/>
        <v>0</v>
      </c>
      <c r="AC157" s="160">
        <f>SUMIFS(BalCom!M:M,BalCom!N:N,Used_before_Trf!A157,BalCom!C:C,Used_before_Trf!$AC$1)</f>
        <v>0</v>
      </c>
      <c r="AD157" s="171">
        <f t="shared" si="78"/>
        <v>0</v>
      </c>
      <c r="AE157" s="159">
        <f>SUMIFS(BalCom!P:P,BalCom!N:N,Used_before_Trf!A157,BalCom!C:C,Used_before_Trf!$AC$1)</f>
        <v>0</v>
      </c>
      <c r="AF157" s="160">
        <f>SUMIFS(BalDis!I:I,BalDis!J:J,Used_before_Trf!A157)</f>
        <v>0</v>
      </c>
      <c r="AG157" s="171">
        <f t="shared" si="79"/>
        <v>0</v>
      </c>
      <c r="AH157" s="162">
        <f>SUMIFS(BalDis!L:L,BalDis!J:J,Used_before_Trf!A157)</f>
        <v>0</v>
      </c>
      <c r="AI157" s="159">
        <f>SUMIFS(BalDip!$N$49:$N$75,BalDip!$C$49:$C$75,Used_before_Trf!A157)+SUMIFS(BalDip!$N$134:$N$157,BalDip!$C$134:$C$157,Used_before_Trf!A157)</f>
        <v>0</v>
      </c>
      <c r="AJ157" s="171">
        <f t="shared" si="80"/>
        <v>0</v>
      </c>
      <c r="AK157" s="177">
        <f>SUMIFS(BalDip!$N$80:$N$106,BalDip!$C$80:$C$106,Used_before_Trf!A157)+SUMIFS(BalDip!$N$161:$N$184,BalDip!$C$161:$C$184,Used_before_Trf!A157)</f>
        <v>0</v>
      </c>
      <c r="AL157" s="178">
        <f t="shared" si="81"/>
        <v>0</v>
      </c>
      <c r="AM157" s="179">
        <f t="shared" si="82"/>
        <v>0</v>
      </c>
      <c r="AN157" s="440">
        <f t="shared" si="83"/>
        <v>0</v>
      </c>
      <c r="AO157" s="180">
        <f t="shared" si="84"/>
        <v>0</v>
      </c>
    </row>
    <row r="158" spans="1:41" s="108" customFormat="1" ht="15" customHeight="1">
      <c r="A158" s="135" t="s">
        <v>474</v>
      </c>
      <c r="B158" s="141" t="s">
        <v>475</v>
      </c>
      <c r="C158" s="136">
        <f>SUMIF('Che-Store'!A:A,Used_before_Trf!A158,'Che-Store'!AC:AC)+SUMIF('Che-Comp'!A:A,Used_before_Trf!A158,'Che-Comp'!AC:AC)</f>
        <v>0</v>
      </c>
      <c r="D158" s="137">
        <f t="shared" si="64"/>
        <v>0</v>
      </c>
      <c r="E158" s="138">
        <f>SUMIF('Che-Store'!A:A,Used_before_Trf!A158,'Che-Store'!AE:AE)+SUMIF('Che-Comp'!A:A,Used_before_Trf!A158,'Che-Comp'!AE:AE)</f>
        <v>0</v>
      </c>
      <c r="F158" s="136">
        <f>SUMIFS('Che-Comp'!F:F,'Che-Comp'!$A:$A,Used_before_Trf!$A158)</f>
        <v>0</v>
      </c>
      <c r="G158" s="138">
        <f>SUMIFS('Che-Comp'!G:G,'Che-Comp'!$A:$A,Used_before_Trf!$A158)</f>
        <v>0</v>
      </c>
      <c r="H158" s="137">
        <f t="shared" si="65"/>
        <v>0</v>
      </c>
      <c r="I158" s="137">
        <f t="shared" si="66"/>
        <v>0</v>
      </c>
      <c r="J158" s="137">
        <f t="shared" si="67"/>
        <v>0</v>
      </c>
      <c r="K158" s="158">
        <f>SUMIF('Che.-Prod'!A:A,Used_before_Trf!A158,'Che.-Prod'!D:D)</f>
        <v>0</v>
      </c>
      <c r="L158" s="137">
        <f t="shared" si="68"/>
        <v>0</v>
      </c>
      <c r="M158" s="159">
        <f>SUMIF('Che.-Prod'!A:A,Used_before_Trf!A158,'Che.-Prod'!F:F)</f>
        <v>0</v>
      </c>
      <c r="N158" s="160">
        <f>SUMIF('Che.-Prod'!A:A,Used_before_Trf!A158,'Che.-Prod'!G:G)</f>
        <v>0</v>
      </c>
      <c r="O158" s="161">
        <f t="shared" si="69"/>
        <v>0</v>
      </c>
      <c r="P158" s="162">
        <f>SUMIF('Che.-Prod'!A:A,Used_before_Trf!A158,'Che.-Prod'!H:H)</f>
        <v>0</v>
      </c>
      <c r="Q158" s="160">
        <f>SUMIF('Che.-Prod'!A:A,Used_before_Trf!A158,'Che.-Prod'!P:P)</f>
        <v>0</v>
      </c>
      <c r="R158" s="161">
        <f t="shared" si="70"/>
        <v>0</v>
      </c>
      <c r="S158" s="159">
        <f>SUMIF('Che.-Prod'!A:A,Used_before_Trf!A158,'Che.-Prod'!R:R)</f>
        <v>0</v>
      </c>
      <c r="T158" s="169">
        <f t="shared" si="71"/>
        <v>0</v>
      </c>
      <c r="U158" s="507">
        <f t="shared" si="72"/>
        <v>0</v>
      </c>
      <c r="V158" s="170">
        <f t="shared" si="73"/>
        <v>0</v>
      </c>
      <c r="W158" s="158">
        <f>SUMIF('CHE-last month'!$A:$A,Used_before_Trf!A158,'CHE-last month'!C:C)</f>
        <v>0</v>
      </c>
      <c r="X158" s="520">
        <f t="shared" si="74"/>
        <v>0</v>
      </c>
      <c r="Y158" s="162">
        <f>SUMIF('CHE-last month'!$A:$A,Used_before_Trf!A158,'CHE-last month'!E:E)</f>
        <v>0</v>
      </c>
      <c r="Z158" s="159">
        <f t="shared" si="75"/>
        <v>0</v>
      </c>
      <c r="AA158" s="520">
        <f t="shared" si="76"/>
        <v>0</v>
      </c>
      <c r="AB158" s="159">
        <f t="shared" si="77"/>
        <v>0</v>
      </c>
      <c r="AC158" s="160">
        <f>SUMIFS(BalCom!M:M,BalCom!N:N,Used_before_Trf!A158,BalCom!C:C,Used_before_Trf!$AC$1)</f>
        <v>0</v>
      </c>
      <c r="AD158" s="171">
        <f t="shared" si="78"/>
        <v>0</v>
      </c>
      <c r="AE158" s="159">
        <f>SUMIFS(BalCom!P:P,BalCom!N:N,Used_before_Trf!A158,BalCom!C:C,Used_before_Trf!$AC$1)</f>
        <v>0</v>
      </c>
      <c r="AF158" s="160">
        <f>SUMIFS(BalDis!I:I,BalDis!J:J,Used_before_Trf!A158)</f>
        <v>0</v>
      </c>
      <c r="AG158" s="171">
        <f t="shared" si="79"/>
        <v>0</v>
      </c>
      <c r="AH158" s="162">
        <f>SUMIFS(BalDis!L:L,BalDis!J:J,Used_before_Trf!A158)</f>
        <v>0</v>
      </c>
      <c r="AI158" s="159">
        <f>SUMIFS(BalDip!$N$49:$N$75,BalDip!$C$49:$C$75,Used_before_Trf!A158)+SUMIFS(BalDip!$N$134:$N$157,BalDip!$C$134:$C$157,Used_before_Trf!A158)</f>
        <v>0</v>
      </c>
      <c r="AJ158" s="171">
        <f t="shared" si="80"/>
        <v>0</v>
      </c>
      <c r="AK158" s="177">
        <f>SUMIFS(BalDip!$N$80:$N$106,BalDip!$C$80:$C$106,Used_before_Trf!A158)+SUMIFS(BalDip!$N$161:$N$184,BalDip!$C$161:$C$184,Used_before_Trf!A158)</f>
        <v>0</v>
      </c>
      <c r="AL158" s="178">
        <f t="shared" si="81"/>
        <v>0</v>
      </c>
      <c r="AM158" s="179">
        <f t="shared" si="82"/>
        <v>0</v>
      </c>
      <c r="AN158" s="440">
        <f t="shared" si="83"/>
        <v>0</v>
      </c>
      <c r="AO158" s="180">
        <f t="shared" si="84"/>
        <v>0</v>
      </c>
    </row>
    <row r="159" spans="1:41" s="108" customFormat="1" ht="15" customHeight="1">
      <c r="A159" s="135" t="s">
        <v>476</v>
      </c>
      <c r="B159" s="141" t="s">
        <v>477</v>
      </c>
      <c r="C159" s="136">
        <f>SUMIF('Che-Store'!A:A,Used_before_Trf!A159,'Che-Store'!AC:AC)+SUMIF('Che-Comp'!A:A,Used_before_Trf!A159,'Che-Comp'!AC:AC)</f>
        <v>0</v>
      </c>
      <c r="D159" s="137">
        <f t="shared" si="64"/>
        <v>0</v>
      </c>
      <c r="E159" s="138">
        <f>SUMIF('Che-Store'!A:A,Used_before_Trf!A159,'Che-Store'!AE:AE)+SUMIF('Che-Comp'!A:A,Used_before_Trf!A159,'Che-Comp'!AE:AE)</f>
        <v>0</v>
      </c>
      <c r="F159" s="136">
        <f>SUMIFS('Che-Comp'!F:F,'Che-Comp'!$A:$A,Used_before_Trf!$A159)</f>
        <v>0</v>
      </c>
      <c r="G159" s="138">
        <f>SUMIFS('Che-Comp'!G:G,'Che-Comp'!$A:$A,Used_before_Trf!$A159)</f>
        <v>0</v>
      </c>
      <c r="H159" s="137">
        <f t="shared" si="65"/>
        <v>0</v>
      </c>
      <c r="I159" s="137">
        <f t="shared" si="66"/>
        <v>0</v>
      </c>
      <c r="J159" s="137">
        <f t="shared" si="67"/>
        <v>0</v>
      </c>
      <c r="K159" s="158">
        <f>SUMIF('Che.-Prod'!A:A,Used_before_Trf!A159,'Che.-Prod'!D:D)</f>
        <v>0</v>
      </c>
      <c r="L159" s="137">
        <f t="shared" si="68"/>
        <v>0</v>
      </c>
      <c r="M159" s="159">
        <f>SUMIF('Che.-Prod'!A:A,Used_before_Trf!A159,'Che.-Prod'!F:F)</f>
        <v>0</v>
      </c>
      <c r="N159" s="160">
        <f>SUMIF('Che.-Prod'!A:A,Used_before_Trf!A159,'Che.-Prod'!G:G)</f>
        <v>0</v>
      </c>
      <c r="O159" s="161">
        <f t="shared" si="69"/>
        <v>0</v>
      </c>
      <c r="P159" s="162">
        <f>SUMIF('Che.-Prod'!A:A,Used_before_Trf!A159,'Che.-Prod'!H:H)</f>
        <v>0</v>
      </c>
      <c r="Q159" s="160">
        <f>SUMIF('Che.-Prod'!A:A,Used_before_Trf!A159,'Che.-Prod'!P:P)</f>
        <v>0</v>
      </c>
      <c r="R159" s="161">
        <f t="shared" si="70"/>
        <v>0</v>
      </c>
      <c r="S159" s="159">
        <f>SUMIF('Che.-Prod'!A:A,Used_before_Trf!A159,'Che.-Prod'!R:R)</f>
        <v>0</v>
      </c>
      <c r="T159" s="169">
        <f t="shared" si="71"/>
        <v>0</v>
      </c>
      <c r="U159" s="507">
        <f t="shared" si="72"/>
        <v>0</v>
      </c>
      <c r="V159" s="170">
        <f t="shared" si="73"/>
        <v>0</v>
      </c>
      <c r="W159" s="158">
        <f>SUMIF('CHE-last month'!$A:$A,Used_before_Trf!A159,'CHE-last month'!C:C)</f>
        <v>0</v>
      </c>
      <c r="X159" s="520">
        <f t="shared" si="74"/>
        <v>0</v>
      </c>
      <c r="Y159" s="162">
        <f>SUMIF('CHE-last month'!$A:$A,Used_before_Trf!A159,'CHE-last month'!E:E)</f>
        <v>0</v>
      </c>
      <c r="Z159" s="159">
        <f t="shared" si="75"/>
        <v>0</v>
      </c>
      <c r="AA159" s="520">
        <f t="shared" si="76"/>
        <v>0</v>
      </c>
      <c r="AB159" s="159">
        <f t="shared" si="77"/>
        <v>0</v>
      </c>
      <c r="AC159" s="160">
        <f>SUMIFS(BalCom!M:M,BalCom!N:N,Used_before_Trf!A159,BalCom!C:C,Used_before_Trf!$AC$1)</f>
        <v>0</v>
      </c>
      <c r="AD159" s="171">
        <f t="shared" si="78"/>
        <v>0</v>
      </c>
      <c r="AE159" s="159">
        <f>SUMIFS(BalCom!P:P,BalCom!N:N,Used_before_Trf!A159,BalCom!C:C,Used_before_Trf!$AC$1)</f>
        <v>0</v>
      </c>
      <c r="AF159" s="160">
        <f>SUMIFS(BalDis!I:I,BalDis!J:J,Used_before_Trf!A159)</f>
        <v>0</v>
      </c>
      <c r="AG159" s="171">
        <f t="shared" si="79"/>
        <v>0</v>
      </c>
      <c r="AH159" s="162">
        <f>SUMIFS(BalDis!L:L,BalDis!J:J,Used_before_Trf!A159)</f>
        <v>0</v>
      </c>
      <c r="AI159" s="159">
        <f>SUMIFS(BalDip!$N$49:$N$75,BalDip!$C$49:$C$75,Used_before_Trf!A159)+SUMIFS(BalDip!$N$134:$N$157,BalDip!$C$134:$C$157,Used_before_Trf!A159)</f>
        <v>0</v>
      </c>
      <c r="AJ159" s="171">
        <f t="shared" si="80"/>
        <v>0</v>
      </c>
      <c r="AK159" s="177">
        <f>SUMIFS(BalDip!$N$80:$N$106,BalDip!$C$80:$C$106,Used_before_Trf!A159)+SUMIFS(BalDip!$N$161:$N$184,BalDip!$C$161:$C$184,Used_before_Trf!A159)</f>
        <v>0</v>
      </c>
      <c r="AL159" s="178">
        <f t="shared" si="81"/>
        <v>0</v>
      </c>
      <c r="AM159" s="179">
        <f t="shared" si="82"/>
        <v>0</v>
      </c>
      <c r="AN159" s="440">
        <f t="shared" si="83"/>
        <v>0</v>
      </c>
      <c r="AO159" s="180">
        <f t="shared" si="84"/>
        <v>0</v>
      </c>
    </row>
    <row r="160" spans="1:41" s="108" customFormat="1" ht="15" customHeight="1">
      <c r="A160" s="135" t="s">
        <v>478</v>
      </c>
      <c r="B160" s="141" t="s">
        <v>479</v>
      </c>
      <c r="C160" s="136">
        <f>SUMIF('Che-Store'!A:A,Used_before_Trf!A160,'Che-Store'!AC:AC)+SUMIF('Che-Comp'!A:A,Used_before_Trf!A160,'Che-Comp'!AC:AC)</f>
        <v>0</v>
      </c>
      <c r="D160" s="137">
        <f t="shared" si="64"/>
        <v>0</v>
      </c>
      <c r="E160" s="138">
        <f>SUMIF('Che-Store'!A:A,Used_before_Trf!A160,'Che-Store'!AE:AE)+SUMIF('Che-Comp'!A:A,Used_before_Trf!A160,'Che-Comp'!AE:AE)</f>
        <v>0</v>
      </c>
      <c r="F160" s="136">
        <f>SUMIFS('Che-Comp'!F:F,'Che-Comp'!$A:$A,Used_before_Trf!$A160)</f>
        <v>0</v>
      </c>
      <c r="G160" s="138">
        <f>SUMIFS('Che-Comp'!G:G,'Che-Comp'!$A:$A,Used_before_Trf!$A160)</f>
        <v>0</v>
      </c>
      <c r="H160" s="137">
        <f t="shared" si="65"/>
        <v>0</v>
      </c>
      <c r="I160" s="137">
        <f t="shared" si="66"/>
        <v>0</v>
      </c>
      <c r="J160" s="137">
        <f t="shared" si="67"/>
        <v>0</v>
      </c>
      <c r="K160" s="158">
        <f>SUMIF('Che.-Prod'!A:A,Used_before_Trf!A160,'Che.-Prod'!D:D)</f>
        <v>0</v>
      </c>
      <c r="L160" s="137">
        <f t="shared" si="68"/>
        <v>0</v>
      </c>
      <c r="M160" s="159">
        <f>SUMIF('Che.-Prod'!A:A,Used_before_Trf!A160,'Che.-Prod'!F:F)</f>
        <v>0</v>
      </c>
      <c r="N160" s="160">
        <f>SUMIF('Che.-Prod'!A:A,Used_before_Trf!A160,'Che.-Prod'!G:G)</f>
        <v>0</v>
      </c>
      <c r="O160" s="161">
        <f t="shared" si="69"/>
        <v>0</v>
      </c>
      <c r="P160" s="162">
        <f>SUMIF('Che.-Prod'!A:A,Used_before_Trf!A160,'Che.-Prod'!H:H)</f>
        <v>0</v>
      </c>
      <c r="Q160" s="160">
        <f>SUMIF('Che.-Prod'!A:A,Used_before_Trf!A160,'Che.-Prod'!P:P)</f>
        <v>0</v>
      </c>
      <c r="R160" s="161">
        <f t="shared" si="70"/>
        <v>0</v>
      </c>
      <c r="S160" s="159">
        <f>SUMIF('Che.-Prod'!A:A,Used_before_Trf!A160,'Che.-Prod'!R:R)</f>
        <v>0</v>
      </c>
      <c r="T160" s="169">
        <f t="shared" si="71"/>
        <v>0</v>
      </c>
      <c r="U160" s="507">
        <f t="shared" si="72"/>
        <v>0</v>
      </c>
      <c r="V160" s="170">
        <f t="shared" si="73"/>
        <v>0</v>
      </c>
      <c r="W160" s="158">
        <f>SUMIF('CHE-last month'!$A:$A,Used_before_Trf!A160,'CHE-last month'!C:C)</f>
        <v>0</v>
      </c>
      <c r="X160" s="520">
        <f t="shared" si="74"/>
        <v>0</v>
      </c>
      <c r="Y160" s="162">
        <f>SUMIF('CHE-last month'!$A:$A,Used_before_Trf!A160,'CHE-last month'!E:E)</f>
        <v>0</v>
      </c>
      <c r="Z160" s="159">
        <f t="shared" si="75"/>
        <v>0</v>
      </c>
      <c r="AA160" s="520">
        <f t="shared" si="76"/>
        <v>0</v>
      </c>
      <c r="AB160" s="159">
        <f t="shared" si="77"/>
        <v>0</v>
      </c>
      <c r="AC160" s="160">
        <f>SUMIFS(BalCom!M:M,BalCom!N:N,Used_before_Trf!A160,BalCom!C:C,Used_before_Trf!$AC$1)</f>
        <v>0</v>
      </c>
      <c r="AD160" s="171">
        <f t="shared" si="78"/>
        <v>0</v>
      </c>
      <c r="AE160" s="159">
        <f>SUMIFS(BalCom!P:P,BalCom!N:N,Used_before_Trf!A160,BalCom!C:C,Used_before_Trf!$AC$1)</f>
        <v>0</v>
      </c>
      <c r="AF160" s="160">
        <f>SUMIFS(BalDis!I:I,BalDis!J:J,Used_before_Trf!A160)</f>
        <v>0</v>
      </c>
      <c r="AG160" s="171">
        <f t="shared" si="79"/>
        <v>0</v>
      </c>
      <c r="AH160" s="162">
        <f>SUMIFS(BalDis!L:L,BalDis!J:J,Used_before_Trf!A160)</f>
        <v>0</v>
      </c>
      <c r="AI160" s="159">
        <f>SUMIFS(BalDip!$N$49:$N$75,BalDip!$C$49:$C$75,Used_before_Trf!A160)+SUMIFS(BalDip!$N$134:$N$157,BalDip!$C$134:$C$157,Used_before_Trf!A160)</f>
        <v>0</v>
      </c>
      <c r="AJ160" s="171">
        <f t="shared" si="80"/>
        <v>0</v>
      </c>
      <c r="AK160" s="177">
        <f>SUMIFS(BalDip!$N$80:$N$106,BalDip!$C$80:$C$106,Used_before_Trf!A160)+SUMIFS(BalDip!$N$161:$N$184,BalDip!$C$161:$C$184,Used_before_Trf!A160)</f>
        <v>0</v>
      </c>
      <c r="AL160" s="178">
        <f t="shared" si="81"/>
        <v>0</v>
      </c>
      <c r="AM160" s="179">
        <f t="shared" si="82"/>
        <v>0</v>
      </c>
      <c r="AN160" s="440">
        <f t="shared" si="83"/>
        <v>0</v>
      </c>
      <c r="AO160" s="180">
        <f t="shared" si="84"/>
        <v>0</v>
      </c>
    </row>
    <row r="161" spans="1:42" s="108" customFormat="1" ht="15" customHeight="1">
      <c r="A161" s="135" t="s">
        <v>480</v>
      </c>
      <c r="B161" s="141" t="s">
        <v>481</v>
      </c>
      <c r="C161" s="136">
        <f>SUMIF('Che-Store'!A:A,Used_before_Trf!A161,'Che-Store'!AC:AC)+SUMIF('Che-Comp'!A:A,Used_before_Trf!A161,'Che-Comp'!AC:AC)</f>
        <v>0</v>
      </c>
      <c r="D161" s="137">
        <f t="shared" si="64"/>
        <v>0</v>
      </c>
      <c r="E161" s="138">
        <f>SUMIF('Che-Store'!A:A,Used_before_Trf!A161,'Che-Store'!AE:AE)+SUMIF('Che-Comp'!A:A,Used_before_Trf!A161,'Che-Comp'!AE:AE)</f>
        <v>0</v>
      </c>
      <c r="F161" s="136">
        <f>SUMIFS('Che-Comp'!F:F,'Che-Comp'!$A:$A,Used_before_Trf!$A161)</f>
        <v>0</v>
      </c>
      <c r="G161" s="138">
        <f>SUMIFS('Che-Comp'!G:G,'Che-Comp'!$A:$A,Used_before_Trf!$A161)</f>
        <v>0</v>
      </c>
      <c r="H161" s="137">
        <f t="shared" si="65"/>
        <v>0</v>
      </c>
      <c r="I161" s="137">
        <f t="shared" si="66"/>
        <v>0</v>
      </c>
      <c r="J161" s="137">
        <f t="shared" si="67"/>
        <v>0</v>
      </c>
      <c r="K161" s="158">
        <f>SUMIF('Che.-Prod'!A:A,Used_before_Trf!A161,'Che.-Prod'!D:D)</f>
        <v>0</v>
      </c>
      <c r="L161" s="137">
        <f t="shared" si="68"/>
        <v>0</v>
      </c>
      <c r="M161" s="159">
        <f>SUMIF('Che.-Prod'!A:A,Used_before_Trf!A161,'Che.-Prod'!F:F)</f>
        <v>0</v>
      </c>
      <c r="N161" s="160">
        <f>SUMIF('Che.-Prod'!A:A,Used_before_Trf!A161,'Che.-Prod'!G:G)</f>
        <v>0</v>
      </c>
      <c r="O161" s="161">
        <f t="shared" si="69"/>
        <v>0</v>
      </c>
      <c r="P161" s="162">
        <f>SUMIF('Che.-Prod'!A:A,Used_before_Trf!A161,'Che.-Prod'!H:H)</f>
        <v>0</v>
      </c>
      <c r="Q161" s="160">
        <f>SUMIF('Che.-Prod'!A:A,Used_before_Trf!A161,'Che.-Prod'!P:P)</f>
        <v>0</v>
      </c>
      <c r="R161" s="161">
        <f t="shared" si="70"/>
        <v>0</v>
      </c>
      <c r="S161" s="159">
        <f>SUMIF('Che.-Prod'!A:A,Used_before_Trf!A161,'Che.-Prod'!R:R)</f>
        <v>0</v>
      </c>
      <c r="T161" s="169">
        <f t="shared" si="71"/>
        <v>0</v>
      </c>
      <c r="U161" s="507">
        <f t="shared" si="72"/>
        <v>0</v>
      </c>
      <c r="V161" s="170">
        <f t="shared" si="73"/>
        <v>0</v>
      </c>
      <c r="W161" s="158">
        <f>SUMIF('CHE-last month'!$A:$A,Used_before_Trf!A161,'CHE-last month'!C:C)</f>
        <v>0</v>
      </c>
      <c r="X161" s="520">
        <f t="shared" si="74"/>
        <v>0</v>
      </c>
      <c r="Y161" s="162">
        <f>SUMIF('CHE-last month'!$A:$A,Used_before_Trf!A161,'CHE-last month'!E:E)</f>
        <v>0</v>
      </c>
      <c r="Z161" s="159">
        <f t="shared" si="75"/>
        <v>0</v>
      </c>
      <c r="AA161" s="520">
        <f t="shared" si="76"/>
        <v>0</v>
      </c>
      <c r="AB161" s="159">
        <f t="shared" si="77"/>
        <v>0</v>
      </c>
      <c r="AC161" s="160">
        <f>SUMIFS(BalCom!M:M,BalCom!N:N,Used_before_Trf!A161,BalCom!C:C,Used_before_Trf!$AC$1)</f>
        <v>0</v>
      </c>
      <c r="AD161" s="171">
        <f t="shared" si="78"/>
        <v>0</v>
      </c>
      <c r="AE161" s="159">
        <f>SUMIFS(BalCom!P:P,BalCom!N:N,Used_before_Trf!A161,BalCom!C:C,Used_before_Trf!$AC$1)</f>
        <v>0</v>
      </c>
      <c r="AF161" s="160">
        <f>SUMIFS(BalDis!I:I,BalDis!J:J,Used_before_Trf!A161)</f>
        <v>0</v>
      </c>
      <c r="AG161" s="171">
        <f t="shared" si="79"/>
        <v>0</v>
      </c>
      <c r="AH161" s="162">
        <f>SUMIFS(BalDis!L:L,BalDis!J:J,Used_before_Trf!A161)</f>
        <v>0</v>
      </c>
      <c r="AI161" s="159">
        <f>SUMIFS(BalDip!$N$49:$N$75,BalDip!$C$49:$C$75,Used_before_Trf!A161)+SUMIFS(BalDip!$N$134:$N$157,BalDip!$C$134:$C$157,Used_before_Trf!A161)</f>
        <v>0</v>
      </c>
      <c r="AJ161" s="171">
        <f t="shared" si="80"/>
        <v>0</v>
      </c>
      <c r="AK161" s="177">
        <f>SUMIFS(BalDip!$N$80:$N$106,BalDip!$C$80:$C$106,Used_before_Trf!A161)+SUMIFS(BalDip!$N$161:$N$184,BalDip!$C$161:$C$184,Used_before_Trf!A161)</f>
        <v>0</v>
      </c>
      <c r="AL161" s="178">
        <f t="shared" si="81"/>
        <v>0</v>
      </c>
      <c r="AM161" s="179">
        <f t="shared" si="82"/>
        <v>0</v>
      </c>
      <c r="AN161" s="440">
        <f t="shared" si="83"/>
        <v>0</v>
      </c>
      <c r="AO161" s="180">
        <f t="shared" si="84"/>
        <v>0</v>
      </c>
    </row>
    <row r="162" spans="1:42" s="108" customFormat="1" ht="15" customHeight="1">
      <c r="A162" s="135" t="s">
        <v>482</v>
      </c>
      <c r="B162" s="141" t="s">
        <v>483</v>
      </c>
      <c r="C162" s="136">
        <f>SUMIF('Che-Store'!A:A,Used_before_Trf!A162,'Che-Store'!AC:AC)+SUMIF('Che-Comp'!A:A,Used_before_Trf!A162,'Che-Comp'!AC:AC)</f>
        <v>0</v>
      </c>
      <c r="D162" s="137">
        <f t="shared" si="64"/>
        <v>0</v>
      </c>
      <c r="E162" s="138">
        <f>SUMIF('Che-Store'!A:A,Used_before_Trf!A162,'Che-Store'!AE:AE)+SUMIF('Che-Comp'!A:A,Used_before_Trf!A162,'Che-Comp'!AE:AE)</f>
        <v>0</v>
      </c>
      <c r="F162" s="136">
        <f>SUMIFS('Che-Comp'!F:F,'Che-Comp'!$A:$A,Used_before_Trf!$A162)</f>
        <v>0</v>
      </c>
      <c r="G162" s="138">
        <f>SUMIFS('Che-Comp'!G:G,'Che-Comp'!$A:$A,Used_before_Trf!$A162)</f>
        <v>0</v>
      </c>
      <c r="H162" s="137">
        <f t="shared" si="65"/>
        <v>0</v>
      </c>
      <c r="I162" s="137">
        <f t="shared" si="66"/>
        <v>0</v>
      </c>
      <c r="J162" s="137">
        <f t="shared" si="67"/>
        <v>0</v>
      </c>
      <c r="K162" s="158">
        <f>SUMIF('Che.-Prod'!A:A,Used_before_Trf!A162,'Che.-Prod'!D:D)</f>
        <v>0</v>
      </c>
      <c r="L162" s="137">
        <f t="shared" si="68"/>
        <v>0</v>
      </c>
      <c r="M162" s="159">
        <f>SUMIF('Che.-Prod'!A:A,Used_before_Trf!A162,'Che.-Prod'!F:F)</f>
        <v>0</v>
      </c>
      <c r="N162" s="160">
        <f>SUMIF('Che.-Prod'!A:A,Used_before_Trf!A162,'Che.-Prod'!G:G)</f>
        <v>0</v>
      </c>
      <c r="O162" s="161">
        <f t="shared" si="69"/>
        <v>0</v>
      </c>
      <c r="P162" s="162">
        <f>SUMIF('Che.-Prod'!A:A,Used_before_Trf!A162,'Che.-Prod'!H:H)</f>
        <v>0</v>
      </c>
      <c r="Q162" s="160">
        <f>SUMIF('Che.-Prod'!A:A,Used_before_Trf!A162,'Che.-Prod'!P:P)</f>
        <v>0</v>
      </c>
      <c r="R162" s="161">
        <f t="shared" si="70"/>
        <v>0</v>
      </c>
      <c r="S162" s="159">
        <f>SUMIF('Che.-Prod'!A:A,Used_before_Trf!A162,'Che.-Prod'!R:R)</f>
        <v>0</v>
      </c>
      <c r="T162" s="169">
        <f t="shared" si="71"/>
        <v>0</v>
      </c>
      <c r="U162" s="507">
        <f t="shared" si="72"/>
        <v>0</v>
      </c>
      <c r="V162" s="170">
        <f t="shared" si="73"/>
        <v>0</v>
      </c>
      <c r="W162" s="158">
        <f>SUMIF('CHE-last month'!$A:$A,Used_before_Trf!A162,'CHE-last month'!C:C)</f>
        <v>0</v>
      </c>
      <c r="X162" s="520">
        <f t="shared" si="74"/>
        <v>0</v>
      </c>
      <c r="Y162" s="162">
        <f>SUMIF('CHE-last month'!$A:$A,Used_before_Trf!A162,'CHE-last month'!E:E)</f>
        <v>0</v>
      </c>
      <c r="Z162" s="159">
        <f t="shared" si="75"/>
        <v>0</v>
      </c>
      <c r="AA162" s="520">
        <f t="shared" si="76"/>
        <v>0</v>
      </c>
      <c r="AB162" s="159">
        <f t="shared" si="77"/>
        <v>0</v>
      </c>
      <c r="AC162" s="160">
        <f>SUMIFS(BalCom!M:M,BalCom!N:N,Used_before_Trf!A162,BalCom!C:C,Used_before_Trf!$AC$1)</f>
        <v>0</v>
      </c>
      <c r="AD162" s="171">
        <f t="shared" si="78"/>
        <v>0</v>
      </c>
      <c r="AE162" s="159">
        <f>SUMIFS(BalCom!P:P,BalCom!N:N,Used_before_Trf!A162,BalCom!C:C,Used_before_Trf!$AC$1)</f>
        <v>0</v>
      </c>
      <c r="AF162" s="160">
        <f>SUMIFS(BalDis!I:I,BalDis!J:J,Used_before_Trf!A162)</f>
        <v>0</v>
      </c>
      <c r="AG162" s="171">
        <f t="shared" si="79"/>
        <v>0</v>
      </c>
      <c r="AH162" s="162">
        <f>SUMIFS(BalDis!L:L,BalDis!J:J,Used_before_Trf!A162)</f>
        <v>0</v>
      </c>
      <c r="AI162" s="159">
        <f>SUMIFS(BalDip!$N$49:$N$75,BalDip!$C$49:$C$75,Used_before_Trf!A162)+SUMIFS(BalDip!$N$134:$N$157,BalDip!$C$134:$C$157,Used_before_Trf!A162)</f>
        <v>0</v>
      </c>
      <c r="AJ162" s="171">
        <f t="shared" si="80"/>
        <v>0</v>
      </c>
      <c r="AK162" s="177">
        <f>SUMIFS(BalDip!$N$80:$N$106,BalDip!$C$80:$C$106,Used_before_Trf!A162)+SUMIFS(BalDip!$N$161:$N$184,BalDip!$C$161:$C$184,Used_before_Trf!A162)</f>
        <v>0</v>
      </c>
      <c r="AL162" s="178">
        <f t="shared" si="81"/>
        <v>0</v>
      </c>
      <c r="AM162" s="179">
        <f t="shared" si="82"/>
        <v>0</v>
      </c>
      <c r="AN162" s="440">
        <f t="shared" si="83"/>
        <v>0</v>
      </c>
      <c r="AO162" s="180">
        <f t="shared" si="84"/>
        <v>0</v>
      </c>
    </row>
    <row r="163" spans="1:42" s="108" customFormat="1" ht="15" customHeight="1">
      <c r="A163" s="135" t="s">
        <v>484</v>
      </c>
      <c r="B163" s="141" t="s">
        <v>485</v>
      </c>
      <c r="C163" s="136">
        <f>SUMIF('Che-Store'!A:A,Used_before_Trf!A163,'Che-Store'!AC:AC)+SUMIF('Che-Comp'!A:A,Used_before_Trf!A163,'Che-Comp'!AC:AC)</f>
        <v>0</v>
      </c>
      <c r="D163" s="137">
        <f t="shared" si="64"/>
        <v>0</v>
      </c>
      <c r="E163" s="138">
        <f>SUMIF('Che-Store'!A:A,Used_before_Trf!A163,'Che-Store'!AE:AE)+SUMIF('Che-Comp'!A:A,Used_before_Trf!A163,'Che-Comp'!AE:AE)</f>
        <v>0</v>
      </c>
      <c r="F163" s="136">
        <f>SUMIFS('Che-Comp'!F:F,'Che-Comp'!$A:$A,Used_before_Trf!$A163)</f>
        <v>0</v>
      </c>
      <c r="G163" s="138">
        <f>SUMIFS('Che-Comp'!G:G,'Che-Comp'!$A:$A,Used_before_Trf!$A163)</f>
        <v>0</v>
      </c>
      <c r="H163" s="137">
        <f t="shared" si="65"/>
        <v>0</v>
      </c>
      <c r="I163" s="137">
        <f t="shared" si="66"/>
        <v>0</v>
      </c>
      <c r="J163" s="137">
        <f t="shared" si="67"/>
        <v>0</v>
      </c>
      <c r="K163" s="158">
        <f>SUMIF('Che.-Prod'!A:A,Used_before_Trf!A163,'Che.-Prod'!D:D)</f>
        <v>0</v>
      </c>
      <c r="L163" s="137">
        <f t="shared" si="68"/>
        <v>0</v>
      </c>
      <c r="M163" s="159">
        <f>SUMIF('Che.-Prod'!A:A,Used_before_Trf!A163,'Che.-Prod'!F:F)</f>
        <v>0</v>
      </c>
      <c r="N163" s="160">
        <f>SUMIF('Che.-Prod'!A:A,Used_before_Trf!A163,'Che.-Prod'!G:G)</f>
        <v>0</v>
      </c>
      <c r="O163" s="161">
        <f t="shared" si="69"/>
        <v>0</v>
      </c>
      <c r="P163" s="162">
        <f>SUMIF('Che.-Prod'!A:A,Used_before_Trf!A163,'Che.-Prod'!H:H)</f>
        <v>0</v>
      </c>
      <c r="Q163" s="160">
        <f>SUMIF('Che.-Prod'!A:A,Used_before_Trf!A163,'Che.-Prod'!P:P)</f>
        <v>0</v>
      </c>
      <c r="R163" s="161">
        <f t="shared" si="70"/>
        <v>0</v>
      </c>
      <c r="S163" s="159">
        <f>SUMIF('Che.-Prod'!A:A,Used_before_Trf!A163,'Che.-Prod'!R:R)</f>
        <v>0</v>
      </c>
      <c r="T163" s="169">
        <f t="shared" si="71"/>
        <v>0</v>
      </c>
      <c r="U163" s="507">
        <f t="shared" si="72"/>
        <v>0</v>
      </c>
      <c r="V163" s="170">
        <f t="shared" si="73"/>
        <v>0</v>
      </c>
      <c r="W163" s="158">
        <f>SUMIF('CHE-last month'!$A:$A,Used_before_Trf!A163,'CHE-last month'!C:C)</f>
        <v>0</v>
      </c>
      <c r="X163" s="520">
        <f t="shared" si="74"/>
        <v>0</v>
      </c>
      <c r="Y163" s="162">
        <f>SUMIF('CHE-last month'!$A:$A,Used_before_Trf!A163,'CHE-last month'!E:E)</f>
        <v>0</v>
      </c>
      <c r="Z163" s="159">
        <f t="shared" si="75"/>
        <v>0</v>
      </c>
      <c r="AA163" s="520">
        <f t="shared" si="76"/>
        <v>0</v>
      </c>
      <c r="AB163" s="159">
        <f t="shared" si="77"/>
        <v>0</v>
      </c>
      <c r="AC163" s="160">
        <f>SUMIFS(BalCom!M:M,BalCom!N:N,Used_before_Trf!A163,BalCom!C:C,Used_before_Trf!$AC$1)</f>
        <v>0</v>
      </c>
      <c r="AD163" s="171">
        <f t="shared" si="78"/>
        <v>0</v>
      </c>
      <c r="AE163" s="159">
        <f>SUMIFS(BalCom!P:P,BalCom!N:N,Used_before_Trf!A163,BalCom!C:C,Used_before_Trf!$AC$1)</f>
        <v>0</v>
      </c>
      <c r="AF163" s="160">
        <f>SUMIFS(BalDis!I:I,BalDis!J:J,Used_before_Trf!A163)</f>
        <v>0</v>
      </c>
      <c r="AG163" s="171">
        <f t="shared" si="79"/>
        <v>0</v>
      </c>
      <c r="AH163" s="162">
        <f>SUMIFS(BalDis!L:L,BalDis!J:J,Used_before_Trf!A163)</f>
        <v>0</v>
      </c>
      <c r="AI163" s="159">
        <f>SUMIFS(BalDip!$N$49:$N$75,BalDip!$C$49:$C$75,Used_before_Trf!A163)+SUMIFS(BalDip!$N$134:$N$157,BalDip!$C$134:$C$157,Used_before_Trf!A163)</f>
        <v>0</v>
      </c>
      <c r="AJ163" s="171">
        <f t="shared" si="80"/>
        <v>0</v>
      </c>
      <c r="AK163" s="177">
        <f>SUMIFS(BalDip!$N$80:$N$106,BalDip!$C$80:$C$106,Used_before_Trf!A163)+SUMIFS(BalDip!$N$161:$N$184,BalDip!$C$161:$C$184,Used_before_Trf!A163)</f>
        <v>0</v>
      </c>
      <c r="AL163" s="178">
        <f t="shared" si="81"/>
        <v>0</v>
      </c>
      <c r="AM163" s="179">
        <f t="shared" si="82"/>
        <v>0</v>
      </c>
      <c r="AN163" s="440">
        <f t="shared" si="83"/>
        <v>0</v>
      </c>
      <c r="AO163" s="180">
        <f t="shared" si="84"/>
        <v>0</v>
      </c>
    </row>
    <row r="164" spans="1:42" s="108" customFormat="1" ht="15" customHeight="1">
      <c r="A164" s="135" t="s">
        <v>486</v>
      </c>
      <c r="B164" s="141" t="s">
        <v>487</v>
      </c>
      <c r="C164" s="136">
        <f>SUMIF('Che-Store'!A:A,Used_before_Trf!A164,'Che-Store'!AC:AC)+SUMIF('Che-Comp'!A:A,Used_before_Trf!A164,'Che-Comp'!AC:AC)</f>
        <v>0</v>
      </c>
      <c r="D164" s="137">
        <f t="shared" si="64"/>
        <v>0</v>
      </c>
      <c r="E164" s="138">
        <f>SUMIF('Che-Store'!A:A,Used_before_Trf!A164,'Che-Store'!AE:AE)+SUMIF('Che-Comp'!A:A,Used_before_Trf!A164,'Che-Comp'!AE:AE)</f>
        <v>0</v>
      </c>
      <c r="F164" s="136">
        <f>SUMIFS('Che-Comp'!F:F,'Che-Comp'!$A:$A,Used_before_Trf!$A164)</f>
        <v>0</v>
      </c>
      <c r="G164" s="138">
        <f>SUMIFS('Che-Comp'!G:G,'Che-Comp'!$A:$A,Used_before_Trf!$A164)</f>
        <v>0</v>
      </c>
      <c r="H164" s="137">
        <f t="shared" si="65"/>
        <v>0</v>
      </c>
      <c r="I164" s="137">
        <f t="shared" si="66"/>
        <v>0</v>
      </c>
      <c r="J164" s="137">
        <f t="shared" si="67"/>
        <v>0</v>
      </c>
      <c r="K164" s="158">
        <f>SUMIF('Che.-Prod'!A:A,Used_before_Trf!A164,'Che.-Prod'!D:D)</f>
        <v>0</v>
      </c>
      <c r="L164" s="137">
        <f t="shared" si="68"/>
        <v>0</v>
      </c>
      <c r="M164" s="159">
        <f>SUMIF('Che.-Prod'!A:A,Used_before_Trf!A164,'Che.-Prod'!F:F)</f>
        <v>0</v>
      </c>
      <c r="N164" s="160">
        <f>SUMIF('Che.-Prod'!A:A,Used_before_Trf!A164,'Che.-Prod'!G:G)</f>
        <v>0</v>
      </c>
      <c r="O164" s="161">
        <f t="shared" si="69"/>
        <v>0</v>
      </c>
      <c r="P164" s="162">
        <f>SUMIF('Che.-Prod'!A:A,Used_before_Trf!A164,'Che.-Prod'!H:H)</f>
        <v>0</v>
      </c>
      <c r="Q164" s="160">
        <f>SUMIF('Che.-Prod'!A:A,Used_before_Trf!A164,'Che.-Prod'!P:P)</f>
        <v>0</v>
      </c>
      <c r="R164" s="161">
        <f t="shared" si="70"/>
        <v>0</v>
      </c>
      <c r="S164" s="159">
        <f>SUMIF('Che.-Prod'!A:A,Used_before_Trf!A164,'Che.-Prod'!R:R)</f>
        <v>0</v>
      </c>
      <c r="T164" s="169">
        <f t="shared" si="71"/>
        <v>0</v>
      </c>
      <c r="U164" s="507">
        <f t="shared" si="72"/>
        <v>0</v>
      </c>
      <c r="V164" s="170">
        <f t="shared" si="73"/>
        <v>0</v>
      </c>
      <c r="W164" s="158">
        <f>SUMIF('CHE-last month'!$A:$A,Used_before_Trf!A164,'CHE-last month'!C:C)</f>
        <v>0</v>
      </c>
      <c r="X164" s="520">
        <f t="shared" si="74"/>
        <v>0</v>
      </c>
      <c r="Y164" s="162">
        <f>SUMIF('CHE-last month'!$A:$A,Used_before_Trf!A164,'CHE-last month'!E:E)</f>
        <v>0</v>
      </c>
      <c r="Z164" s="159">
        <f t="shared" si="75"/>
        <v>0</v>
      </c>
      <c r="AA164" s="520">
        <f t="shared" si="76"/>
        <v>0</v>
      </c>
      <c r="AB164" s="159">
        <f t="shared" si="77"/>
        <v>0</v>
      </c>
      <c r="AC164" s="160">
        <f>SUMIFS(BalCom!M:M,BalCom!N:N,Used_before_Trf!A164,BalCom!C:C,Used_before_Trf!$AC$1)</f>
        <v>0</v>
      </c>
      <c r="AD164" s="171">
        <f t="shared" si="78"/>
        <v>0</v>
      </c>
      <c r="AE164" s="159">
        <f>SUMIFS(BalCom!P:P,BalCom!N:N,Used_before_Trf!A164,BalCom!C:C,Used_before_Trf!$AC$1)</f>
        <v>0</v>
      </c>
      <c r="AF164" s="160">
        <f>SUMIFS(BalDis!I:I,BalDis!J:J,Used_before_Trf!A164)</f>
        <v>0</v>
      </c>
      <c r="AG164" s="171">
        <f t="shared" si="79"/>
        <v>0</v>
      </c>
      <c r="AH164" s="162">
        <f>SUMIFS(BalDis!L:L,BalDis!J:J,Used_before_Trf!A164)</f>
        <v>0</v>
      </c>
      <c r="AI164" s="159">
        <f>SUMIFS(BalDip!$N$49:$N$75,BalDip!$C$49:$C$75,Used_before_Trf!A164)+SUMIFS(BalDip!$N$134:$N$157,BalDip!$C$134:$C$157,Used_before_Trf!A164)</f>
        <v>0</v>
      </c>
      <c r="AJ164" s="171">
        <f t="shared" si="80"/>
        <v>0</v>
      </c>
      <c r="AK164" s="177">
        <f>SUMIFS(BalDip!$N$80:$N$106,BalDip!$C$80:$C$106,Used_before_Trf!A164)+SUMIFS(BalDip!$N$161:$N$184,BalDip!$C$161:$C$184,Used_before_Trf!A164)</f>
        <v>0</v>
      </c>
      <c r="AL164" s="178">
        <f t="shared" si="81"/>
        <v>0</v>
      </c>
      <c r="AM164" s="179">
        <f t="shared" si="82"/>
        <v>0</v>
      </c>
      <c r="AN164" s="440">
        <f t="shared" si="83"/>
        <v>0</v>
      </c>
      <c r="AO164" s="180">
        <f t="shared" si="84"/>
        <v>0</v>
      </c>
    </row>
    <row r="165" spans="1:42" s="108" customFormat="1" ht="15" customHeight="1">
      <c r="A165" s="135" t="s">
        <v>488</v>
      </c>
      <c r="B165" s="141" t="s">
        <v>244</v>
      </c>
      <c r="C165" s="136">
        <f>SUMIF('Che-Store'!A:A,Used_before_Trf!A165,'Che-Store'!AC:AC)+SUMIF('Che-Comp'!A:A,Used_before_Trf!A165,'Che-Comp'!AC:AC)</f>
        <v>0</v>
      </c>
      <c r="D165" s="137">
        <f t="shared" si="64"/>
        <v>0</v>
      </c>
      <c r="E165" s="138">
        <f>SUMIF('Che-Store'!A:A,Used_before_Trf!A165,'Che-Store'!AE:AE)+SUMIF('Che-Comp'!A:A,Used_before_Trf!A165,'Che-Comp'!AE:AE)</f>
        <v>0</v>
      </c>
      <c r="F165" s="136">
        <f>SUMIFS('Che-Comp'!F:F,'Che-Comp'!$A:$A,Used_before_Trf!$A165)</f>
        <v>0</v>
      </c>
      <c r="G165" s="138">
        <f>SUMIFS('Che-Comp'!G:G,'Che-Comp'!$A:$A,Used_before_Trf!$A165)</f>
        <v>0</v>
      </c>
      <c r="H165" s="137">
        <f t="shared" si="65"/>
        <v>0</v>
      </c>
      <c r="I165" s="137">
        <f t="shared" si="66"/>
        <v>0</v>
      </c>
      <c r="J165" s="137">
        <f t="shared" si="67"/>
        <v>0</v>
      </c>
      <c r="K165" s="158">
        <f>SUMIF('Che.-Prod'!A:A,Used_before_Trf!A165,'Che.-Prod'!D:D)</f>
        <v>0</v>
      </c>
      <c r="L165" s="137">
        <f t="shared" si="68"/>
        <v>0</v>
      </c>
      <c r="M165" s="159">
        <f>SUMIF('Che.-Prod'!A:A,Used_before_Trf!A165,'Che.-Prod'!F:F)</f>
        <v>0</v>
      </c>
      <c r="N165" s="160">
        <f>SUMIF('Che.-Prod'!A:A,Used_before_Trf!A165,'Che.-Prod'!G:G)</f>
        <v>0</v>
      </c>
      <c r="O165" s="161">
        <f t="shared" si="69"/>
        <v>0</v>
      </c>
      <c r="P165" s="162">
        <f>SUMIF('Che.-Prod'!A:A,Used_before_Trf!A165,'Che.-Prod'!H:H)</f>
        <v>0</v>
      </c>
      <c r="Q165" s="160">
        <f>SUMIF('Che.-Prod'!A:A,Used_before_Trf!A165,'Che.-Prod'!P:P)</f>
        <v>0</v>
      </c>
      <c r="R165" s="161">
        <f t="shared" si="70"/>
        <v>0</v>
      </c>
      <c r="S165" s="159">
        <f>SUMIF('Che.-Prod'!A:A,Used_before_Trf!A165,'Che.-Prod'!R:R)</f>
        <v>0</v>
      </c>
      <c r="T165" s="169">
        <f t="shared" si="71"/>
        <v>0</v>
      </c>
      <c r="U165" s="507">
        <f t="shared" si="72"/>
        <v>0</v>
      </c>
      <c r="V165" s="170">
        <f t="shared" si="73"/>
        <v>0</v>
      </c>
      <c r="W165" s="158">
        <f>SUMIF('CHE-last month'!$A:$A,Used_before_Trf!A165,'CHE-last month'!C:C)</f>
        <v>0</v>
      </c>
      <c r="X165" s="520">
        <f t="shared" si="74"/>
        <v>0</v>
      </c>
      <c r="Y165" s="162">
        <f>SUMIF('CHE-last month'!$A:$A,Used_before_Trf!A165,'CHE-last month'!E:E)</f>
        <v>0</v>
      </c>
      <c r="Z165" s="159">
        <f t="shared" si="75"/>
        <v>0</v>
      </c>
      <c r="AA165" s="520">
        <f t="shared" si="76"/>
        <v>0</v>
      </c>
      <c r="AB165" s="159">
        <f t="shared" si="77"/>
        <v>0</v>
      </c>
      <c r="AC165" s="160">
        <f>SUMIFS(BalCom!M:M,BalCom!N:N,Used_before_Trf!A165,BalCom!C:C,Used_before_Trf!$AC$1)</f>
        <v>0</v>
      </c>
      <c r="AD165" s="171">
        <f t="shared" si="78"/>
        <v>0</v>
      </c>
      <c r="AE165" s="159">
        <f>SUMIFS(BalCom!P:P,BalCom!N:N,Used_before_Trf!A165,BalCom!C:C,Used_before_Trf!$AC$1)</f>
        <v>0</v>
      </c>
      <c r="AF165" s="160">
        <f>SUMIFS(BalDis!I:I,BalDis!J:J,Used_before_Trf!A165)</f>
        <v>0</v>
      </c>
      <c r="AG165" s="171">
        <f t="shared" si="79"/>
        <v>0</v>
      </c>
      <c r="AH165" s="162">
        <f>SUMIFS(BalDis!L:L,BalDis!J:J,Used_before_Trf!A165)</f>
        <v>0</v>
      </c>
      <c r="AI165" s="159">
        <f>SUMIFS(BalDip!$N$49:$N$75,BalDip!$C$49:$C$75,Used_before_Trf!A165)+SUMIFS(BalDip!$N$134:$N$157,BalDip!$C$134:$C$157,Used_before_Trf!A165)</f>
        <v>0</v>
      </c>
      <c r="AJ165" s="171">
        <f t="shared" si="80"/>
        <v>0</v>
      </c>
      <c r="AK165" s="177">
        <f>SUMIFS(BalDip!$N$80:$N$106,BalDip!$C$80:$C$106,Used_before_Trf!A165)+SUMIFS(BalDip!$N$161:$N$184,BalDip!$C$161:$C$184,Used_before_Trf!A165)</f>
        <v>0</v>
      </c>
      <c r="AL165" s="178">
        <f t="shared" si="81"/>
        <v>0</v>
      </c>
      <c r="AM165" s="179">
        <f t="shared" si="82"/>
        <v>0</v>
      </c>
      <c r="AN165" s="440">
        <f t="shared" si="83"/>
        <v>0</v>
      </c>
      <c r="AO165" s="180">
        <f t="shared" si="84"/>
        <v>0</v>
      </c>
    </row>
    <row r="166" spans="1:42" s="108" customFormat="1" ht="15" customHeight="1">
      <c r="A166" s="135" t="s">
        <v>489</v>
      </c>
      <c r="B166" s="108" t="s">
        <v>490</v>
      </c>
      <c r="C166" s="136">
        <f>SUMIF('Che-Store'!A:A,Used_before_Trf!A166,'Che-Store'!AC:AC)+SUMIF('Che-Comp'!A:A,Used_before_Trf!A166,'Che-Comp'!AC:AC)</f>
        <v>0</v>
      </c>
      <c r="D166" s="137">
        <f t="shared" si="64"/>
        <v>0</v>
      </c>
      <c r="E166" s="138">
        <f>SUMIF('Che-Store'!A:A,Used_before_Trf!A166,'Che-Store'!AE:AE)+SUMIF('Che-Comp'!A:A,Used_before_Trf!A166,'Che-Comp'!AE:AE)</f>
        <v>0</v>
      </c>
      <c r="F166" s="136">
        <f>SUMIFS('Che-Comp'!F:F,'Che-Comp'!$A:$A,Used_before_Trf!$A166)</f>
        <v>0</v>
      </c>
      <c r="G166" s="138">
        <f>SUMIFS('Che-Comp'!G:G,'Che-Comp'!$A:$A,Used_before_Trf!$A166)</f>
        <v>0</v>
      </c>
      <c r="H166" s="137">
        <f t="shared" si="65"/>
        <v>0</v>
      </c>
      <c r="I166" s="137">
        <f t="shared" si="66"/>
        <v>0</v>
      </c>
      <c r="J166" s="137">
        <f t="shared" si="67"/>
        <v>0</v>
      </c>
      <c r="K166" s="158">
        <f>SUMIF('Che.-Prod'!A:A,Used_before_Trf!A166,'Che.-Prod'!D:D)</f>
        <v>0</v>
      </c>
      <c r="L166" s="137">
        <f t="shared" si="68"/>
        <v>0</v>
      </c>
      <c r="M166" s="159">
        <f>SUMIF('Che.-Prod'!A:A,Used_before_Trf!A166,'Che.-Prod'!F:F)</f>
        <v>0</v>
      </c>
      <c r="N166" s="160">
        <f>SUMIF('Che.-Prod'!A:A,Used_before_Trf!A166,'Che.-Prod'!G:G)</f>
        <v>0</v>
      </c>
      <c r="O166" s="161">
        <f t="shared" si="69"/>
        <v>0</v>
      </c>
      <c r="P166" s="162">
        <f>SUMIF('Che.-Prod'!A:A,Used_before_Trf!A166,'Che.-Prod'!H:H)</f>
        <v>0</v>
      </c>
      <c r="Q166" s="160">
        <f>SUMIF('Che.-Prod'!A:A,Used_before_Trf!A166,'Che.-Prod'!P:P)</f>
        <v>0</v>
      </c>
      <c r="R166" s="161">
        <f t="shared" si="70"/>
        <v>0</v>
      </c>
      <c r="S166" s="159">
        <f>SUMIF('Che.-Prod'!A:A,Used_before_Trf!A166,'Che.-Prod'!R:R)</f>
        <v>0</v>
      </c>
      <c r="T166" s="169">
        <f t="shared" si="71"/>
        <v>0</v>
      </c>
      <c r="U166" s="507">
        <f t="shared" si="72"/>
        <v>0</v>
      </c>
      <c r="V166" s="170">
        <f t="shared" si="73"/>
        <v>0</v>
      </c>
      <c r="W166" s="158">
        <f>SUMIF('CHE-last month'!$A:$A,Used_before_Trf!A166,'CHE-last month'!C:C)</f>
        <v>0</v>
      </c>
      <c r="X166" s="520">
        <f t="shared" si="74"/>
        <v>0</v>
      </c>
      <c r="Y166" s="162">
        <f>SUMIF('CHE-last month'!$A:$A,Used_before_Trf!A166,'CHE-last month'!E:E)</f>
        <v>0</v>
      </c>
      <c r="Z166" s="159">
        <f t="shared" si="75"/>
        <v>0</v>
      </c>
      <c r="AA166" s="520">
        <f t="shared" si="76"/>
        <v>0</v>
      </c>
      <c r="AB166" s="159">
        <f t="shared" si="77"/>
        <v>0</v>
      </c>
      <c r="AC166" s="160">
        <f>SUMIFS(BalCom!M:M,BalCom!N:N,Used_before_Trf!A166,BalCom!C:C,Used_before_Trf!$AC$1)</f>
        <v>0</v>
      </c>
      <c r="AD166" s="171">
        <f t="shared" si="78"/>
        <v>0</v>
      </c>
      <c r="AE166" s="159">
        <f>SUMIFS(BalCom!P:P,BalCom!N:N,Used_before_Trf!A166,BalCom!C:C,Used_before_Trf!$AC$1)</f>
        <v>0</v>
      </c>
      <c r="AF166" s="160">
        <f>SUMIFS(BalDis!I:I,BalDis!J:J,Used_before_Trf!A166)</f>
        <v>0</v>
      </c>
      <c r="AG166" s="171">
        <f t="shared" si="79"/>
        <v>0</v>
      </c>
      <c r="AH166" s="162">
        <f>SUMIFS(BalDis!L:L,BalDis!J:J,Used_before_Trf!A166)</f>
        <v>0</v>
      </c>
      <c r="AI166" s="159">
        <f>SUMIFS(BalDip!$N$49:$N$75,BalDip!$C$49:$C$75,Used_before_Trf!A166)+SUMIFS(BalDip!$N$134:$N$157,BalDip!$C$134:$C$157,Used_before_Trf!A166)</f>
        <v>0</v>
      </c>
      <c r="AJ166" s="171">
        <f t="shared" si="80"/>
        <v>0</v>
      </c>
      <c r="AK166" s="177">
        <f>SUMIFS(BalDip!$N$80:$N$106,BalDip!$C$80:$C$106,Used_before_Trf!A166)+SUMIFS(BalDip!$N$161:$N$184,BalDip!$C$161:$C$184,Used_before_Trf!A166)</f>
        <v>0</v>
      </c>
      <c r="AL166" s="178">
        <f t="shared" si="81"/>
        <v>0</v>
      </c>
      <c r="AM166" s="179">
        <f t="shared" si="82"/>
        <v>0</v>
      </c>
      <c r="AN166" s="440">
        <f t="shared" si="83"/>
        <v>0</v>
      </c>
      <c r="AO166" s="180">
        <f t="shared" si="84"/>
        <v>0</v>
      </c>
    </row>
    <row r="167" spans="1:42" s="108" customFormat="1" ht="15" customHeight="1">
      <c r="A167" s="135" t="s">
        <v>491</v>
      </c>
      <c r="B167" s="108" t="s">
        <v>492</v>
      </c>
      <c r="C167" s="136">
        <f>SUMIF('Che-Store'!A:A,Used_before_Trf!A167,'Che-Store'!AC:AC)+SUMIF('Che-Comp'!A:A,Used_before_Trf!A167,'Che-Comp'!AC:AC)</f>
        <v>0</v>
      </c>
      <c r="D167" s="137">
        <f t="shared" si="64"/>
        <v>0</v>
      </c>
      <c r="E167" s="138">
        <f>SUMIF('Che-Store'!A:A,Used_before_Trf!A167,'Che-Store'!AE:AE)+SUMIF('Che-Comp'!A:A,Used_before_Trf!A167,'Che-Comp'!AE:AE)</f>
        <v>0</v>
      </c>
      <c r="F167" s="136">
        <f>SUMIFS('Che-Comp'!F:F,'Che-Comp'!$A:$A,Used_before_Trf!$A167)</f>
        <v>0</v>
      </c>
      <c r="G167" s="138">
        <f>SUMIFS('Che-Comp'!G:G,'Che-Comp'!$A:$A,Used_before_Trf!$A167)</f>
        <v>0</v>
      </c>
      <c r="H167" s="137">
        <f t="shared" si="65"/>
        <v>0</v>
      </c>
      <c r="I167" s="137">
        <f t="shared" si="66"/>
        <v>0</v>
      </c>
      <c r="J167" s="137">
        <f t="shared" si="67"/>
        <v>0</v>
      </c>
      <c r="K167" s="158">
        <f>SUMIF('Che.-Prod'!A:A,Used_before_Trf!A167,'Che.-Prod'!D:D)</f>
        <v>0</v>
      </c>
      <c r="L167" s="137">
        <f t="shared" si="68"/>
        <v>0</v>
      </c>
      <c r="M167" s="159">
        <f>SUMIF('Che.-Prod'!A:A,Used_before_Trf!A167,'Che.-Prod'!F:F)</f>
        <v>0</v>
      </c>
      <c r="N167" s="160">
        <f>SUMIF('Che.-Prod'!A:A,Used_before_Trf!A167,'Che.-Prod'!G:G)</f>
        <v>0</v>
      </c>
      <c r="O167" s="161">
        <f t="shared" si="69"/>
        <v>0</v>
      </c>
      <c r="P167" s="162">
        <f>SUMIF('Che.-Prod'!A:A,Used_before_Trf!A167,'Che.-Prod'!H:H)</f>
        <v>0</v>
      </c>
      <c r="Q167" s="160">
        <f>SUMIF('Che.-Prod'!A:A,Used_before_Trf!A167,'Che.-Prod'!P:P)</f>
        <v>0</v>
      </c>
      <c r="R167" s="161">
        <f t="shared" si="70"/>
        <v>0</v>
      </c>
      <c r="S167" s="159">
        <f>SUMIF('Che.-Prod'!A:A,Used_before_Trf!A167,'Che.-Prod'!R:R)</f>
        <v>0</v>
      </c>
      <c r="T167" s="169">
        <f t="shared" si="71"/>
        <v>0</v>
      </c>
      <c r="U167" s="507">
        <f t="shared" si="72"/>
        <v>0</v>
      </c>
      <c r="V167" s="170">
        <f t="shared" si="73"/>
        <v>0</v>
      </c>
      <c r="W167" s="158">
        <f>SUMIF('CHE-last month'!$A:$A,Used_before_Trf!A167,'CHE-last month'!C:C)</f>
        <v>0</v>
      </c>
      <c r="X167" s="520">
        <f t="shared" si="74"/>
        <v>0</v>
      </c>
      <c r="Y167" s="162">
        <f>SUMIF('CHE-last month'!$A:$A,Used_before_Trf!A167,'CHE-last month'!E:E)</f>
        <v>0</v>
      </c>
      <c r="Z167" s="159">
        <f t="shared" si="75"/>
        <v>0</v>
      </c>
      <c r="AA167" s="520">
        <f t="shared" si="76"/>
        <v>0</v>
      </c>
      <c r="AB167" s="159">
        <f t="shared" si="77"/>
        <v>0</v>
      </c>
      <c r="AC167" s="160">
        <f>SUMIFS(BalCom!M:M,BalCom!N:N,Used_before_Trf!A167,BalCom!C:C,Used_before_Trf!$AC$1)</f>
        <v>0</v>
      </c>
      <c r="AD167" s="171">
        <f t="shared" si="78"/>
        <v>0</v>
      </c>
      <c r="AE167" s="159">
        <f>SUMIFS(BalCom!P:P,BalCom!N:N,Used_before_Trf!A167,BalCom!C:C,Used_before_Trf!$AC$1)</f>
        <v>0</v>
      </c>
      <c r="AF167" s="160">
        <f>SUMIFS(BalDis!I:I,BalDis!J:J,Used_before_Trf!A167)</f>
        <v>0</v>
      </c>
      <c r="AG167" s="171">
        <f t="shared" si="79"/>
        <v>0</v>
      </c>
      <c r="AH167" s="162">
        <f>SUMIFS(BalDis!L:L,BalDis!J:J,Used_before_Trf!A167)</f>
        <v>0</v>
      </c>
      <c r="AI167" s="159">
        <f>SUMIFS(BalDip!$N$49:$N$75,BalDip!$C$49:$C$75,Used_before_Trf!A167)+SUMIFS(BalDip!$N$134:$N$157,BalDip!$C$134:$C$157,Used_before_Trf!A167)</f>
        <v>0</v>
      </c>
      <c r="AJ167" s="171">
        <f t="shared" si="80"/>
        <v>0</v>
      </c>
      <c r="AK167" s="177">
        <f>SUMIFS(BalDip!$N$80:$N$106,BalDip!$C$80:$C$106,Used_before_Trf!A167)+SUMIFS(BalDip!$N$161:$N$184,BalDip!$C$161:$C$184,Used_before_Trf!A167)</f>
        <v>0</v>
      </c>
      <c r="AL167" s="178">
        <f t="shared" si="81"/>
        <v>0</v>
      </c>
      <c r="AM167" s="179">
        <f t="shared" si="82"/>
        <v>0</v>
      </c>
      <c r="AN167" s="440">
        <f t="shared" si="83"/>
        <v>0</v>
      </c>
      <c r="AO167" s="180">
        <f t="shared" si="84"/>
        <v>0</v>
      </c>
    </row>
    <row r="168" spans="1:42" s="108" customFormat="1" ht="15" customHeight="1">
      <c r="A168" s="135" t="s">
        <v>493</v>
      </c>
      <c r="B168" s="108" t="s">
        <v>494</v>
      </c>
      <c r="C168" s="136">
        <f>SUMIF('Che-Store'!A:A,Used_before_Trf!A168,'Che-Store'!AC:AC)+SUMIF('Che-Comp'!A:A,Used_before_Trf!A168,'Che-Comp'!AC:AC)</f>
        <v>0</v>
      </c>
      <c r="D168" s="137">
        <f t="shared" si="64"/>
        <v>0</v>
      </c>
      <c r="E168" s="138">
        <f>SUMIF('Che-Store'!A:A,Used_before_Trf!A168,'Che-Store'!AE:AE)+SUMIF('Che-Comp'!A:A,Used_before_Trf!A168,'Che-Comp'!AE:AE)</f>
        <v>0</v>
      </c>
      <c r="F168" s="136">
        <f>SUMIFS('Che-Comp'!F:F,'Che-Comp'!$A:$A,Used_before_Trf!$A168)</f>
        <v>0</v>
      </c>
      <c r="G168" s="138">
        <f>SUMIFS('Che-Comp'!G:G,'Che-Comp'!$A:$A,Used_before_Trf!$A168)</f>
        <v>0</v>
      </c>
      <c r="H168" s="137">
        <f t="shared" si="65"/>
        <v>0</v>
      </c>
      <c r="I168" s="137">
        <f t="shared" si="66"/>
        <v>0</v>
      </c>
      <c r="J168" s="137">
        <f t="shared" si="67"/>
        <v>0</v>
      </c>
      <c r="K168" s="158">
        <f>SUMIF('Che.-Prod'!A:A,Used_before_Trf!A168,'Che.-Prod'!D:D)</f>
        <v>0</v>
      </c>
      <c r="L168" s="137">
        <f t="shared" si="68"/>
        <v>0</v>
      </c>
      <c r="M168" s="159">
        <f>SUMIF('Che.-Prod'!A:A,Used_before_Trf!A168,'Che.-Prod'!F:F)</f>
        <v>0</v>
      </c>
      <c r="N168" s="160">
        <f>SUMIF('Che.-Prod'!A:A,Used_before_Trf!A168,'Che.-Prod'!G:G)</f>
        <v>0</v>
      </c>
      <c r="O168" s="161">
        <f t="shared" si="69"/>
        <v>0</v>
      </c>
      <c r="P168" s="162">
        <f>SUMIF('Che.-Prod'!A:A,Used_before_Trf!A168,'Che.-Prod'!H:H)</f>
        <v>0</v>
      </c>
      <c r="Q168" s="160">
        <f>SUMIF('Che.-Prod'!A:A,Used_before_Trf!A168,'Che.-Prod'!P:P)</f>
        <v>0</v>
      </c>
      <c r="R168" s="161">
        <f t="shared" si="70"/>
        <v>0</v>
      </c>
      <c r="S168" s="159">
        <f>SUMIF('Che.-Prod'!A:A,Used_before_Trf!A168,'Che.-Prod'!R:R)</f>
        <v>0</v>
      </c>
      <c r="T168" s="169">
        <f t="shared" si="71"/>
        <v>0</v>
      </c>
      <c r="U168" s="507">
        <f t="shared" si="72"/>
        <v>0</v>
      </c>
      <c r="V168" s="170">
        <f t="shared" si="73"/>
        <v>0</v>
      </c>
      <c r="W168" s="158">
        <f>SUMIF('CHE-last month'!$A:$A,Used_before_Trf!A168,'CHE-last month'!C:C)</f>
        <v>0</v>
      </c>
      <c r="X168" s="520">
        <f t="shared" si="74"/>
        <v>0</v>
      </c>
      <c r="Y168" s="162">
        <f>SUMIF('CHE-last month'!$A:$A,Used_before_Trf!A168,'CHE-last month'!E:E)</f>
        <v>0</v>
      </c>
      <c r="Z168" s="159">
        <f t="shared" si="75"/>
        <v>0</v>
      </c>
      <c r="AA168" s="520">
        <f t="shared" si="76"/>
        <v>0</v>
      </c>
      <c r="AB168" s="159">
        <f t="shared" si="77"/>
        <v>0</v>
      </c>
      <c r="AC168" s="160">
        <f>SUMIFS(BalCom!M:M,BalCom!N:N,Used_before_Trf!A168,BalCom!C:C,Used_before_Trf!$AC$1)</f>
        <v>0</v>
      </c>
      <c r="AD168" s="171">
        <f t="shared" si="78"/>
        <v>0</v>
      </c>
      <c r="AE168" s="159">
        <f>SUMIFS(BalCom!P:P,BalCom!N:N,Used_before_Trf!A168,BalCom!C:C,Used_before_Trf!$AC$1)</f>
        <v>0</v>
      </c>
      <c r="AF168" s="160">
        <f>SUMIFS(BalDis!I:I,BalDis!J:J,Used_before_Trf!A168)</f>
        <v>0</v>
      </c>
      <c r="AG168" s="171">
        <f t="shared" si="79"/>
        <v>0</v>
      </c>
      <c r="AH168" s="162">
        <f>SUMIFS(BalDis!L:L,BalDis!J:J,Used_before_Trf!A168)</f>
        <v>0</v>
      </c>
      <c r="AI168" s="159">
        <f>SUMIFS(BalDip!$N$49:$N$75,BalDip!$C$49:$C$75,Used_before_Trf!A168)+SUMIFS(BalDip!$N$134:$N$157,BalDip!$C$134:$C$157,Used_before_Trf!A168)</f>
        <v>0</v>
      </c>
      <c r="AJ168" s="171">
        <f t="shared" si="80"/>
        <v>0</v>
      </c>
      <c r="AK168" s="177">
        <f>SUMIFS(BalDip!$N$80:$N$106,BalDip!$C$80:$C$106,Used_before_Trf!A168)+SUMIFS(BalDip!$N$161:$N$184,BalDip!$C$161:$C$184,Used_before_Trf!A168)</f>
        <v>0</v>
      </c>
      <c r="AL168" s="178">
        <f t="shared" si="81"/>
        <v>0</v>
      </c>
      <c r="AM168" s="179">
        <f t="shared" si="82"/>
        <v>0</v>
      </c>
      <c r="AN168" s="440">
        <f t="shared" si="83"/>
        <v>0</v>
      </c>
      <c r="AO168" s="180">
        <f t="shared" si="84"/>
        <v>0</v>
      </c>
    </row>
    <row r="169" spans="1:42" s="108" customFormat="1" ht="15" customHeight="1">
      <c r="A169" s="135" t="s">
        <v>495</v>
      </c>
      <c r="B169" s="108" t="s">
        <v>496</v>
      </c>
      <c r="C169" s="136">
        <f>SUMIF('Che-Store'!A:A,Used_before_Trf!A169,'Che-Store'!AC:AC)+SUMIF('Che-Comp'!A:A,Used_before_Trf!A169,'Che-Comp'!AC:AC)</f>
        <v>0</v>
      </c>
      <c r="D169" s="137">
        <f t="shared" si="64"/>
        <v>0</v>
      </c>
      <c r="E169" s="138">
        <f>SUMIF('Che-Store'!A:A,Used_before_Trf!A169,'Che-Store'!AE:AE)+SUMIF('Che-Comp'!A:A,Used_before_Trf!A169,'Che-Comp'!AE:AE)</f>
        <v>0</v>
      </c>
      <c r="F169" s="136">
        <f>SUMIFS('Che-Comp'!F:F,'Che-Comp'!$A:$A,Used_before_Trf!$A169)</f>
        <v>0</v>
      </c>
      <c r="G169" s="138">
        <f>SUMIFS('Che-Comp'!G:G,'Che-Comp'!$A:$A,Used_before_Trf!$A169)</f>
        <v>0</v>
      </c>
      <c r="H169" s="137">
        <f t="shared" si="65"/>
        <v>0</v>
      </c>
      <c r="I169" s="137">
        <f t="shared" si="66"/>
        <v>0</v>
      </c>
      <c r="J169" s="137">
        <f t="shared" si="67"/>
        <v>0</v>
      </c>
      <c r="K169" s="158">
        <f>SUMIF('Che.-Prod'!A:A,Used_before_Trf!A169,'Che.-Prod'!D:D)</f>
        <v>0</v>
      </c>
      <c r="L169" s="137">
        <f t="shared" si="68"/>
        <v>0</v>
      </c>
      <c r="M169" s="159">
        <f>SUMIF('Che.-Prod'!A:A,Used_before_Trf!A169,'Che.-Prod'!F:F)</f>
        <v>0</v>
      </c>
      <c r="N169" s="160">
        <f>SUMIF('Che.-Prod'!A:A,Used_before_Trf!A169,'Che.-Prod'!G:G)</f>
        <v>0</v>
      </c>
      <c r="O169" s="161">
        <f t="shared" si="69"/>
        <v>0</v>
      </c>
      <c r="P169" s="162">
        <f>SUMIF('Che.-Prod'!A:A,Used_before_Trf!A169,'Che.-Prod'!H:H)</f>
        <v>0</v>
      </c>
      <c r="Q169" s="160">
        <f>SUMIF('Che.-Prod'!A:A,Used_before_Trf!A169,'Che.-Prod'!P:P)</f>
        <v>0</v>
      </c>
      <c r="R169" s="161">
        <f t="shared" si="70"/>
        <v>0</v>
      </c>
      <c r="S169" s="159">
        <f>SUMIF('Che.-Prod'!A:A,Used_before_Trf!A169,'Che.-Prod'!R:R)</f>
        <v>0</v>
      </c>
      <c r="T169" s="169">
        <f t="shared" si="71"/>
        <v>0</v>
      </c>
      <c r="U169" s="507">
        <f t="shared" si="72"/>
        <v>0</v>
      </c>
      <c r="V169" s="170">
        <f t="shared" si="73"/>
        <v>0</v>
      </c>
      <c r="W169" s="158">
        <f>SUMIF('CHE-last month'!$A:$A,Used_before_Trf!A169,'CHE-last month'!C:C)</f>
        <v>0</v>
      </c>
      <c r="X169" s="520">
        <f t="shared" si="74"/>
        <v>0</v>
      </c>
      <c r="Y169" s="162">
        <f>SUMIF('CHE-last month'!$A:$A,Used_before_Trf!A169,'CHE-last month'!E:E)</f>
        <v>0</v>
      </c>
      <c r="Z169" s="159">
        <f t="shared" si="75"/>
        <v>0</v>
      </c>
      <c r="AA169" s="520">
        <f t="shared" si="76"/>
        <v>0</v>
      </c>
      <c r="AB169" s="159">
        <f t="shared" si="77"/>
        <v>0</v>
      </c>
      <c r="AC169" s="160">
        <f>SUMIFS(BalCom!M:M,BalCom!N:N,Used_before_Trf!A169,BalCom!C:C,Used_before_Trf!$AC$1)</f>
        <v>0</v>
      </c>
      <c r="AD169" s="171">
        <f t="shared" si="78"/>
        <v>0</v>
      </c>
      <c r="AE169" s="159">
        <f>SUMIFS(BalCom!P:P,BalCom!N:N,Used_before_Trf!A169,BalCom!C:C,Used_before_Trf!$AC$1)</f>
        <v>0</v>
      </c>
      <c r="AF169" s="160">
        <f>SUMIFS(BalDis!I:I,BalDis!J:J,Used_before_Trf!A169)</f>
        <v>0</v>
      </c>
      <c r="AG169" s="171">
        <f t="shared" si="79"/>
        <v>0</v>
      </c>
      <c r="AH169" s="162">
        <f>SUMIFS(BalDis!L:L,BalDis!J:J,Used_before_Trf!A169)</f>
        <v>0</v>
      </c>
      <c r="AI169" s="159">
        <f>SUMIFS(BalDip!$N$49:$N$75,BalDip!$C$49:$C$75,Used_before_Trf!A169)+SUMIFS(BalDip!$N$134:$N$157,BalDip!$C$134:$C$157,Used_before_Trf!A169)</f>
        <v>0</v>
      </c>
      <c r="AJ169" s="171">
        <f t="shared" si="80"/>
        <v>0</v>
      </c>
      <c r="AK169" s="177">
        <f>SUMIFS(BalDip!$N$80:$N$106,BalDip!$C$80:$C$106,Used_before_Trf!A169)+SUMIFS(BalDip!$N$161:$N$184,BalDip!$C$161:$C$184,Used_before_Trf!A169)</f>
        <v>0</v>
      </c>
      <c r="AL169" s="178">
        <f t="shared" si="81"/>
        <v>0</v>
      </c>
      <c r="AM169" s="179">
        <f t="shared" si="82"/>
        <v>0</v>
      </c>
      <c r="AN169" s="440">
        <f t="shared" si="83"/>
        <v>0</v>
      </c>
      <c r="AO169" s="180">
        <f t="shared" si="84"/>
        <v>0</v>
      </c>
    </row>
    <row r="170" spans="1:42" s="514" customFormat="1" ht="15" customHeight="1">
      <c r="A170" s="513" t="s">
        <v>497</v>
      </c>
      <c r="B170" s="514" t="s">
        <v>498</v>
      </c>
      <c r="C170" s="136">
        <f>SUMIF('Che-Store'!A:A,Used_before_Trf!A170,'Che-Store'!AC:AC)+SUMIF('Che-Comp'!A:A,Used_before_Trf!A170,'Che-Comp'!AC:AC)</f>
        <v>0</v>
      </c>
      <c r="D170" s="137">
        <f t="shared" si="64"/>
        <v>0</v>
      </c>
      <c r="E170" s="138">
        <f>SUMIF('Che-Store'!A:A,Used_before_Trf!A170,'Che-Store'!AE:AE)+SUMIF('Che-Comp'!A:A,Used_before_Trf!A170,'Che-Comp'!AE:AE)</f>
        <v>0</v>
      </c>
      <c r="F170" s="136">
        <f>SUMIFS('Che-Comp'!F:F,'Che-Comp'!$A:$A,Used_before_Trf!$A170)</f>
        <v>0</v>
      </c>
      <c r="G170" s="138">
        <f>SUMIFS('Che-Comp'!G:G,'Che-Comp'!$A:$A,Used_before_Trf!$A170)</f>
        <v>0</v>
      </c>
      <c r="H170" s="137">
        <f t="shared" si="65"/>
        <v>0</v>
      </c>
      <c r="I170" s="137">
        <f t="shared" si="66"/>
        <v>0</v>
      </c>
      <c r="J170" s="137">
        <f t="shared" si="67"/>
        <v>0</v>
      </c>
      <c r="K170" s="158">
        <f>SUMIF('Che.-Prod'!A:A,Used_before_Trf!A170,'Che.-Prod'!D:D)</f>
        <v>0</v>
      </c>
      <c r="L170" s="137">
        <f t="shared" si="68"/>
        <v>0</v>
      </c>
      <c r="M170" s="159">
        <f>SUMIF('Che.-Prod'!A:A,Used_before_Trf!A170,'Che.-Prod'!F:F)</f>
        <v>0</v>
      </c>
      <c r="N170" s="160">
        <f>SUMIF('Che.-Prod'!A:A,Used_before_Trf!A170,'Che.-Prod'!G:G)</f>
        <v>0</v>
      </c>
      <c r="O170" s="161">
        <f t="shared" si="69"/>
        <v>0</v>
      </c>
      <c r="P170" s="162">
        <f>SUMIF('Che.-Prod'!A:A,Used_before_Trf!A170,'Che.-Prod'!H:H)</f>
        <v>0</v>
      </c>
      <c r="Q170" s="160">
        <f>SUMIF('Che.-Prod'!A:A,Used_before_Trf!A170,'Che.-Prod'!P:P)</f>
        <v>0</v>
      </c>
      <c r="R170" s="161">
        <f t="shared" si="70"/>
        <v>0</v>
      </c>
      <c r="S170" s="159">
        <f>SUMIF('Che.-Prod'!A:A,Used_before_Trf!A170,'Che.-Prod'!R:R)</f>
        <v>0</v>
      </c>
      <c r="T170" s="169">
        <f t="shared" si="71"/>
        <v>0</v>
      </c>
      <c r="U170" s="507">
        <f t="shared" si="72"/>
        <v>0</v>
      </c>
      <c r="V170" s="170">
        <f t="shared" si="73"/>
        <v>0</v>
      </c>
      <c r="W170" s="158">
        <f>SUMIF('CHE-last month'!$A:$A,Used_before_Trf!A170,'CHE-last month'!C:C)</f>
        <v>44115.782051275302</v>
      </c>
      <c r="X170" s="520">
        <f t="shared" si="74"/>
        <v>0</v>
      </c>
      <c r="Y170" s="162">
        <f>SUMIF('CHE-last month'!$A:$A,Used_before_Trf!A170,'CHE-last month'!E:E)</f>
        <v>0</v>
      </c>
      <c r="Z170" s="159">
        <f t="shared" si="75"/>
        <v>36471.027165936182</v>
      </c>
      <c r="AA170" s="520">
        <f t="shared" si="76"/>
        <v>0</v>
      </c>
      <c r="AB170" s="159">
        <f t="shared" si="77"/>
        <v>0</v>
      </c>
      <c r="AC170" s="160">
        <f>SUMIFS(BalCom!M:M,BalCom!N:N,Used_before_Trf!A170,BalCom!C:C,Used_before_Trf!$AC$1)</f>
        <v>9558.7585690108699</v>
      </c>
      <c r="AD170" s="171">
        <f t="shared" si="78"/>
        <v>0</v>
      </c>
      <c r="AE170" s="159">
        <f>SUMIFS(BalCom!P:P,BalCom!N:N,Used_before_Trf!A170,BalCom!C:C,Used_before_Trf!$AC$1)</f>
        <v>0</v>
      </c>
      <c r="AF170" s="160">
        <f>SUMIFS(BalDis!I:I,BalDis!J:J,Used_before_Trf!A170)</f>
        <v>25275.360829341189</v>
      </c>
      <c r="AG170" s="171">
        <f t="shared" si="79"/>
        <v>0</v>
      </c>
      <c r="AH170" s="162">
        <f>SUMIFS(BalDis!L:L,BalDis!J:J,Used_before_Trf!A170)</f>
        <v>0</v>
      </c>
      <c r="AI170" s="159">
        <f>SUMIFS(BalDip!$N$49:$N$75,BalDip!$C$49:$C$75,Used_before_Trf!A170)+SUMIFS(BalDip!$N$134:$N$157,BalDip!$C$134:$C$157,Used_before_Trf!A170)</f>
        <v>1636.907767584122</v>
      </c>
      <c r="AJ170" s="171">
        <f t="shared" si="80"/>
        <v>0</v>
      </c>
      <c r="AK170" s="177">
        <f>SUMIFS(BalDip!$N$80:$N$106,BalDip!$C$80:$C$106,Used_before_Trf!A170)+SUMIFS(BalDip!$N$161:$N$184,BalDip!$C$161:$C$184,Used_before_Trf!A170)</f>
        <v>0</v>
      </c>
      <c r="AL170" s="178">
        <f t="shared" si="81"/>
        <v>7644.7548853391199</v>
      </c>
      <c r="AM170" s="179">
        <f t="shared" si="82"/>
        <v>0</v>
      </c>
      <c r="AN170" s="440">
        <f t="shared" si="83"/>
        <v>0</v>
      </c>
      <c r="AO170" s="515"/>
    </row>
    <row r="171" spans="1:42" s="108" customFormat="1" ht="15" customHeight="1">
      <c r="A171" s="135"/>
      <c r="C171" s="136">
        <f>SUMIF('Che-Store'!A:A,Used_before_Trf!A171,'Che-Store'!AC:AC)+SUMIF('Che-Comp'!A:A,Used_before_Trf!A171,'Che-Comp'!AC:AC)</f>
        <v>0</v>
      </c>
      <c r="D171" s="137">
        <f t="shared" ref="D171" si="85">IFERROR(E171/C171,0)</f>
        <v>0</v>
      </c>
      <c r="E171" s="138">
        <f>SUMIF('Che-Store'!A:A,Used_before_Trf!A171,'Che-Store'!AE:AE)+SUMIF('Che-Comp'!A:A,Used_before_Trf!A171,'Che-Comp'!AE:AE)</f>
        <v>0</v>
      </c>
      <c r="F171" s="136">
        <f>SUMIFS('Che-Comp'!F:F,'Che-Comp'!$A:$A,Used_before_Trf!$A171)</f>
        <v>0</v>
      </c>
      <c r="G171" s="138">
        <f>SUMIFS('Che-Comp'!G:G,'Che-Comp'!$A:$A,Used_before_Trf!$A171)</f>
        <v>0</v>
      </c>
      <c r="H171" s="137">
        <f t="shared" ref="H171" si="86">C171-F171</f>
        <v>0</v>
      </c>
      <c r="I171" s="137">
        <f t="shared" ref="I171" si="87">IFERROR(J171/H171,0)</f>
        <v>0</v>
      </c>
      <c r="J171" s="137">
        <f t="shared" ref="J171" si="88">E171-G171</f>
        <v>0</v>
      </c>
      <c r="K171" s="158">
        <f>SUMIF('Che.-Prod'!A:A,Used_before_Trf!A171,'Che.-Prod'!D:D)</f>
        <v>0</v>
      </c>
      <c r="L171" s="137">
        <f t="shared" ref="L171" si="89">IFERROR(M171/K171,0)</f>
        <v>0</v>
      </c>
      <c r="M171" s="159">
        <f>SUMIF('Che.-Prod'!A:A,Used_before_Trf!A171,'Che.-Prod'!F:F)</f>
        <v>0</v>
      </c>
      <c r="N171" s="160">
        <f>SUMIF('Che.-Prod'!A:A,Used_before_Trf!A171,'Che.-Prod'!G:G)</f>
        <v>0</v>
      </c>
      <c r="O171" s="161">
        <f t="shared" ref="O171" si="90">IF(N171=0,0,P171/N171)</f>
        <v>0</v>
      </c>
      <c r="P171" s="162">
        <f>SUMIF('Che.-Prod'!A:A,Used_before_Trf!A171,'Che.-Prod'!H:H)</f>
        <v>0</v>
      </c>
      <c r="Q171" s="160">
        <f>SUMIF('Che.-Prod'!A:A,Used_before_Trf!A171,'Che.-Prod'!P:P)</f>
        <v>0</v>
      </c>
      <c r="R171" s="161">
        <f t="shared" ref="R171" si="91">IF(Q171=0,0,S171/Q171)</f>
        <v>0</v>
      </c>
      <c r="S171" s="159">
        <f>SUMIF('Che.-Prod'!A:A,Used_before_Trf!A171,'Che.-Prod'!R:R)</f>
        <v>0</v>
      </c>
      <c r="T171" s="169">
        <f t="shared" ref="T171" si="92">H171+K171+N171-Q171</f>
        <v>0</v>
      </c>
      <c r="U171" s="507">
        <f t="shared" ref="U171" si="93">IF(T171=0,0,V171/T171)</f>
        <v>0</v>
      </c>
      <c r="V171" s="170">
        <f t="shared" ref="V171" si="94">J171+M171+P171-S171</f>
        <v>0</v>
      </c>
      <c r="W171" s="158">
        <f>SUMIF('CHE-last month'!$A:$A,Used_before_Trf!A171,'CHE-last month'!C:C)</f>
        <v>0</v>
      </c>
      <c r="X171" s="520">
        <f t="shared" ref="X171" si="95">IF(W171=0,0,Y171/W171)</f>
        <v>0</v>
      </c>
      <c r="Y171" s="162">
        <f>SUMIF('CHE-last month'!$A:$A,Used_before_Trf!A171,'CHE-last month'!E:E)</f>
        <v>0</v>
      </c>
      <c r="Z171" s="159">
        <f t="shared" ref="Z171" si="96">+AC171+AF171+AI171</f>
        <v>0</v>
      </c>
      <c r="AA171" s="520">
        <f t="shared" ref="AA171" si="97">IF(Z171=0,0,AB171/Z171)</f>
        <v>0</v>
      </c>
      <c r="AB171" s="159">
        <f t="shared" ref="AB171" si="98">+AE171+AH171+AK171</f>
        <v>0</v>
      </c>
      <c r="AC171" s="160">
        <f>SUMIFS(BalCom!M:M,BalCom!N:N,Used_before_Trf!A171,BalCom!C:C,Used_before_Trf!$AC$1)</f>
        <v>0</v>
      </c>
      <c r="AD171" s="171">
        <f t="shared" ref="AD171" si="99">IF(AC171=0,0,AE171/AC171)</f>
        <v>0</v>
      </c>
      <c r="AE171" s="159">
        <f>SUMIFS(BalCom!P:P,BalCom!N:N,Used_before_Trf!A171,BalCom!C:C,Used_before_Trf!$AC$1)</f>
        <v>0</v>
      </c>
      <c r="AF171" s="160">
        <f>SUMIFS(BalDis!I:I,BalDis!J:J,Used_before_Trf!A171)</f>
        <v>0</v>
      </c>
      <c r="AG171" s="171">
        <f t="shared" ref="AG171" si="100">IF(AF171=0,0,AH171/AF171)</f>
        <v>0</v>
      </c>
      <c r="AH171" s="162">
        <f>SUMIFS(BalDis!L:L,BalDis!J:J,Used_before_Trf!A171)</f>
        <v>0</v>
      </c>
      <c r="AI171" s="159">
        <f>SUMIFS(BalDip!$N$49:$N$75,BalDip!$C$49:$C$75,Used_before_Trf!A171)+SUMIFS(BalDip!$N$134:$N$157,BalDip!$C$134:$C$157,Used_before_Trf!A171)</f>
        <v>0</v>
      </c>
      <c r="AJ171" s="171">
        <f t="shared" ref="AJ171" si="101">IF(AI171=0,0,AK171/AI171)</f>
        <v>0</v>
      </c>
      <c r="AK171" s="177">
        <f>SUMIFS(BalDip!$N$80:$N$106,BalDip!$C$80:$C$106,Used_before_Trf!A171)+SUMIFS(BalDip!$N$161:$N$184,BalDip!$C$161:$C$184,Used_before_Trf!A171)</f>
        <v>0</v>
      </c>
      <c r="AL171" s="178">
        <f t="shared" ref="AL171" si="102">+T171+W171-Z171</f>
        <v>0</v>
      </c>
      <c r="AM171" s="179">
        <f t="shared" ref="AM171" si="103">IF(AL171=0,0,AN171/AL171)</f>
        <v>0</v>
      </c>
      <c r="AN171" s="440">
        <f t="shared" ref="AN171" si="104">+V171+Y171-AB171</f>
        <v>0</v>
      </c>
      <c r="AO171" s="180"/>
    </row>
    <row r="172" spans="1:42" s="108" customFormat="1" ht="15" customHeight="1" thickBot="1">
      <c r="A172" s="575"/>
      <c r="B172" s="576"/>
      <c r="C172" s="498">
        <f>SUM(C5:C171)-C170</f>
        <v>191688.80000000002</v>
      </c>
      <c r="D172" s="577">
        <f t="shared" ref="D172" si="105">IF(C172=0,0,E172/C172)</f>
        <v>17.674840314092425</v>
      </c>
      <c r="E172" s="499">
        <f>SUM(E5:E171)-E170</f>
        <v>3388068.93</v>
      </c>
      <c r="F172" s="578">
        <f>SUM(F5:F171)</f>
        <v>5.8</v>
      </c>
      <c r="G172" s="579">
        <f>SUM(G5:G171)</f>
        <v>781.78</v>
      </c>
      <c r="H172" s="498">
        <f>SUM(H5:H171)-H170</f>
        <v>191683.00000000003</v>
      </c>
      <c r="I172" s="577">
        <f t="shared" ref="I172" si="106">IF(H172=0,0,J172/H172)</f>
        <v>17.671296619940211</v>
      </c>
      <c r="J172" s="499">
        <f>SUM(J5:J171)-J170</f>
        <v>3387287.15</v>
      </c>
      <c r="K172" s="498">
        <f>SUM(K5:K171)-K170</f>
        <v>5605</v>
      </c>
      <c r="L172" s="577">
        <f t="shared" ref="L172" si="107">IF(K172=0,0,M172/K172)</f>
        <v>12.076315789473684</v>
      </c>
      <c r="M172" s="499">
        <f>SUM(M5:M171)-M170</f>
        <v>67687.75</v>
      </c>
      <c r="N172" s="182">
        <f>SUM(N5:N169)</f>
        <v>0</v>
      </c>
      <c r="O172" s="182"/>
      <c r="P172" s="499">
        <f>SUM(P5:P169)</f>
        <v>0</v>
      </c>
      <c r="Q172" s="498">
        <f>SUM(Q5:Q171)-Q170</f>
        <v>3440</v>
      </c>
      <c r="R172" s="577">
        <f t="shared" ref="R172" si="108">IF(Q172=0,0,S172/Q172)</f>
        <v>12.199418604651163</v>
      </c>
      <c r="S172" s="499">
        <f>SUM(S5:S171)-S170</f>
        <v>41966</v>
      </c>
      <c r="T172" s="495">
        <f>SUM(T5:T171)-T170</f>
        <v>193848.00000000003</v>
      </c>
      <c r="U172" s="533">
        <f t="shared" ref="U172" si="109">IF(T172=0,0,V172/T172)</f>
        <v>17.60662426230861</v>
      </c>
      <c r="V172" s="495">
        <f>SUM(V5:V171)-V170</f>
        <v>3413008.9</v>
      </c>
      <c r="W172" s="495">
        <f>SUM(W5:W171)-W170</f>
        <v>35845.210753313055</v>
      </c>
      <c r="X172" s="521">
        <f t="shared" ref="X172" si="110">IF(W172=0,0,Y172/W172)</f>
        <v>15.113603424689806</v>
      </c>
      <c r="Y172" s="495">
        <f>SUM(Y5:Y171)-Y170</f>
        <v>541750.30000000005</v>
      </c>
      <c r="Z172" s="495">
        <f>SUM(Z5:Z171)-Z170</f>
        <v>45105.662318390845</v>
      </c>
      <c r="AA172" s="521">
        <f t="shared" ref="AA172" si="111">IF(Z172=0,0,AB172/Z172)</f>
        <v>13.493565302373176</v>
      </c>
      <c r="AB172" s="495">
        <f>SUM(AB5:AB171)-AB170</f>
        <v>608636.19999999995</v>
      </c>
      <c r="AC172" s="495">
        <f>SUM(AC5:AC171)</f>
        <v>15879.727902349521</v>
      </c>
      <c r="AD172" s="496">
        <f t="shared" ref="AD172" si="112">IF(AC172=0,0,AE172/AC172)</f>
        <v>11.326399363139489</v>
      </c>
      <c r="AE172" s="495">
        <f>SUM(AE5:AE171)-AE170</f>
        <v>179860.13999999998</v>
      </c>
      <c r="AF172" s="495">
        <f>SUM(AF5:AF171)</f>
        <v>60171</v>
      </c>
      <c r="AG172" s="496">
        <f t="shared" ref="AG172" si="113">IF(AF172=0,0,AH172/AF172)</f>
        <v>5.5787050240148899</v>
      </c>
      <c r="AH172" s="495">
        <f>SUM(AH5:AH171)-AH170</f>
        <v>335676.25999999995</v>
      </c>
      <c r="AI172" s="495">
        <f>SUM(AI5:AI171)</f>
        <v>5525.9615819775181</v>
      </c>
      <c r="AJ172" s="496">
        <f t="shared" ref="AJ172" si="114">IF(AI172=0,0,AK172/AI172)</f>
        <v>16.847710324957298</v>
      </c>
      <c r="AK172" s="495">
        <f>SUM(AK5:AK171)-AK170</f>
        <v>93099.8</v>
      </c>
      <c r="AL172" s="495">
        <f>SUM(AL5:AL171)-AL170</f>
        <v>184587.54843492221</v>
      </c>
      <c r="AM172" s="496">
        <f t="shared" ref="AM172" si="115">IF(AL172=0,0,AN172/AL172)</f>
        <v>18.127566178602248</v>
      </c>
      <c r="AN172" s="495">
        <f>SUM(AN5:AN171)-AN170</f>
        <v>3346123</v>
      </c>
      <c r="AO172" s="180"/>
      <c r="AP172" s="180"/>
    </row>
    <row r="173" spans="1:42" s="108" customFormat="1" ht="15" customHeight="1" thickTop="1">
      <c r="A173" s="106"/>
      <c r="B173" s="183"/>
      <c r="C173" s="184"/>
      <c r="D173" s="185" t="s">
        <v>670</v>
      </c>
      <c r="E173" s="186">
        <f>('Che-Store'!AE14+'Che-Comp'!AE30)-E172</f>
        <v>0</v>
      </c>
      <c r="F173" s="187"/>
      <c r="G173" s="186"/>
      <c r="H173" s="180"/>
      <c r="I173" s="180"/>
      <c r="J173" s="180"/>
      <c r="K173" s="184"/>
      <c r="L173" s="185" t="s">
        <v>670</v>
      </c>
      <c r="M173" s="200">
        <f>'Che.-Prod'!F18-M172</f>
        <v>0</v>
      </c>
      <c r="N173" s="180"/>
      <c r="O173" s="180" t="s">
        <v>670</v>
      </c>
      <c r="P173" s="180">
        <f>P172-'Che.-Prod'!H18</f>
        <v>0</v>
      </c>
      <c r="Q173" s="206"/>
      <c r="R173" s="185" t="s">
        <v>670</v>
      </c>
      <c r="S173" s="186">
        <f>'Che.-Prod'!R18-S172</f>
        <v>0</v>
      </c>
      <c r="T173" s="184"/>
      <c r="U173" s="534" t="s">
        <v>670</v>
      </c>
      <c r="V173" s="186">
        <f>+E172+M172+P172-S172-V172-G172</f>
        <v>2.6079760573338717E-10</v>
      </c>
      <c r="W173" s="184"/>
      <c r="X173" s="522"/>
      <c r="Y173" s="215">
        <f>'CHE-last month'!E170-Y172</f>
        <v>0</v>
      </c>
      <c r="Z173" s="207"/>
      <c r="AA173" s="528"/>
      <c r="AB173" s="180"/>
      <c r="AC173" s="345" t="s">
        <v>629</v>
      </c>
      <c r="AD173" s="216"/>
      <c r="AE173" s="180"/>
      <c r="AF173" s="207"/>
      <c r="AG173" s="216"/>
      <c r="AH173" s="200"/>
      <c r="AI173" s="221"/>
      <c r="AJ173" s="216"/>
      <c r="AK173" s="400"/>
      <c r="AL173" s="184"/>
      <c r="AM173" s="207"/>
      <c r="AN173" s="183"/>
      <c r="AO173" s="180"/>
    </row>
    <row r="174" spans="1:42" s="68" customFormat="1" ht="15" customHeight="1">
      <c r="A174" s="135" t="s">
        <v>499</v>
      </c>
      <c r="B174" s="183" t="s">
        <v>500</v>
      </c>
      <c r="C174" s="188">
        <f>'NBR Latex-Comp'!AC13</f>
        <v>313175</v>
      </c>
      <c r="D174" s="189">
        <f>E174/C174</f>
        <v>41.772428322822705</v>
      </c>
      <c r="E174" s="190">
        <f>'NBR Latex-Comp'!AD13</f>
        <v>13082080.24</v>
      </c>
      <c r="F174" s="188">
        <f>'NBR Latex-Comp'!F13</f>
        <v>0</v>
      </c>
      <c r="G174" s="190">
        <f>'NBR Latex-Comp'!G13</f>
        <v>0</v>
      </c>
      <c r="H174" s="191">
        <f>C174-F174</f>
        <v>313175</v>
      </c>
      <c r="I174" s="191">
        <f>IFERROR(J174/H174,0)</f>
        <v>41.772428322822705</v>
      </c>
      <c r="J174" s="191">
        <f>E174-G174</f>
        <v>13082080.24</v>
      </c>
      <c r="K174" s="188"/>
      <c r="L174" s="189"/>
      <c r="M174" s="201"/>
      <c r="N174" s="189"/>
      <c r="O174" s="189"/>
      <c r="P174" s="189"/>
      <c r="Q174" s="208"/>
      <c r="R174" s="189"/>
      <c r="S174" s="190"/>
      <c r="T174" s="209">
        <f>H174+K174-Q174</f>
        <v>313175</v>
      </c>
      <c r="U174" s="535">
        <f>IF(T174=0,0,V174/T174)</f>
        <v>41.772428322822705</v>
      </c>
      <c r="V174" s="210">
        <f>J174+M174-S174</f>
        <v>13082080.24</v>
      </c>
      <c r="W174" s="188">
        <f>SUMIF('CHE-last month'!$A:$A,Used_before_Trf!A174,'CHE-last month'!C:C)</f>
        <v>42708.387697088139</v>
      </c>
      <c r="X174" s="523">
        <f>IF(W174=0,0,Y174/W174)</f>
        <v>43.9881218023149</v>
      </c>
      <c r="Y174" s="217">
        <f>SUMIF('CHE-last month'!$A:$A,Used_before_Trf!A174,'CHE-last month'!E:E)</f>
        <v>1878661.7600000002</v>
      </c>
      <c r="Z174" s="159">
        <f>+AC174+AF174+AI174</f>
        <v>49437.610243885152</v>
      </c>
      <c r="AA174" s="520">
        <f>IF(Z174=0,0,AB174/Z174)</f>
        <v>45.475863596745718</v>
      </c>
      <c r="AB174" s="181">
        <f>+AE174+AH174+AK174</f>
        <v>2248218.02</v>
      </c>
      <c r="AC174" s="217">
        <f>SUM(AC176:AC184)</f>
        <v>42070.655957679046</v>
      </c>
      <c r="AD174" s="211">
        <f t="shared" ref="AD174:AD183" si="116">IF(AC174=0,0,AE174/AC174)</f>
        <v>45.641484694975787</v>
      </c>
      <c r="AE174" s="217">
        <f>SUM(AE176:AE184)</f>
        <v>1920167.2000000002</v>
      </c>
      <c r="AF174" s="217">
        <f>SUM(AF176:AF184)</f>
        <v>0</v>
      </c>
      <c r="AG174" s="211">
        <f>IF(AF174=0,0,AH174/AF174)</f>
        <v>0</v>
      </c>
      <c r="AH174" s="217">
        <f>SUM(AH176:AH184)</f>
        <v>0</v>
      </c>
      <c r="AI174" s="217">
        <f>SUM(AI176:AI184)</f>
        <v>7366.9542862061026</v>
      </c>
      <c r="AJ174" s="211">
        <f>IF(AI174=0,0,AK174/AI174)</f>
        <v>44.530046916979366</v>
      </c>
      <c r="AK174" s="401">
        <f>SUM(AK176:AK184)</f>
        <v>328050.82</v>
      </c>
      <c r="AL174" s="416">
        <f>SUM(AL176:AL184)</f>
        <v>306445.77745320305</v>
      </c>
      <c r="AM174" s="211">
        <f>IF(AL174=0,0,AN174/AL174)</f>
        <v>41.483762920966711</v>
      </c>
      <c r="AN174" s="401">
        <f>SUM(AN176:AN184)</f>
        <v>12712523.98</v>
      </c>
      <c r="AO174" s="180"/>
      <c r="AP174" s="372"/>
    </row>
    <row r="175" spans="1:42" s="110" customFormat="1" ht="15" customHeight="1">
      <c r="B175" s="192" t="s">
        <v>501</v>
      </c>
      <c r="C175" s="193">
        <f>C174-SUM(C176:C184)</f>
        <v>0</v>
      </c>
      <c r="D175" s="194"/>
      <c r="E175" s="195">
        <f>E174-SUM(E176:E184)</f>
        <v>0</v>
      </c>
      <c r="F175" s="193">
        <f>F174-SUM(F176:F184)</f>
        <v>0</v>
      </c>
      <c r="G175" s="195">
        <f>G174-SUM(G176:G184)</f>
        <v>0</v>
      </c>
      <c r="H175" s="193">
        <f>H174-SUM(H176:H184)</f>
        <v>0</v>
      </c>
      <c r="I175" s="194"/>
      <c r="J175" s="195">
        <f>J174-SUM(J176:J184)</f>
        <v>0</v>
      </c>
      <c r="K175" s="193"/>
      <c r="L175" s="194"/>
      <c r="M175" s="202"/>
      <c r="N175" s="194"/>
      <c r="O175" s="194"/>
      <c r="P175" s="194"/>
      <c r="Q175" s="212"/>
      <c r="R175" s="194"/>
      <c r="S175" s="195"/>
      <c r="T175" s="193">
        <f>T174-SUM(T176:T184)</f>
        <v>0</v>
      </c>
      <c r="U175" s="536"/>
      <c r="V175" s="195">
        <f>V174-SUM(V176:V184)</f>
        <v>0</v>
      </c>
      <c r="W175" s="193">
        <f>W174-SUM(W176:W184)</f>
        <v>0</v>
      </c>
      <c r="X175" s="524"/>
      <c r="Y175" s="213">
        <f>Y174-SUM(Y176:Y184)</f>
        <v>0</v>
      </c>
      <c r="Z175" s="213"/>
      <c r="AA175" s="524"/>
      <c r="AB175" s="194"/>
      <c r="AC175" s="213"/>
      <c r="AD175" s="171">
        <f t="shared" si="116"/>
        <v>0</v>
      </c>
      <c r="AE175" s="194"/>
      <c r="AF175" s="213"/>
      <c r="AG175" s="213"/>
      <c r="AH175" s="202"/>
      <c r="AI175" s="202"/>
      <c r="AJ175" s="213"/>
      <c r="AK175" s="402"/>
      <c r="AL175" s="193">
        <f>AL174-SUM(AL176:AL184)</f>
        <v>0</v>
      </c>
      <c r="AM175" s="213"/>
      <c r="AN175" s="195">
        <f>AN174-SUM(AN176:AN184)</f>
        <v>0</v>
      </c>
      <c r="AO175" s="180"/>
    </row>
    <row r="176" spans="1:42" s="365" customFormat="1" ht="15" customHeight="1">
      <c r="A176" s="347" t="str">
        <f>+'NBR Latex-Comp'!A7</f>
        <v>NBR01</v>
      </c>
      <c r="B176" s="348" t="str">
        <f>+'NBR Latex-Comp'!B7</f>
        <v xml:space="preserve">  SYNTHETIC LATEX BST NBL 8503S</v>
      </c>
      <c r="C176" s="349">
        <f>_xlfn.XLOOKUP(B176,'NBR Latex-Comp'!B:B,'NBR Latex-Comp'!AC:AC,0)</f>
        <v>84083</v>
      </c>
      <c r="D176" s="350">
        <f t="shared" ref="D176:D182" si="117">IFERROR((E176/C176),0)</f>
        <v>50.516914477361652</v>
      </c>
      <c r="E176" s="351">
        <f>_xlfn.XLOOKUP(B176,'NBR Latex-Comp'!B:B,'NBR Latex-Comp'!AD:AD,0)</f>
        <v>4247613.72</v>
      </c>
      <c r="F176" s="349">
        <f>_xlfn.XLOOKUP(B176,'NBR Latex-Comp'!B:B,'NBR Latex-Comp'!F:F,0)</f>
        <v>0</v>
      </c>
      <c r="G176" s="351">
        <f>_xlfn.XLOOKUP(B176,'NBR Latex-Comp'!B:B,'NBR Latex-Comp'!G:G,0)</f>
        <v>0</v>
      </c>
      <c r="H176" s="350">
        <f t="shared" ref="H176:H182" si="118">C176-F176</f>
        <v>84083</v>
      </c>
      <c r="I176" s="350">
        <f t="shared" ref="I176:I182" si="119">IFERROR(J176/H176,0)</f>
        <v>50.516914477361652</v>
      </c>
      <c r="J176" s="350">
        <f t="shared" ref="J176:J182" si="120">E176-G176</f>
        <v>4247613.72</v>
      </c>
      <c r="K176" s="352"/>
      <c r="L176" s="353"/>
      <c r="M176" s="354"/>
      <c r="N176" s="353"/>
      <c r="O176" s="353"/>
      <c r="P176" s="353"/>
      <c r="Q176" s="355"/>
      <c r="R176" s="353"/>
      <c r="S176" s="356"/>
      <c r="T176" s="357">
        <f t="shared" ref="T176:T177" si="121">H176+K176-Q176</f>
        <v>84083</v>
      </c>
      <c r="U176" s="507">
        <f>IF(T176=0,0,V176/T176)</f>
        <v>50.516914477361652</v>
      </c>
      <c r="V176" s="359">
        <f t="shared" ref="V176:V177" si="122">J176+M176-S176</f>
        <v>4247613.72</v>
      </c>
      <c r="W176" s="349">
        <f>SUMIF('CHE-last month'!$A:$A,Used_before_Trf!A176,'CHE-last month'!C:C)</f>
        <v>42708.387697088139</v>
      </c>
      <c r="X176" s="520">
        <f t="shared" ref="X176:X183" si="123">IF(W176=0,0,Y176/W176)</f>
        <v>43.9881218023149</v>
      </c>
      <c r="Y176" s="360">
        <f>SUMIF('CHE-last month'!$A:$A,Used_before_Trf!A176,'CHE-last month'!E:E)</f>
        <v>1878661.7600000002</v>
      </c>
      <c r="Z176" s="350">
        <f>+AC176+AF176+AI176</f>
        <v>26397.138672756606</v>
      </c>
      <c r="AA176" s="520">
        <f t="shared" ref="AA176:AA183" si="124">IF(Z176=0,0,AB176/Z176)</f>
        <v>49.520367196051552</v>
      </c>
      <c r="AB176" s="350">
        <f t="shared" ref="AB176:AB183" si="125">+AE176+AH176+AK176</f>
        <v>1307196</v>
      </c>
      <c r="AC176" s="557">
        <f>SUMIFS(BalCom!M:M,BalCom!N:N,Used_before_Trf!A176,BalCom!C:C,Used_before_Trf!$AC$1)+5021.07</f>
        <v>22642.738872023008</v>
      </c>
      <c r="AD176" s="507">
        <f t="shared" si="116"/>
        <v>49.35512953253231</v>
      </c>
      <c r="AE176" s="181">
        <f>SUMIFS(BalCom!P:P,BalCom!N:N,Used_before_Trf!A176,BalCom!C:C,Used_before_Trf!$AC$1)+227342.98</f>
        <v>1117535.31</v>
      </c>
      <c r="AF176" s="361">
        <f>SUMIFS(BalDis!I:I,BalDis!J:J,Used_before_Trf!A176)</f>
        <v>0</v>
      </c>
      <c r="AG176" s="358">
        <f t="shared" ref="AG176:AG183" si="126">IF(AF176=0,0,AH176/AF176)</f>
        <v>0</v>
      </c>
      <c r="AH176" s="362">
        <f>SUMIFS(BalDis!L:L,BalDis!J:J,Used_before_Trf!A176)</f>
        <v>0</v>
      </c>
      <c r="AI176" s="350">
        <f>SUMIFS(BalDip!$N$49:$N$75,BalDip!$C$49:$C$75,Used_before_Trf!A176)+SUMIFS(BalDip!$N$134:$N$157,BalDip!$C$134:$C$157,Used_before_Trf!A176)</f>
        <v>3754.3998007335967</v>
      </c>
      <c r="AJ176" s="358">
        <f t="shared" ref="AJ176:AJ183" si="127">IF(AI176=0,0,AK176/AI176)</f>
        <v>50.516913505839455</v>
      </c>
      <c r="AK176" s="351">
        <f>SUMIFS(BalDip!$N$80:$N$106,BalDip!$C$80:$C$106,Used_before_Trf!A176)+SUMIFS(BalDip!$N$161:$N$184,BalDip!$C$161:$C$184,Used_before_Trf!A176)</f>
        <v>189660.69</v>
      </c>
      <c r="AL176" s="363">
        <f t="shared" ref="AL176:AL183" si="128">+T176+W176-Z176</f>
        <v>100394.24902433154</v>
      </c>
      <c r="AM176" s="364">
        <f t="shared" ref="AM176:AM183" si="129">IF(AL176=0,0,AN176/AL176)</f>
        <v>48.001549160769642</v>
      </c>
      <c r="AN176" s="441">
        <f t="shared" ref="AN176:AN183" si="130">+V176+Y176-AB176</f>
        <v>4819079.4800000004</v>
      </c>
      <c r="AO176" s="497"/>
    </row>
    <row r="177" spans="1:41" s="365" customFormat="1" ht="15" customHeight="1">
      <c r="A177" s="347" t="s">
        <v>506</v>
      </c>
      <c r="B177" s="348" t="s">
        <v>507</v>
      </c>
      <c r="C177" s="349">
        <f>_xlfn.XLOOKUP(B177,'NBR Latex-Comp'!B:B,'NBR Latex-Comp'!AC:AC,0)</f>
        <v>0</v>
      </c>
      <c r="D177" s="350">
        <f t="shared" si="117"/>
        <v>0</v>
      </c>
      <c r="E177" s="351">
        <f>_xlfn.XLOOKUP(B177,'NBR Latex-Comp'!B:B,'NBR Latex-Comp'!AD:AD,0)</f>
        <v>0</v>
      </c>
      <c r="F177" s="349">
        <f>_xlfn.XLOOKUP(B177,'NBR Latex-Comp'!B:B,'NBR Latex-Comp'!F:F,0)</f>
        <v>0</v>
      </c>
      <c r="G177" s="351">
        <f>_xlfn.XLOOKUP(B177,'NBR Latex-Comp'!B:B,'NBR Latex-Comp'!G:G,0)</f>
        <v>0</v>
      </c>
      <c r="H177" s="350">
        <f t="shared" ref="H177:H178" si="131">C177-F177</f>
        <v>0</v>
      </c>
      <c r="I177" s="350">
        <f t="shared" ref="I177:I178" si="132">IFERROR(J177/H177,0)</f>
        <v>0</v>
      </c>
      <c r="J177" s="350">
        <f t="shared" ref="J177:J178" si="133">E177-G177</f>
        <v>0</v>
      </c>
      <c r="K177" s="352"/>
      <c r="L177" s="353"/>
      <c r="M177" s="354"/>
      <c r="N177" s="353"/>
      <c r="O177" s="353"/>
      <c r="P177" s="353"/>
      <c r="Q177" s="355"/>
      <c r="R177" s="353"/>
      <c r="S177" s="356"/>
      <c r="T177" s="357">
        <f t="shared" si="121"/>
        <v>0</v>
      </c>
      <c r="U177" s="507">
        <f>IF(T177=0,0,V177/T177)</f>
        <v>0</v>
      </c>
      <c r="V177" s="359">
        <f t="shared" si="122"/>
        <v>0</v>
      </c>
      <c r="W177" s="349">
        <f>SUMIF('CHE-last month'!$A:$A,Used_before_Trf!A177,'CHE-last month'!C:C)</f>
        <v>0</v>
      </c>
      <c r="X177" s="520">
        <f t="shared" ref="X177:X178" si="134">IF(W177=0,0,Y177/W177)</f>
        <v>0</v>
      </c>
      <c r="Y177" s="360">
        <f>SUMIF('CHE-last month'!$A:$A,Used_before_Trf!A177,'CHE-last month'!E:E)</f>
        <v>0</v>
      </c>
      <c r="Z177" s="350">
        <f>+AC177+AF177+AI177</f>
        <v>0</v>
      </c>
      <c r="AA177" s="520">
        <f t="shared" si="124"/>
        <v>0</v>
      </c>
      <c r="AB177" s="350">
        <f>+AE177+AH177+AK177</f>
        <v>0</v>
      </c>
      <c r="AC177" s="361">
        <f>SUMIFS(BalCom!M:M,BalCom!N:N,Used_before_Trf!A177,BalCom!C:C,Used_before_Trf!$AC$1)</f>
        <v>0</v>
      </c>
      <c r="AD177" s="358">
        <f t="shared" ref="AD177:AD181" si="135">IF(AC177=0,0,AE177/AC177)</f>
        <v>0</v>
      </c>
      <c r="AE177" s="350">
        <f>SUMIFS(BalCom!P:P,BalCom!N:N,Used_before_Trf!A177,BalCom!C:C,Used_before_Trf!$AC$1)</f>
        <v>0</v>
      </c>
      <c r="AF177" s="361">
        <f>SUMIFS(BalDis!I:I,BalDis!J:J,Used_before_Trf!A177)</f>
        <v>0</v>
      </c>
      <c r="AG177" s="358">
        <f t="shared" ref="AG177:AG181" si="136">IF(AF177=0,0,AH177/AF177)</f>
        <v>0</v>
      </c>
      <c r="AH177" s="362">
        <f>SUMIFS(BalDis!L:L,BalDis!J:J,Used_before_Trf!A177)</f>
        <v>0</v>
      </c>
      <c r="AI177" s="350">
        <f>SUMIFS(BalDip!$N$49:$N$75,BalDip!$C$49:$C$75,Used_before_Trf!A177)+SUMIFS(BalDip!$N$134:$N$157,BalDip!$C$134:$C$157,Used_before_Trf!A177)</f>
        <v>0</v>
      </c>
      <c r="AJ177" s="358">
        <f t="shared" ref="AJ177:AJ181" si="137">IF(AI177=0,0,AK177/AI177)</f>
        <v>0</v>
      </c>
      <c r="AK177" s="351">
        <f>SUMIFS(BalDip!$N$80:$N$106,BalDip!$C$80:$C$106,Used_before_Trf!A177)+SUMIFS(BalDip!$N$161:$N$184,BalDip!$C$161:$C$184,Used_before_Trf!A177)</f>
        <v>0</v>
      </c>
      <c r="AL177" s="363">
        <f t="shared" si="128"/>
        <v>0</v>
      </c>
      <c r="AM177" s="364">
        <f t="shared" si="129"/>
        <v>0</v>
      </c>
      <c r="AN177" s="441">
        <f t="shared" si="130"/>
        <v>0</v>
      </c>
      <c r="AO177" s="497"/>
    </row>
    <row r="178" spans="1:41" s="365" customFormat="1" ht="15" customHeight="1">
      <c r="A178" s="347" t="str">
        <f>+'NBR Latex-Comp'!A9</f>
        <v>NBR30</v>
      </c>
      <c r="B178" s="348" t="str">
        <f>+'NBR Latex-Comp'!B9</f>
        <v xml:space="preserve">  (TEST) NBR-XY806</v>
      </c>
      <c r="C178" s="349">
        <f>_xlfn.XLOOKUP(B178,'NBR Latex-Comp'!B:B,'NBR Latex-Comp'!AC:AC,0)</f>
        <v>220715</v>
      </c>
      <c r="D178" s="350">
        <f t="shared" si="117"/>
        <v>38.308109507736226</v>
      </c>
      <c r="E178" s="351">
        <f>_xlfn.XLOOKUP(B178,'NBR Latex-Comp'!B:B,'NBR Latex-Comp'!AD:AD,0)</f>
        <v>8455174.3900000006</v>
      </c>
      <c r="F178" s="349">
        <f>_xlfn.XLOOKUP(B178,'NBR Latex-Comp'!B:B,'NBR Latex-Comp'!F:F,0)</f>
        <v>0</v>
      </c>
      <c r="G178" s="351">
        <f>_xlfn.XLOOKUP(B178,'NBR Latex-Comp'!B:B,'NBR Latex-Comp'!G:G,0)</f>
        <v>0</v>
      </c>
      <c r="H178" s="350">
        <f t="shared" si="131"/>
        <v>220715</v>
      </c>
      <c r="I178" s="350">
        <f t="shared" si="132"/>
        <v>38.308109507736226</v>
      </c>
      <c r="J178" s="350">
        <f t="shared" si="133"/>
        <v>8455174.3900000006</v>
      </c>
      <c r="K178" s="352"/>
      <c r="L178" s="353"/>
      <c r="M178" s="354"/>
      <c r="N178" s="353"/>
      <c r="O178" s="353"/>
      <c r="P178" s="353"/>
      <c r="Q178" s="355"/>
      <c r="R178" s="353"/>
      <c r="S178" s="356"/>
      <c r="T178" s="357">
        <f t="shared" ref="T178:T183" si="138">H178+K178-Q178</f>
        <v>220715</v>
      </c>
      <c r="U178" s="507">
        <f t="shared" ref="U178:U183" si="139">IF(T178=0,0,V178/T178)</f>
        <v>38.308109507736226</v>
      </c>
      <c r="V178" s="359">
        <f t="shared" ref="V178:V183" si="140">J178+M178-S178</f>
        <v>8455174.3900000006</v>
      </c>
      <c r="W178" s="349">
        <f>SUMIF('CHE-last month'!$A:$A,Used_before_Trf!A178,'CHE-last month'!C:C)</f>
        <v>0</v>
      </c>
      <c r="X178" s="520">
        <f t="shared" si="134"/>
        <v>0</v>
      </c>
      <c r="Y178" s="360">
        <f>SUMIF('CHE-last month'!$A:$A,Used_before_Trf!A178,'CHE-last month'!E:E)</f>
        <v>0</v>
      </c>
      <c r="Z178" s="350">
        <f t="shared" ref="Z178" si="141">+AC178+AF178+AI178</f>
        <v>14663.472053100366</v>
      </c>
      <c r="AA178" s="520">
        <f t="shared" si="124"/>
        <v>38.308109291293725</v>
      </c>
      <c r="AB178" s="350">
        <f t="shared" si="125"/>
        <v>561729.89</v>
      </c>
      <c r="AC178" s="361">
        <f>SUMIFS(BalCom!M:M,BalCom!N:N,Used_before_Trf!A178,BalCom!C:C,Used_before_Trf!$AC$1)</f>
        <v>11050.917567627861</v>
      </c>
      <c r="AD178" s="358">
        <f t="shared" si="135"/>
        <v>38.308109476819865</v>
      </c>
      <c r="AE178" s="350">
        <f>SUMIFS(BalCom!P:P,BalCom!N:N,Used_before_Trf!A178,BalCom!C:C,Used_before_Trf!$AC$1)</f>
        <v>423339.76</v>
      </c>
      <c r="AF178" s="361">
        <f>SUMIFS(BalDis!I:I,BalDis!J:J,Used_before_Trf!A178)</f>
        <v>0</v>
      </c>
      <c r="AG178" s="358">
        <f t="shared" si="136"/>
        <v>0</v>
      </c>
      <c r="AH178" s="362">
        <f>SUMIFS(BalDis!L:L,BalDis!J:J,Used_before_Trf!A178)</f>
        <v>0</v>
      </c>
      <c r="AI178" s="350">
        <f>SUMIFS(BalDip!$N$49:$N$75,BalDip!$C$49:$C$75,Used_before_Trf!A178)+SUMIFS(BalDip!$N$134:$N$157,BalDip!$C$134:$C$157,Used_before_Trf!A178)</f>
        <v>3612.5544854725053</v>
      </c>
      <c r="AJ178" s="358">
        <f t="shared" si="137"/>
        <v>38.308108723763432</v>
      </c>
      <c r="AK178" s="351">
        <f>SUMIFS(BalDip!$N$80:$N$106,BalDip!$C$80:$C$106,Used_before_Trf!A178)+SUMIFS(BalDip!$N$161:$N$184,BalDip!$C$161:$C$184,Used_before_Trf!A178)</f>
        <v>138390.13</v>
      </c>
      <c r="AL178" s="363">
        <f t="shared" si="128"/>
        <v>206051.52794689965</v>
      </c>
      <c r="AM178" s="364">
        <f t="shared" si="129"/>
        <v>38.308109523139159</v>
      </c>
      <c r="AN178" s="441">
        <f t="shared" si="130"/>
        <v>7893444.5000000009</v>
      </c>
      <c r="AO178" s="497"/>
    </row>
    <row r="179" spans="1:41" s="365" customFormat="1" ht="15" customHeight="1">
      <c r="A179" s="347" t="s">
        <v>510</v>
      </c>
      <c r="B179" s="348" t="s">
        <v>511</v>
      </c>
      <c r="C179" s="349">
        <f>_xlfn.XLOOKUP(B179,'NBR Latex-Comp'!B:B,'NBR Latex-Comp'!AC:AC,0)</f>
        <v>0</v>
      </c>
      <c r="D179" s="350">
        <f t="shared" ref="D179:D180" si="142">IFERROR((E179/C179),0)</f>
        <v>0</v>
      </c>
      <c r="E179" s="351">
        <f>_xlfn.XLOOKUP(B179,'NBR Latex-Comp'!B:B,'NBR Latex-Comp'!AD:AD,0)</f>
        <v>0</v>
      </c>
      <c r="F179" s="349">
        <f>_xlfn.XLOOKUP(B179,'NBR Latex-Comp'!B:B,'NBR Latex-Comp'!F:F,0)</f>
        <v>0</v>
      </c>
      <c r="G179" s="351">
        <f>_xlfn.XLOOKUP(B179,'NBR Latex-Comp'!B:B,'NBR Latex-Comp'!G:G,0)</f>
        <v>0</v>
      </c>
      <c r="H179" s="350">
        <f t="shared" ref="H179:H180" si="143">C179-F179</f>
        <v>0</v>
      </c>
      <c r="I179" s="350">
        <f t="shared" ref="I179:I180" si="144">IFERROR(J179/H179,0)</f>
        <v>0</v>
      </c>
      <c r="J179" s="350">
        <f t="shared" ref="J179:J180" si="145">E179-G179</f>
        <v>0</v>
      </c>
      <c r="K179" s="352"/>
      <c r="L179" s="353"/>
      <c r="M179" s="354"/>
      <c r="N179" s="353"/>
      <c r="O179" s="353"/>
      <c r="P179" s="353"/>
      <c r="Q179" s="355"/>
      <c r="R179" s="353"/>
      <c r="S179" s="356"/>
      <c r="T179" s="357">
        <f t="shared" ref="T179:T180" si="146">H179+K179-Q179</f>
        <v>0</v>
      </c>
      <c r="U179" s="507">
        <f t="shared" ref="U179:U180" si="147">IF(T179=0,0,V179/T179)</f>
        <v>0</v>
      </c>
      <c r="V179" s="359">
        <f t="shared" ref="V179:V180" si="148">J179+M179-S179</f>
        <v>0</v>
      </c>
      <c r="W179" s="349">
        <f>SUMIF('CHE-last month'!$A:$A,Used_before_Trf!A179,'CHE-last month'!C:C)</f>
        <v>0</v>
      </c>
      <c r="X179" s="520">
        <f t="shared" ref="X179:X180" si="149">IF(W179=0,0,Y179/W179)</f>
        <v>0</v>
      </c>
      <c r="Y179" s="360">
        <f>SUMIF('CHE-last month'!$A:$A,Used_before_Trf!A179,'CHE-last month'!E:E)</f>
        <v>0</v>
      </c>
      <c r="Z179" s="350">
        <f t="shared" ref="Z179:Z180" si="150">+AC179+AF179+AI179</f>
        <v>0</v>
      </c>
      <c r="AA179" s="520">
        <f t="shared" ref="AA179:AA180" si="151">IF(Z179=0,0,AB179/Z179)</f>
        <v>0</v>
      </c>
      <c r="AB179" s="350">
        <f t="shared" ref="AB179:AB180" si="152">+AE179+AH179+AK179</f>
        <v>0</v>
      </c>
      <c r="AC179" s="361">
        <f>SUMIFS(BalCom!M:M,BalCom!N:N,Used_before_Trf!A179,BalCom!C:C,Used_before_Trf!$AC$1)</f>
        <v>0</v>
      </c>
      <c r="AD179" s="358">
        <f t="shared" ref="AD179:AD180" si="153">IF(AC179=0,0,AE179/AC179)</f>
        <v>0</v>
      </c>
      <c r="AE179" s="350">
        <f>SUMIFS(BalCom!P:P,BalCom!N:N,Used_before_Trf!A179,BalCom!C:C,Used_before_Trf!$AC$1)</f>
        <v>0</v>
      </c>
      <c r="AF179" s="361">
        <f>SUMIFS(BalDis!I:I,BalDis!J:J,Used_before_Trf!A179)</f>
        <v>0</v>
      </c>
      <c r="AG179" s="358">
        <f t="shared" ref="AG179:AG180" si="154">IF(AF179=0,0,AH179/AF179)</f>
        <v>0</v>
      </c>
      <c r="AH179" s="362">
        <f>SUMIFS(BalDis!L:L,BalDis!J:J,Used_before_Trf!A179)</f>
        <v>0</v>
      </c>
      <c r="AI179" s="350">
        <f>SUMIFS(BalDip!$N$49:$N$75,BalDip!$C$49:$C$75,Used_before_Trf!A179)+SUMIFS(BalDip!$N$134:$N$157,BalDip!$C$134:$C$157,Used_before_Trf!A179)</f>
        <v>0</v>
      </c>
      <c r="AJ179" s="358">
        <f t="shared" ref="AJ179:AJ180" si="155">IF(AI179=0,0,AK179/AI179)</f>
        <v>0</v>
      </c>
      <c r="AK179" s="351">
        <f>SUMIFS(BalDip!$N$80:$N$106,BalDip!$C$80:$C$106,Used_before_Trf!A179)+SUMIFS(BalDip!$N$161:$N$184,BalDip!$C$161:$C$184,Used_before_Trf!A179)</f>
        <v>0</v>
      </c>
      <c r="AL179" s="363">
        <f t="shared" si="128"/>
        <v>0</v>
      </c>
      <c r="AM179" s="364">
        <f t="shared" ref="AM179:AM180" si="156">IF(AL179=0,0,AN179/AL179)</f>
        <v>0</v>
      </c>
      <c r="AN179" s="441">
        <f t="shared" si="130"/>
        <v>0</v>
      </c>
      <c r="AO179" s="497"/>
    </row>
    <row r="180" spans="1:41" s="365" customFormat="1" ht="15" customHeight="1">
      <c r="A180" s="347" t="s">
        <v>575</v>
      </c>
      <c r="B180" s="348" t="s">
        <v>576</v>
      </c>
      <c r="C180" s="349">
        <f>_xlfn.XLOOKUP(B180,'NBR Latex-Comp'!B:B,'NBR Latex-Comp'!AC:AC,0)</f>
        <v>8377</v>
      </c>
      <c r="D180" s="350">
        <f t="shared" si="142"/>
        <v>45.277799928375316</v>
      </c>
      <c r="E180" s="351">
        <f>_xlfn.XLOOKUP(B180,'NBR Latex-Comp'!B:B,'NBR Latex-Comp'!AD:AD,0)</f>
        <v>379292.13</v>
      </c>
      <c r="F180" s="349">
        <f>_xlfn.XLOOKUP(B180,'NBR Latex-Comp'!B:B,'NBR Latex-Comp'!F:F,0)</f>
        <v>0</v>
      </c>
      <c r="G180" s="351">
        <f>_xlfn.XLOOKUP(B180,'NBR Latex-Comp'!B:B,'NBR Latex-Comp'!G:G,0)</f>
        <v>0</v>
      </c>
      <c r="H180" s="350">
        <f t="shared" si="143"/>
        <v>8377</v>
      </c>
      <c r="I180" s="350">
        <f t="shared" si="144"/>
        <v>45.277799928375316</v>
      </c>
      <c r="J180" s="350">
        <f t="shared" si="145"/>
        <v>379292.13</v>
      </c>
      <c r="K180" s="352"/>
      <c r="L180" s="353"/>
      <c r="M180" s="354"/>
      <c r="N180" s="353"/>
      <c r="O180" s="353"/>
      <c r="P180" s="353"/>
      <c r="Q180" s="355"/>
      <c r="R180" s="353"/>
      <c r="S180" s="356"/>
      <c r="T180" s="357">
        <f t="shared" si="146"/>
        <v>8377</v>
      </c>
      <c r="U180" s="507">
        <f t="shared" si="147"/>
        <v>45.277799928375316</v>
      </c>
      <c r="V180" s="359">
        <f t="shared" si="148"/>
        <v>379292.13</v>
      </c>
      <c r="W180" s="349">
        <f>SUMIF('CHE-last month'!$A:$A,Used_before_Trf!A180,'CHE-last month'!C:C)</f>
        <v>0</v>
      </c>
      <c r="X180" s="520">
        <f t="shared" si="149"/>
        <v>0</v>
      </c>
      <c r="Y180" s="360">
        <f>SUMIF('CHE-last month'!$A:$A,Used_before_Trf!A180,'CHE-last month'!E:E)</f>
        <v>0</v>
      </c>
      <c r="Z180" s="350">
        <f t="shared" si="150"/>
        <v>8376.9995180281749</v>
      </c>
      <c r="AA180" s="520">
        <f t="shared" si="151"/>
        <v>45.27780253343979</v>
      </c>
      <c r="AB180" s="350">
        <f t="shared" si="152"/>
        <v>379292.13</v>
      </c>
      <c r="AC180" s="557">
        <f>SUMIFS(BalCom!M:M,BalCom!N:N,Used_before_Trf!A180,BalCom!C:C,Used_before_Trf!$AC$1)-5021.07</f>
        <v>8376.9995180281749</v>
      </c>
      <c r="AD180" s="507">
        <f t="shared" si="153"/>
        <v>45.27780253343979</v>
      </c>
      <c r="AE180" s="181">
        <f>SUMIFS(BalCom!P:P,BalCom!N:N,Used_before_Trf!A180,BalCom!C:C,Used_before_Trf!$AC$1)-227342.98</f>
        <v>379292.13</v>
      </c>
      <c r="AF180" s="361">
        <f>SUMIFS(BalDis!I:I,BalDis!J:J,Used_before_Trf!A180)</f>
        <v>0</v>
      </c>
      <c r="AG180" s="358">
        <f t="shared" si="154"/>
        <v>0</v>
      </c>
      <c r="AH180" s="362">
        <f>SUMIFS(BalDis!L:L,BalDis!J:J,Used_before_Trf!A180)</f>
        <v>0</v>
      </c>
      <c r="AI180" s="350">
        <f>SUMIFS(BalDip!$N$49:$N$75,BalDip!$C$49:$C$75,Used_before_Trf!A180)+SUMIFS(BalDip!$N$134:$N$157,BalDip!$C$134:$C$157,Used_before_Trf!A180)</f>
        <v>0</v>
      </c>
      <c r="AJ180" s="358">
        <f t="shared" si="155"/>
        <v>0</v>
      </c>
      <c r="AK180" s="351">
        <f>SUMIFS(BalDip!$N$80:$N$106,BalDip!$C$80:$C$106,Used_before_Trf!A180)+SUMIFS(BalDip!$N$161:$N$184,BalDip!$C$161:$C$184,Used_before_Trf!A180)</f>
        <v>0</v>
      </c>
      <c r="AL180" s="363">
        <f t="shared" si="128"/>
        <v>4.8197182513831649E-4</v>
      </c>
      <c r="AM180" s="364">
        <f t="shared" si="156"/>
        <v>0</v>
      </c>
      <c r="AN180" s="441">
        <f t="shared" si="130"/>
        <v>0</v>
      </c>
      <c r="AO180" s="497" t="s">
        <v>745</v>
      </c>
    </row>
    <row r="181" spans="1:41" s="365" customFormat="1" ht="15" customHeight="1">
      <c r="A181" s="347"/>
      <c r="B181" s="348"/>
      <c r="C181" s="349">
        <f>_xlfn.XLOOKUP(B181,'NBR Latex-Comp'!B:B,'NBR Latex-Comp'!AC:AC,0)</f>
        <v>0</v>
      </c>
      <c r="D181" s="350">
        <f t="shared" si="117"/>
        <v>0</v>
      </c>
      <c r="E181" s="351">
        <f>_xlfn.XLOOKUP(B181,'NBR Latex-Comp'!B:B,'NBR Latex-Comp'!AD:AD,0)</f>
        <v>0</v>
      </c>
      <c r="F181" s="349">
        <f>_xlfn.XLOOKUP(B181,'NBR Latex-Comp'!B:B,'NBR Latex-Comp'!F:F,0)</f>
        <v>0</v>
      </c>
      <c r="G181" s="351">
        <f>_xlfn.XLOOKUP(B181,'NBR Latex-Comp'!B:B,'NBR Latex-Comp'!G:G,0)</f>
        <v>0</v>
      </c>
      <c r="H181" s="350">
        <f t="shared" si="118"/>
        <v>0</v>
      </c>
      <c r="I181" s="350">
        <f t="shared" si="119"/>
        <v>0</v>
      </c>
      <c r="J181" s="350">
        <f t="shared" si="120"/>
        <v>0</v>
      </c>
      <c r="K181" s="352"/>
      <c r="L181" s="353"/>
      <c r="M181" s="354"/>
      <c r="N181" s="353"/>
      <c r="O181" s="353"/>
      <c r="P181" s="353"/>
      <c r="Q181" s="355"/>
      <c r="R181" s="353"/>
      <c r="S181" s="356"/>
      <c r="T181" s="357">
        <f t="shared" si="138"/>
        <v>0</v>
      </c>
      <c r="U181" s="507">
        <f t="shared" si="139"/>
        <v>0</v>
      </c>
      <c r="V181" s="359">
        <f t="shared" si="140"/>
        <v>0</v>
      </c>
      <c r="W181" s="349">
        <f>SUMIF('CHE-last month'!$A:$A,Used_before_Trf!A181,'CHE-last month'!C:C)</f>
        <v>0</v>
      </c>
      <c r="X181" s="520">
        <f t="shared" si="123"/>
        <v>0</v>
      </c>
      <c r="Y181" s="360">
        <f>SUMIF('CHE-last month'!$A:$A,Used_before_Trf!A181,'CHE-last month'!E:E)</f>
        <v>0</v>
      </c>
      <c r="Z181" s="350">
        <f t="shared" ref="Z181:Z183" si="157">+AC181+AF181+AI181</f>
        <v>0</v>
      </c>
      <c r="AA181" s="520">
        <f t="shared" si="124"/>
        <v>0</v>
      </c>
      <c r="AB181" s="350">
        <f t="shared" si="125"/>
        <v>0</v>
      </c>
      <c r="AC181" s="361">
        <f>SUMIFS(BalCom!M:M,BalCom!N:N,Used_before_Trf!A181,BalCom!C:C,Used_before_Trf!$AC$1)</f>
        <v>0</v>
      </c>
      <c r="AD181" s="358">
        <f t="shared" si="135"/>
        <v>0</v>
      </c>
      <c r="AE181" s="350">
        <f>SUMIFS(BalCom!P:P,BalCom!N:N,Used_before_Trf!A181,BalCom!C:C,Used_before_Trf!$AC$1)</f>
        <v>0</v>
      </c>
      <c r="AF181" s="361">
        <f>SUMIFS(BalDis!I:I,BalDis!J:J,Used_before_Trf!A181)</f>
        <v>0</v>
      </c>
      <c r="AG181" s="358">
        <f t="shared" si="136"/>
        <v>0</v>
      </c>
      <c r="AH181" s="362">
        <f>SUMIFS(BalDis!L:L,BalDis!J:J,Used_before_Trf!A181)</f>
        <v>0</v>
      </c>
      <c r="AI181" s="350">
        <f>SUMIFS(BalDip!$N$49:$N$75,BalDip!$C$49:$C$75,Used_before_Trf!A181)+SUMIFS(BalDip!$N$134:$N$157,BalDip!$C$134:$C$157,Used_before_Trf!A181)</f>
        <v>0</v>
      </c>
      <c r="AJ181" s="358">
        <f t="shared" si="137"/>
        <v>0</v>
      </c>
      <c r="AK181" s="351">
        <f>SUMIFS(BalDip!$N$80:$N$106,BalDip!$C$80:$C$106,Used_before_Trf!A181)+SUMIFS(BalDip!$N$161:$N$184,BalDip!$C$161:$C$184,Used_before_Trf!A181)</f>
        <v>0</v>
      </c>
      <c r="AL181" s="363">
        <f t="shared" si="128"/>
        <v>0</v>
      </c>
      <c r="AM181" s="364">
        <f t="shared" si="129"/>
        <v>0</v>
      </c>
      <c r="AN181" s="441">
        <f t="shared" si="130"/>
        <v>0</v>
      </c>
      <c r="AO181" s="497"/>
    </row>
    <row r="182" spans="1:41" s="365" customFormat="1" ht="15" customHeight="1">
      <c r="A182" s="347"/>
      <c r="B182" s="348"/>
      <c r="C182" s="349">
        <f>_xlfn.XLOOKUP(B182,'NBR Latex-Comp'!B:B,'NBR Latex-Comp'!AC:AC,0)</f>
        <v>0</v>
      </c>
      <c r="D182" s="350">
        <f t="shared" si="117"/>
        <v>0</v>
      </c>
      <c r="E182" s="351">
        <f>_xlfn.XLOOKUP(B182,'NBR Latex-Comp'!B:B,'NBR Latex-Comp'!AD:AD,0)</f>
        <v>0</v>
      </c>
      <c r="F182" s="349">
        <f>_xlfn.XLOOKUP(B182,'NBR Latex-Comp'!B:B,'NBR Latex-Comp'!F:F,0)</f>
        <v>0</v>
      </c>
      <c r="G182" s="351">
        <f>_xlfn.XLOOKUP(B182,'NBR Latex-Comp'!B:B,'NBR Latex-Comp'!G:G,0)</f>
        <v>0</v>
      </c>
      <c r="H182" s="350">
        <f t="shared" si="118"/>
        <v>0</v>
      </c>
      <c r="I182" s="350">
        <f t="shared" si="119"/>
        <v>0</v>
      </c>
      <c r="J182" s="350">
        <f t="shared" si="120"/>
        <v>0</v>
      </c>
      <c r="K182" s="352"/>
      <c r="L182" s="353"/>
      <c r="M182" s="354"/>
      <c r="N182" s="353"/>
      <c r="O182" s="353"/>
      <c r="P182" s="353"/>
      <c r="Q182" s="355"/>
      <c r="R182" s="353"/>
      <c r="S182" s="356"/>
      <c r="T182" s="357">
        <f t="shared" si="138"/>
        <v>0</v>
      </c>
      <c r="U182" s="507">
        <f t="shared" si="139"/>
        <v>0</v>
      </c>
      <c r="V182" s="359">
        <f t="shared" si="140"/>
        <v>0</v>
      </c>
      <c r="W182" s="349">
        <f>SUMIF('CHE-last month'!$A:$A,Used_before_Trf!A182,'CHE-last month'!C:C)</f>
        <v>0</v>
      </c>
      <c r="X182" s="520">
        <f t="shared" si="123"/>
        <v>0</v>
      </c>
      <c r="Y182" s="360">
        <f>SUMIF('CHE-last month'!$A:$A,Used_before_Trf!A182,'CHE-last month'!E:E)</f>
        <v>0</v>
      </c>
      <c r="Z182" s="350">
        <f t="shared" si="157"/>
        <v>0</v>
      </c>
      <c r="AA182" s="520">
        <f t="shared" si="124"/>
        <v>0</v>
      </c>
      <c r="AB182" s="350">
        <f t="shared" si="125"/>
        <v>0</v>
      </c>
      <c r="AC182" s="361">
        <f>SUMIFS(BalCom!M:M,BalCom!N:N,Used_before_Trf!A182,BalCom!C:C,Used_before_Trf!$AC$1)</f>
        <v>0</v>
      </c>
      <c r="AD182" s="358">
        <f t="shared" si="116"/>
        <v>0</v>
      </c>
      <c r="AE182" s="350">
        <f>SUMIFS(BalCom!P:P,BalCom!N:N,Used_before_Trf!A182,BalCom!C:C,Used_before_Trf!$AC$1)</f>
        <v>0</v>
      </c>
      <c r="AF182" s="361">
        <f>SUMIFS(BalDis!I:I,BalDis!J:J,Used_before_Trf!A182)</f>
        <v>0</v>
      </c>
      <c r="AG182" s="358">
        <f t="shared" si="126"/>
        <v>0</v>
      </c>
      <c r="AH182" s="362">
        <f>SUMIFS(BalDis!L:L,BalDis!J:J,Used_before_Trf!A182)</f>
        <v>0</v>
      </c>
      <c r="AI182" s="350">
        <f>SUMIFS(BalDip!$N$49:$N$75,BalDip!$C$49:$C$75,Used_before_Trf!A182)+SUMIFS(BalDip!$N$134:$N$157,BalDip!$C$134:$C$157,Used_before_Trf!A182)</f>
        <v>0</v>
      </c>
      <c r="AJ182" s="358">
        <f t="shared" si="127"/>
        <v>0</v>
      </c>
      <c r="AK182" s="351">
        <f>SUMIFS(BalDip!$N$80:$N$106,BalDip!$C$80:$C$106,Used_before_Trf!A182)+SUMIFS(BalDip!$N$161:$N$184,BalDip!$C$161:$C$184,Used_before_Trf!A182)</f>
        <v>0</v>
      </c>
      <c r="AL182" s="363">
        <f t="shared" si="128"/>
        <v>0</v>
      </c>
      <c r="AM182" s="364">
        <f t="shared" si="129"/>
        <v>0</v>
      </c>
      <c r="AN182" s="441">
        <f t="shared" si="130"/>
        <v>0</v>
      </c>
      <c r="AO182" s="497"/>
    </row>
    <row r="183" spans="1:41" s="365" customFormat="1" ht="15" customHeight="1">
      <c r="A183" s="347"/>
      <c r="B183" s="348"/>
      <c r="C183" s="349"/>
      <c r="D183" s="350"/>
      <c r="E183" s="351"/>
      <c r="F183" s="349"/>
      <c r="G183" s="351"/>
      <c r="H183" s="350"/>
      <c r="I183" s="350"/>
      <c r="J183" s="350"/>
      <c r="K183" s="352"/>
      <c r="L183" s="353"/>
      <c r="M183" s="354"/>
      <c r="N183" s="353"/>
      <c r="O183" s="353"/>
      <c r="P183" s="353"/>
      <c r="Q183" s="355"/>
      <c r="R183" s="353"/>
      <c r="S183" s="356"/>
      <c r="T183" s="357">
        <f t="shared" si="138"/>
        <v>0</v>
      </c>
      <c r="U183" s="507">
        <f t="shared" si="139"/>
        <v>0</v>
      </c>
      <c r="V183" s="359">
        <f t="shared" si="140"/>
        <v>0</v>
      </c>
      <c r="W183" s="349">
        <f>SUMIF('CHE-last month'!$A:$A,Used_before_Trf!A183,'CHE-last month'!C:C)</f>
        <v>0</v>
      </c>
      <c r="X183" s="520">
        <f t="shared" si="123"/>
        <v>0</v>
      </c>
      <c r="Y183" s="360">
        <f>SUMIF('CHE-last month'!$A:$A,Used_before_Trf!A183,'CHE-last month'!E:E)</f>
        <v>0</v>
      </c>
      <c r="Z183" s="350">
        <f t="shared" si="157"/>
        <v>0</v>
      </c>
      <c r="AA183" s="520">
        <f t="shared" si="124"/>
        <v>0</v>
      </c>
      <c r="AB183" s="350">
        <f t="shared" si="125"/>
        <v>0</v>
      </c>
      <c r="AC183" s="361">
        <f>SUMIFS(BalCom!M:M,BalCom!N:N,Used_before_Trf!A183,BalCom!C:C,Used_before_Trf!$AC$1)</f>
        <v>0</v>
      </c>
      <c r="AD183" s="358">
        <f t="shared" si="116"/>
        <v>0</v>
      </c>
      <c r="AE183" s="350">
        <f>SUMIFS(BalCom!P:P,BalCom!N:N,Used_before_Trf!A183,BalCom!C:C,Used_before_Trf!$AC$1)</f>
        <v>0</v>
      </c>
      <c r="AF183" s="361">
        <f>SUMIFS(BalDis!I:I,BalDis!J:J,Used_before_Trf!A183)</f>
        <v>0</v>
      </c>
      <c r="AG183" s="358">
        <f t="shared" si="126"/>
        <v>0</v>
      </c>
      <c r="AH183" s="362">
        <f>SUMIFS(BalDis!L:L,BalDis!J:J,Used_before_Trf!A183)</f>
        <v>0</v>
      </c>
      <c r="AI183" s="350">
        <f>SUMIFS(BalDip!$N$49:$N$75,BalDip!$C$49:$C$75,Used_before_Trf!A183)+SUMIFS(BalDip!$N$134:$N$157,BalDip!$C$134:$C$157,Used_before_Trf!A183)</f>
        <v>0</v>
      </c>
      <c r="AJ183" s="358">
        <f t="shared" si="127"/>
        <v>0</v>
      </c>
      <c r="AK183" s="351">
        <f>SUMIFS(BalDip!$N$80:$N$106,BalDip!$C$80:$C$106,Used_before_Trf!A183)+SUMIFS(BalDip!$N$161:$N$184,BalDip!$C$161:$C$184,Used_before_Trf!A183)</f>
        <v>0</v>
      </c>
      <c r="AL183" s="363">
        <f t="shared" si="128"/>
        <v>0</v>
      </c>
      <c r="AM183" s="364">
        <f t="shared" si="129"/>
        <v>0</v>
      </c>
      <c r="AN183" s="441">
        <f t="shared" si="130"/>
        <v>0</v>
      </c>
      <c r="AO183" s="497"/>
    </row>
    <row r="184" spans="1:41" s="366" customFormat="1" ht="15" customHeight="1">
      <c r="B184" s="367"/>
      <c r="C184" s="368"/>
      <c r="E184" s="367"/>
      <c r="F184" s="368"/>
      <c r="G184" s="367"/>
      <c r="H184" s="369"/>
      <c r="I184" s="369"/>
      <c r="J184" s="369"/>
      <c r="K184" s="368"/>
      <c r="M184" s="370"/>
      <c r="Q184" s="371"/>
      <c r="S184" s="367"/>
      <c r="T184" s="368"/>
      <c r="U184" s="537"/>
      <c r="V184" s="367"/>
      <c r="W184" s="349"/>
      <c r="X184" s="520"/>
      <c r="Y184" s="360"/>
      <c r="Z184" s="350"/>
      <c r="AA184" s="520"/>
      <c r="AB184" s="350"/>
      <c r="AC184" s="361"/>
      <c r="AD184" s="358"/>
      <c r="AE184" s="350"/>
      <c r="AF184" s="361"/>
      <c r="AG184" s="358"/>
      <c r="AH184" s="362"/>
      <c r="AI184" s="350"/>
      <c r="AJ184" s="358"/>
      <c r="AK184" s="351"/>
      <c r="AL184" s="349"/>
      <c r="AM184" s="360"/>
      <c r="AN184" s="351"/>
    </row>
    <row r="185" spans="1:41" s="108" customFormat="1" ht="15" customHeight="1" thickBot="1">
      <c r="A185" s="196"/>
      <c r="B185" s="197"/>
      <c r="C185" s="198"/>
      <c r="D185" s="199"/>
      <c r="E185" s="197"/>
      <c r="F185" s="198"/>
      <c r="G185" s="197"/>
      <c r="H185" s="199"/>
      <c r="I185" s="199"/>
      <c r="J185" s="199"/>
      <c r="K185" s="198"/>
      <c r="L185" s="199"/>
      <c r="M185" s="203"/>
      <c r="N185" s="199"/>
      <c r="O185" s="199"/>
      <c r="P185" s="199"/>
      <c r="Q185" s="214"/>
      <c r="R185" s="199"/>
      <c r="S185" s="197"/>
      <c r="T185" s="198"/>
      <c r="U185" s="580"/>
      <c r="V185" s="197"/>
      <c r="W185" s="198"/>
      <c r="X185" s="581"/>
      <c r="Y185" s="442"/>
      <c r="Z185" s="442"/>
      <c r="AA185" s="581"/>
      <c r="AB185" s="199"/>
      <c r="AC185" s="442"/>
      <c r="AD185" s="442"/>
      <c r="AE185" s="199"/>
      <c r="AF185" s="442"/>
      <c r="AG185" s="442"/>
      <c r="AH185" s="203"/>
      <c r="AI185" s="203"/>
      <c r="AJ185" s="442"/>
      <c r="AK185" s="197"/>
      <c r="AL185" s="198"/>
      <c r="AM185" s="442"/>
      <c r="AN185" s="197"/>
    </row>
    <row r="186" spans="1:41" ht="15" customHeight="1">
      <c r="C186" s="13"/>
      <c r="E186" s="13"/>
      <c r="L186" s="204"/>
      <c r="M186" s="205"/>
      <c r="N186" s="205"/>
      <c r="O186" s="205"/>
      <c r="P186" s="205"/>
      <c r="S186" s="13"/>
      <c r="X186" s="525"/>
      <c r="Y186" s="13">
        <f>Y172+Y174</f>
        <v>2420412.0600000005</v>
      </c>
      <c r="AB186" s="13">
        <f>AB172+AB174</f>
        <v>2856854.2199999997</v>
      </c>
      <c r="AC186" s="13">
        <f>AC172+AC174</f>
        <v>57950.383860028567</v>
      </c>
      <c r="AE186" s="13">
        <f>AE172+AE174</f>
        <v>2100027.3400000003</v>
      </c>
      <c r="AF186" s="13">
        <f>AF172+AF174</f>
        <v>60171</v>
      </c>
      <c r="AH186" s="13">
        <f>AH172+AH174</f>
        <v>335676.25999999995</v>
      </c>
      <c r="AI186" s="13">
        <f>AI172+AI174</f>
        <v>12892.91586818362</v>
      </c>
      <c r="AK186" s="13">
        <f>AK172+AK174</f>
        <v>421150.62</v>
      </c>
      <c r="AL186" s="13">
        <f>AL172+AL174</f>
        <v>491033.32588812523</v>
      </c>
      <c r="AN186" s="13">
        <f>AN172+AN174</f>
        <v>16058646.98</v>
      </c>
    </row>
    <row r="187" spans="1:41" ht="15" customHeight="1">
      <c r="E187" s="13"/>
      <c r="X187" s="526" t="s">
        <v>670</v>
      </c>
      <c r="Y187" s="218">
        <f>'CHE-last month'!E185-Used_before_Trf!Y186</f>
        <v>0</v>
      </c>
      <c r="Z187" s="13"/>
      <c r="AB187" s="218"/>
      <c r="AC187" s="510">
        <f>BalCom[[#Totals],[Bal. Kg Wet]]-AC186</f>
        <v>0</v>
      </c>
      <c r="AE187" s="218">
        <f>AE186-BalCom[[#Totals],[Cost (Baht)]]</f>
        <v>0</v>
      </c>
      <c r="AF187" s="510">
        <f>AF186-BalDis[[#Totals],[Bal. Kg]]</f>
        <v>0</v>
      </c>
      <c r="AH187" s="218">
        <f>AH186-BalDis[[#Totals],[Cost (Baht)]]</f>
        <v>0</v>
      </c>
      <c r="AI187" s="510">
        <f>BalDip!N75+BalDip!N157-AI186</f>
        <v>0</v>
      </c>
      <c r="AK187" s="218">
        <f>Used_before_Trf!AK186-BalDip!N106-BalDip!N184</f>
        <v>0</v>
      </c>
      <c r="AL187" s="13"/>
      <c r="AN187" s="13"/>
    </row>
    <row r="188" spans="1:41" ht="15" customHeight="1">
      <c r="Y188" s="219"/>
      <c r="Z188" s="220"/>
      <c r="AB188" s="220"/>
      <c r="AC188" s="220"/>
      <c r="AE188" s="220"/>
      <c r="AF188" s="220"/>
      <c r="AH188" s="220"/>
      <c r="AI188" s="220"/>
      <c r="AK188" s="220"/>
      <c r="AN188" s="13"/>
    </row>
    <row r="191" spans="1:41" ht="15" customHeight="1">
      <c r="AC191" s="570">
        <v>8377</v>
      </c>
      <c r="AD191" s="571">
        <v>45.277799928375316</v>
      </c>
      <c r="AE191" s="570">
        <v>379292.13</v>
      </c>
      <c r="AF191" s="1"/>
    </row>
    <row r="192" spans="1:41" ht="15" customHeight="1">
      <c r="AC192" s="570">
        <v>5021.0695180281746</v>
      </c>
      <c r="AD192" s="570">
        <f>AE192/AC192</f>
        <v>45.27779971651934</v>
      </c>
      <c r="AE192" s="570">
        <v>227342.97999999998</v>
      </c>
      <c r="AF192" s="1"/>
    </row>
    <row r="193" spans="29:32" ht="15" customHeight="1">
      <c r="AC193" s="568"/>
      <c r="AD193" s="569"/>
      <c r="AE193" s="568"/>
      <c r="AF193" s="1"/>
    </row>
    <row r="194" spans="29:32" ht="15" customHeight="1">
      <c r="AC194" s="568"/>
      <c r="AD194" s="569"/>
      <c r="AE194" s="568"/>
      <c r="AF194" s="1"/>
    </row>
  </sheetData>
  <autoFilter ref="A4:AN183" xr:uid="{00000000-0009-0000-0000-000007000000}"/>
  <sortState xmlns:xlrd2="http://schemas.microsoft.com/office/spreadsheetml/2017/richdata2" ref="A5:AN94">
    <sortCondition ref="A5:A94"/>
    <sortCondition ref="B5:B94"/>
  </sortState>
  <phoneticPr fontId="68" type="noConversion"/>
  <pageMargins left="0.16" right="0.16" top="0.28000000000000003" bottom="0.28999999999999998" header="0.3" footer="0.3"/>
  <pageSetup paperSize="9" scale="50" orientation="landscape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F9A-8D83-4231-A7C9-EBC0D97F9099}">
  <sheetPr>
    <tabColor rgb="FFC00000"/>
  </sheetPr>
  <dimension ref="B1:I48"/>
  <sheetViews>
    <sheetView workbookViewId="0">
      <selection activeCell="E20" sqref="E20"/>
    </sheetView>
  </sheetViews>
  <sheetFormatPr defaultColWidth="9" defaultRowHeight="12"/>
  <cols>
    <col min="1" max="1" width="4.875" style="449" customWidth="1"/>
    <col min="2" max="2" width="9" style="449"/>
    <col min="3" max="3" width="11.625" style="449" customWidth="1"/>
    <col min="4" max="4" width="9.75" style="449" bestFit="1" customWidth="1"/>
    <col min="5" max="5" width="12.75" style="450" bestFit="1" customWidth="1"/>
    <col min="6" max="8" width="9" style="449"/>
    <col min="9" max="9" width="9.25" style="449" bestFit="1" customWidth="1"/>
    <col min="10" max="16384" width="9" style="449"/>
  </cols>
  <sheetData>
    <row r="1" spans="2:6" ht="15.75">
      <c r="B1" s="500" t="s">
        <v>746</v>
      </c>
    </row>
    <row r="2" spans="2:6">
      <c r="B2" s="453" t="s">
        <v>614</v>
      </c>
      <c r="C2" s="454"/>
      <c r="D2" s="454"/>
      <c r="E2" s="456"/>
    </row>
    <row r="3" spans="2:6">
      <c r="B3" s="454"/>
      <c r="C3" s="454"/>
      <c r="D3" s="454"/>
      <c r="E3" s="456"/>
    </row>
    <row r="4" spans="2:6">
      <c r="B4" s="454"/>
      <c r="C4" s="455" t="s">
        <v>706</v>
      </c>
      <c r="D4" s="455" t="s">
        <v>626</v>
      </c>
      <c r="E4" s="474" t="s">
        <v>747</v>
      </c>
      <c r="F4" s="451"/>
    </row>
    <row r="5" spans="2:6">
      <c r="B5" s="454" t="s">
        <v>748</v>
      </c>
      <c r="C5" s="456">
        <f>SUMIFS(BalCom!M:M,BalCom!$A:$A,Sum!$B5)</f>
        <v>42070.655957679046</v>
      </c>
      <c r="D5" s="457">
        <f>E5/C5</f>
        <v>45.64148469497578</v>
      </c>
      <c r="E5" s="456">
        <f>SUMIFS(BalCom!P:P,BalCom!$A:$A,Sum!$B5)</f>
        <v>1920167.1999999997</v>
      </c>
    </row>
    <row r="6" spans="2:6">
      <c r="B6" s="454" t="s">
        <v>749</v>
      </c>
      <c r="C6" s="456">
        <f>SUMIFS(BalCom!M:M,BalCom!$A:$A,Sum!$B6)</f>
        <v>15879.727902349519</v>
      </c>
      <c r="D6" s="457">
        <f>E6/C6</f>
        <v>11.326399363139487</v>
      </c>
      <c r="E6" s="456">
        <f>SUMIFS(BalCom!P:P,BalCom!$A:$A,Sum!$B6)</f>
        <v>179860.13999999993</v>
      </c>
    </row>
    <row r="7" spans="2:6" ht="12.75" thickBot="1">
      <c r="B7" s="582"/>
      <c r="C7" s="583">
        <f>SUM(C5:C6)</f>
        <v>57950.383860028567</v>
      </c>
      <c r="D7" s="584">
        <f>E7/C7</f>
        <v>36.23836806797236</v>
      </c>
      <c r="E7" s="585">
        <f>SUM(E5:E6)</f>
        <v>2100027.34</v>
      </c>
    </row>
    <row r="8" spans="2:6">
      <c r="B8" s="454" t="s">
        <v>670</v>
      </c>
      <c r="C8" s="457">
        <f>BalCom[[#Totals],[Bal. Kg Wet]]-C7</f>
        <v>0</v>
      </c>
      <c r="D8" s="454"/>
      <c r="E8" s="456">
        <f>BalCom[[#Totals],[Cost (Baht)]]-E7</f>
        <v>0</v>
      </c>
    </row>
    <row r="11" spans="2:6">
      <c r="B11" s="458" t="s">
        <v>666</v>
      </c>
      <c r="C11" s="459"/>
      <c r="D11" s="459"/>
      <c r="E11" s="475"/>
    </row>
    <row r="12" spans="2:6">
      <c r="B12" s="459"/>
      <c r="C12" s="460" t="s">
        <v>706</v>
      </c>
      <c r="D12" s="460" t="s">
        <v>626</v>
      </c>
      <c r="E12" s="476" t="s">
        <v>747</v>
      </c>
    </row>
    <row r="13" spans="2:6">
      <c r="B13" s="459" t="s">
        <v>749</v>
      </c>
      <c r="C13" s="461">
        <f>BalDis[[#Totals],[Bal. Kg]]</f>
        <v>60171</v>
      </c>
      <c r="D13" s="461">
        <f>+E13/C13</f>
        <v>5.5787050240148908</v>
      </c>
      <c r="E13" s="475">
        <f>BalDis[[#Totals],[Cost (Baht)]]</f>
        <v>335676.26</v>
      </c>
    </row>
    <row r="14" spans="2:6">
      <c r="B14" s="459"/>
      <c r="C14" s="461"/>
      <c r="D14" s="459"/>
      <c r="E14" s="475"/>
    </row>
    <row r="17" spans="2:5">
      <c r="B17" s="462" t="s">
        <v>750</v>
      </c>
      <c r="C17" s="463"/>
      <c r="D17" s="463"/>
      <c r="E17" s="465"/>
    </row>
    <row r="18" spans="2:5" s="332" customFormat="1" ht="18" hidden="1" customHeight="1">
      <c r="B18" s="472"/>
      <c r="C18" s="473" t="s">
        <v>170</v>
      </c>
      <c r="D18" s="473"/>
      <c r="E18" s="477" t="s">
        <v>711</v>
      </c>
    </row>
    <row r="19" spans="2:5">
      <c r="B19" s="463"/>
      <c r="C19" s="464" t="s">
        <v>706</v>
      </c>
      <c r="D19" s="464" t="s">
        <v>626</v>
      </c>
      <c r="E19" s="478" t="s">
        <v>747</v>
      </c>
    </row>
    <row r="20" spans="2:5">
      <c r="B20" s="463" t="s">
        <v>751</v>
      </c>
      <c r="C20" s="465">
        <f>SUMIFS(BalDip!N:N,BalDip!$A:$A,Sum!$B20,BalDip!$B:$B,Sum!C$18)</f>
        <v>7366.9542862061026</v>
      </c>
      <c r="D20" s="466">
        <f>E20/C20</f>
        <v>44.530046916979366</v>
      </c>
      <c r="E20" s="465">
        <f>SUMIFS(BalDip!N:N,BalDip!$A:$A,Sum!$B20,BalDip!$B:$B,Sum!E$18)</f>
        <v>328050.82</v>
      </c>
    </row>
    <row r="21" spans="2:5">
      <c r="B21" s="463" t="s">
        <v>752</v>
      </c>
      <c r="C21" s="465">
        <f>SUMIFS(BalDip!N:N,BalDip!$A:$A,Sum!$B21,BalDip!$B:$B,Sum!C$18)</f>
        <v>2822.6815819775175</v>
      </c>
      <c r="D21" s="466">
        <f>E21/C21</f>
        <v>11.643544992763474</v>
      </c>
      <c r="E21" s="465">
        <f>SUMIFS(BalDip!N:N,BalDip!$A:$A,Sum!$B21,BalDip!$B:$B,Sum!E$18)</f>
        <v>32866.020000000004</v>
      </c>
    </row>
    <row r="22" spans="2:5">
      <c r="B22" s="463"/>
      <c r="C22" s="465"/>
      <c r="D22" s="466"/>
      <c r="E22" s="465"/>
    </row>
    <row r="23" spans="2:5">
      <c r="B23" s="463" t="s">
        <v>753</v>
      </c>
      <c r="C23" s="465">
        <f>SUMIFS(BalDip!N:N,BalDip!$A:$A,Sum!$B23,BalDip!$B:$B,Sum!C$18)</f>
        <v>2426.5600000000004</v>
      </c>
      <c r="D23" s="466">
        <f>E23/C23</f>
        <v>23.615356718976656</v>
      </c>
      <c r="E23" s="465">
        <f>SUMIFS(BalDip!N:N,BalDip!$A:$A,Sum!$B23,BalDip!$B:$B,Sum!E$18)</f>
        <v>57304.08</v>
      </c>
    </row>
    <row r="24" spans="2:5">
      <c r="B24" s="463" t="s">
        <v>731</v>
      </c>
      <c r="C24" s="465">
        <f>SUMIFS(BalDip!N:N,BalDip!$A:$A,Sum!$B24,BalDip!$B:$B,Sum!C$18)</f>
        <v>276.71999999999997</v>
      </c>
      <c r="D24" s="466">
        <f>E24/C24</f>
        <v>10.587236195432208</v>
      </c>
      <c r="E24" s="465">
        <f>SUMIFS(BalDip!N:N,BalDip!$A:$A,Sum!$B24,BalDip!$B:$B,Sum!E$18)</f>
        <v>2929.7000000000003</v>
      </c>
    </row>
    <row r="25" spans="2:5" ht="12.75" thickBot="1">
      <c r="B25" s="586"/>
      <c r="C25" s="587">
        <f>SUM(C20:C24)</f>
        <v>12892.915868183622</v>
      </c>
      <c r="D25" s="588">
        <f>E25/C25</f>
        <v>32.665273263691326</v>
      </c>
      <c r="E25" s="589">
        <f>SUM(E20:E24)</f>
        <v>421150.62000000005</v>
      </c>
    </row>
    <row r="26" spans="2:5">
      <c r="B26" s="463" t="s">
        <v>670</v>
      </c>
      <c r="C26" s="466">
        <f>SUMIFS(BalDip!$N:$N,BalDip!$E:$E,"TOTAL KGS")-C25</f>
        <v>0</v>
      </c>
      <c r="D26" s="463"/>
      <c r="E26" s="465">
        <f>SUMIFS(BalDip!$N:$N,BalDip!$E:$E,"TOTAL BAHT")-E25</f>
        <v>0</v>
      </c>
    </row>
    <row r="29" spans="2:5">
      <c r="B29" s="482" t="s">
        <v>754</v>
      </c>
      <c r="C29" s="483"/>
      <c r="D29" s="483"/>
      <c r="E29" s="484"/>
    </row>
    <row r="30" spans="2:5">
      <c r="B30" s="483"/>
      <c r="C30" s="485" t="s">
        <v>706</v>
      </c>
      <c r="D30" s="485" t="s">
        <v>626</v>
      </c>
      <c r="E30" s="486" t="s">
        <v>747</v>
      </c>
    </row>
    <row r="31" spans="2:5">
      <c r="B31" s="483" t="s">
        <v>755</v>
      </c>
      <c r="C31" s="487">
        <f>'Che.-Prod'!P18</f>
        <v>3440</v>
      </c>
      <c r="D31" s="487">
        <f>+E31/C31</f>
        <v>12.199418604651163</v>
      </c>
      <c r="E31" s="484">
        <f>'Che.-Prod'!R18</f>
        <v>41966</v>
      </c>
    </row>
    <row r="32" spans="2:5">
      <c r="B32" s="483"/>
      <c r="C32" s="487"/>
      <c r="D32" s="483"/>
      <c r="E32" s="484"/>
    </row>
    <row r="35" spans="2:9">
      <c r="B35" s="488" t="s">
        <v>756</v>
      </c>
      <c r="C35" s="488"/>
      <c r="D35" s="488"/>
      <c r="E35" s="489" t="s">
        <v>4</v>
      </c>
    </row>
    <row r="36" spans="2:9">
      <c r="B36" s="488" t="s">
        <v>757</v>
      </c>
      <c r="C36" s="490">
        <f>'NBR Latex-Comp'!AD13</f>
        <v>13082080.24</v>
      </c>
      <c r="D36" s="488"/>
      <c r="E36" s="489" t="s">
        <v>758</v>
      </c>
    </row>
    <row r="37" spans="2:9">
      <c r="B37" s="488" t="s">
        <v>759</v>
      </c>
      <c r="C37" s="488"/>
      <c r="D37" s="490">
        <f>C36</f>
        <v>13082080.24</v>
      </c>
      <c r="E37" s="489"/>
      <c r="I37" s="508"/>
    </row>
    <row r="38" spans="2:9">
      <c r="B38" s="488" t="s">
        <v>759</v>
      </c>
      <c r="C38" s="490">
        <f>'NBR Latex-Comp'!G13</f>
        <v>0</v>
      </c>
      <c r="D38" s="488"/>
      <c r="E38" s="489"/>
    </row>
    <row r="39" spans="2:9">
      <c r="B39" s="488" t="s">
        <v>757</v>
      </c>
      <c r="C39" s="488"/>
      <c r="D39" s="490">
        <f>C38</f>
        <v>0</v>
      </c>
      <c r="E39" s="489" t="s">
        <v>758</v>
      </c>
      <c r="F39" s="450" t="s">
        <v>760</v>
      </c>
    </row>
    <row r="42" spans="2:9">
      <c r="B42" s="488" t="s">
        <v>761</v>
      </c>
      <c r="C42" s="488"/>
      <c r="D42" s="488"/>
      <c r="E42" s="489"/>
    </row>
    <row r="43" spans="2:9">
      <c r="B43" s="488" t="s">
        <v>762</v>
      </c>
      <c r="C43" s="490">
        <f>'Che-Comp'!AE30</f>
        <v>3200898.37</v>
      </c>
      <c r="D43" s="488"/>
      <c r="E43" s="489" t="s">
        <v>758</v>
      </c>
    </row>
    <row r="44" spans="2:9">
      <c r="B44" s="488" t="s">
        <v>763</v>
      </c>
      <c r="C44" s="488"/>
      <c r="D44" s="490">
        <f>C43</f>
        <v>3200898.37</v>
      </c>
      <c r="E44" s="489"/>
      <c r="I44" s="508"/>
    </row>
    <row r="45" spans="2:9">
      <c r="B45" s="488" t="s">
        <v>763</v>
      </c>
      <c r="C45" s="490">
        <f>'Che-Comp'!G30</f>
        <v>781.78</v>
      </c>
      <c r="D45" s="488"/>
      <c r="E45" s="489"/>
    </row>
    <row r="46" spans="2:9">
      <c r="B46" s="488" t="s">
        <v>762</v>
      </c>
      <c r="C46" s="488"/>
      <c r="D46" s="490">
        <f>C45</f>
        <v>781.78</v>
      </c>
      <c r="E46" s="489" t="s">
        <v>758</v>
      </c>
      <c r="F46" s="450" t="s">
        <v>760</v>
      </c>
    </row>
    <row r="47" spans="2:9">
      <c r="B47" s="488" t="s">
        <v>762</v>
      </c>
      <c r="C47" s="490"/>
      <c r="D47" s="488"/>
      <c r="E47" s="489"/>
    </row>
    <row r="48" spans="2:9">
      <c r="B48" s="488" t="s">
        <v>763</v>
      </c>
      <c r="C48" s="488"/>
      <c r="D48" s="490"/>
      <c r="E48" s="489" t="s">
        <v>758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topLeftCell="F1" workbookViewId="0">
      <selection activeCell="J2" sqref="J2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May'26</v>
      </c>
      <c r="G2" s="404">
        <f>ROUND(SUM(Sum!E5),2)</f>
        <v>1920167.2</v>
      </c>
      <c r="H2" s="404"/>
      <c r="J2" s="593">
        <v>46173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May'26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4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May'26</v>
      </c>
      <c r="G4" s="404"/>
      <c r="H4" s="404">
        <f>G2</f>
        <v>1920167.2</v>
      </c>
      <c r="M4" s="448" t="s">
        <v>758</v>
      </c>
      <c r="N4" s="244">
        <f t="shared" ref="N4:N7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May'26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May'26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May'26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May'26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May'26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May'26</v>
      </c>
      <c r="G10" s="404"/>
      <c r="H10" s="404">
        <f>G8</f>
        <v>328050.82</v>
      </c>
      <c r="M10" s="448" t="s">
        <v>758</v>
      </c>
      <c r="N10" s="244">
        <f t="shared" ref="N10:N11" si="4">G10+H10</f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May'26</v>
      </c>
      <c r="G11" s="404"/>
      <c r="H11" s="404">
        <f>G9</f>
        <v>32866.019999999997</v>
      </c>
      <c r="M11" s="448" t="s">
        <v>758</v>
      </c>
      <c r="N11" s="244">
        <f t="shared" si="4"/>
        <v>32866.019999999997</v>
      </c>
    </row>
    <row r="12" spans="1:14" ht="15" customHeight="1">
      <c r="A12" s="446">
        <f t="shared" si="0"/>
        <v>11</v>
      </c>
      <c r="B12" s="447" t="s">
        <v>763</v>
      </c>
      <c r="C12" s="82" t="str">
        <f>_xlfn.XLOOKUP(B12,Code!B:B,Code!C:C,0)</f>
        <v>CHEMICAL FOR NR GLOVES</v>
      </c>
      <c r="F12" s="332" t="str">
        <f>"Balance Dispersion in Dipping lines of "&amp;TEXT(J2,"[$-en-US]mmm'yy")</f>
        <v>Balance Dispersion in Dipping lines of May'26</v>
      </c>
      <c r="G12" s="404">
        <f>ROUND(SUM(Sum!E23+Sum!E24),2)</f>
        <v>60233.78</v>
      </c>
      <c r="H12" s="404"/>
      <c r="M12" s="448"/>
      <c r="N12" s="244"/>
    </row>
    <row r="13" spans="1:14" ht="15" customHeight="1">
      <c r="A13" s="446">
        <f t="shared" si="0"/>
        <v>12</v>
      </c>
      <c r="B13" s="447" t="s">
        <v>762</v>
      </c>
      <c r="C13" s="82" t="str">
        <f>_xlfn.XLOOKUP(B13,Code!B:B,Code!C:C,0)</f>
        <v>PURCHASES - CHEMICAL</v>
      </c>
      <c r="F13" s="225" t="str">
        <f>+$F$12</f>
        <v>Balance Dispersion in Dipping lines of May'26</v>
      </c>
      <c r="G13" s="404"/>
      <c r="H13" s="404">
        <f>ROUND(SUM(Sum!E23),2)</f>
        <v>57304.08</v>
      </c>
      <c r="M13" s="448" t="s">
        <v>758</v>
      </c>
      <c r="N13" s="244">
        <f>G13+H13</f>
        <v>57304.08</v>
      </c>
    </row>
    <row r="14" spans="1:14" ht="15" customHeight="1">
      <c r="A14" s="446">
        <f t="shared" si="0"/>
        <v>13</v>
      </c>
      <c r="B14" s="446" t="s">
        <v>762</v>
      </c>
      <c r="C14" s="82" t="str">
        <f>_xlfn.XLOOKUP(B14,Code!B:B,Code!C:C,0)</f>
        <v>PURCHASES - CHEMICAL</v>
      </c>
      <c r="F14" s="225" t="str">
        <f>+$F$12</f>
        <v>Balance Dispersion in Dipping lines of May'26</v>
      </c>
      <c r="G14" s="405"/>
      <c r="H14" s="405">
        <f>ROUND(SUM(Sum!E24),2)</f>
        <v>2929.7</v>
      </c>
      <c r="M14" s="225" t="s">
        <v>776</v>
      </c>
      <c r="N14" s="244">
        <f>G14+H14</f>
        <v>2929.7</v>
      </c>
    </row>
    <row r="15" spans="1:14" s="407" customFormat="1" ht="15" customHeight="1">
      <c r="A15" s="491">
        <f>A11+1</f>
        <v>11</v>
      </c>
      <c r="B15" s="491" t="s">
        <v>763</v>
      </c>
      <c r="C15" s="493" t="str">
        <f>_xlfn.XLOOKUP(B15,Code!B:B,Code!C:C,0)</f>
        <v>CHEMICAL FOR NR GLOVES</v>
      </c>
      <c r="F15" s="494" t="str">
        <f>"Balance Chemical in Production "&amp;TEXT(J2,"[$-en-US]mmm'yy")</f>
        <v>Balance Chemical in Production May'26</v>
      </c>
      <c r="G15" s="505">
        <f>ROUND(SUM(Sum!E31),2)</f>
        <v>41966</v>
      </c>
      <c r="H15" s="505"/>
      <c r="N15" s="505"/>
    </row>
    <row r="16" spans="1:14" s="407" customFormat="1" ht="15" customHeight="1">
      <c r="A16" s="491">
        <f t="shared" si="0"/>
        <v>12</v>
      </c>
      <c r="B16" s="491" t="s">
        <v>762</v>
      </c>
      <c r="C16" s="493" t="str">
        <f>_xlfn.XLOOKUP(B16,Code!B:B,Code!C:C,0)</f>
        <v>PURCHASES - CHEMICAL</v>
      </c>
      <c r="F16" s="407" t="str">
        <f>$F$15</f>
        <v>Balance Chemical in Production May'26</v>
      </c>
      <c r="G16" s="505"/>
      <c r="H16" s="505">
        <f>G15</f>
        <v>41966</v>
      </c>
      <c r="M16" s="407" t="s">
        <v>776</v>
      </c>
      <c r="N16" s="412">
        <f>H16</f>
        <v>41966</v>
      </c>
    </row>
    <row r="17" spans="1:14" ht="15" customHeight="1">
      <c r="A17" s="446">
        <f t="shared" si="0"/>
        <v>13</v>
      </c>
      <c r="B17" s="233" t="s">
        <v>757</v>
      </c>
      <c r="C17" s="82" t="str">
        <f>_xlfn.XLOOKUP(B17,Code!B:B,Code!C:C,0)</f>
        <v>PURCHASE SYNTHETICS LATEX</v>
      </c>
      <c r="F17" s="332" t="str">
        <f>"Record Issue NBR latex-Comp from stock card Com P1 of "&amp;TEXT(J2,"[$-en-US]mmm'yy")</f>
        <v>Record Issue NBR latex-Comp from stock card Com P1 of May'26</v>
      </c>
      <c r="G17" s="244">
        <f>ROUND(SUM(Sum!C36),2)</f>
        <v>13082080.24</v>
      </c>
      <c r="H17" s="244"/>
      <c r="M17" s="225" t="s">
        <v>758</v>
      </c>
      <c r="N17" s="244">
        <f>G17</f>
        <v>13082080.24</v>
      </c>
    </row>
    <row r="18" spans="1:14" ht="15" customHeight="1">
      <c r="A18" s="446">
        <f t="shared" si="0"/>
        <v>14</v>
      </c>
      <c r="B18" s="233" t="s">
        <v>759</v>
      </c>
      <c r="C18" s="82" t="str">
        <f>_xlfn.XLOOKUP(B18,Code!B:B,Code!C:C,0)</f>
        <v>SYNTHETICS  LATEX</v>
      </c>
      <c r="F18" s="225" t="str">
        <f>$F$17</f>
        <v>Record Issue NBR latex-Comp from stock card Com P1 of May'26</v>
      </c>
      <c r="H18" s="244">
        <f>ROUND(SUM(G17),2)</f>
        <v>13082080.24</v>
      </c>
    </row>
    <row r="19" spans="1:14" ht="15" customHeight="1">
      <c r="A19" s="446">
        <f t="shared" si="0"/>
        <v>15</v>
      </c>
      <c r="B19" s="233" t="s">
        <v>759</v>
      </c>
      <c r="C19" s="82" t="str">
        <f>_xlfn.XLOOKUP(B19,Code!B:B,Code!C:C,0)</f>
        <v>SYNTHETICS  LATEX</v>
      </c>
      <c r="F19" s="225" t="str">
        <f t="shared" ref="F19:F20" si="5">$F$17</f>
        <v>Record Issue NBR latex-Comp from stock card Com P1 of May'26</v>
      </c>
      <c r="G19" s="244">
        <f>ROUND(SUM(Sum!C38),2)</f>
        <v>0</v>
      </c>
      <c r="H19" s="244"/>
    </row>
    <row r="20" spans="1:14" ht="15" customHeight="1">
      <c r="A20" s="446">
        <f t="shared" si="0"/>
        <v>16</v>
      </c>
      <c r="B20" s="233" t="s">
        <v>757</v>
      </c>
      <c r="C20" s="82" t="str">
        <f>_xlfn.XLOOKUP(B20,Code!B:B,Code!C:C,0)</f>
        <v>PURCHASE SYNTHETICS LATEX</v>
      </c>
      <c r="F20" s="225" t="str">
        <f t="shared" si="5"/>
        <v>Record Issue NBR latex-Comp from stock card Com P1 of May'26</v>
      </c>
      <c r="H20" s="244">
        <f>G19</f>
        <v>0</v>
      </c>
      <c r="M20" s="225" t="s">
        <v>758</v>
      </c>
      <c r="N20" s="244">
        <f>H20</f>
        <v>0</v>
      </c>
    </row>
    <row r="21" spans="1:14" s="407" customFormat="1" ht="15" customHeight="1">
      <c r="A21" s="491">
        <f>A20+1</f>
        <v>17</v>
      </c>
      <c r="B21" s="492" t="s">
        <v>762</v>
      </c>
      <c r="C21" s="493" t="str">
        <f>_xlfn.XLOOKUP(B21,Code!B:B,Code!C:C,0)</f>
        <v>PURCHASES - CHEMICAL</v>
      </c>
      <c r="F21" s="494" t="str">
        <f>"Record Issue Che-Comp from stock card Com P1 of "&amp;TEXT(J2,"[$-en-US]mmm'yy")</f>
        <v>Record Issue Che-Comp from stock card Com P1 of May'26</v>
      </c>
      <c r="G21" s="412">
        <f>ROUND(SUM(Sum!C43),2)</f>
        <v>3200898.37</v>
      </c>
      <c r="M21" s="407" t="s">
        <v>758</v>
      </c>
      <c r="N21" s="412">
        <f>G21</f>
        <v>3200898.37</v>
      </c>
    </row>
    <row r="22" spans="1:14" s="407" customFormat="1" ht="15" customHeight="1">
      <c r="A22" s="491">
        <f t="shared" si="0"/>
        <v>18</v>
      </c>
      <c r="B22" s="492" t="s">
        <v>763</v>
      </c>
      <c r="C22" s="493" t="str">
        <f>_xlfn.XLOOKUP(B22,Code!B:B,Code!C:C,0)</f>
        <v>CHEMICAL FOR NR GLOVES</v>
      </c>
      <c r="F22" s="407" t="str">
        <f>$F$21</f>
        <v>Record Issue Che-Comp from stock card Com P1 of May'26</v>
      </c>
      <c r="H22" s="412">
        <f>ROUND(SUM(G21),2)</f>
        <v>3200898.37</v>
      </c>
    </row>
    <row r="23" spans="1:14" s="407" customFormat="1" ht="15" customHeight="1">
      <c r="A23" s="491">
        <f>A22+1</f>
        <v>19</v>
      </c>
      <c r="B23" s="492" t="s">
        <v>763</v>
      </c>
      <c r="C23" s="493" t="str">
        <f>_xlfn.XLOOKUP(B23,Code!B:B,Code!C:C,0)</f>
        <v>CHEMICAL FOR NR GLOVES</v>
      </c>
      <c r="F23" s="494" t="str">
        <f>"Record Issue Che-Comp from stock card Com P1 of "&amp;TEXT(J4,"[$-en-US]mmm'yy")</f>
        <v>Record Issue Che-Comp from stock card Com P1 of Jan'00</v>
      </c>
      <c r="G23" s="412">
        <f>ROUND(SUM(Sum!C45),2)</f>
        <v>781.78</v>
      </c>
    </row>
    <row r="24" spans="1:14" s="407" customFormat="1" ht="15" customHeight="1">
      <c r="A24" s="491">
        <f t="shared" si="0"/>
        <v>20</v>
      </c>
      <c r="B24" s="492" t="s">
        <v>762</v>
      </c>
      <c r="C24" s="493" t="str">
        <f>_xlfn.XLOOKUP(B24,Code!B:B,Code!C:C,0)</f>
        <v>PURCHASES - CHEMICAL</v>
      </c>
      <c r="F24" s="407" t="str">
        <f>$F$21</f>
        <v>Record Issue Che-Comp from stock card Com P1 of May'26</v>
      </c>
      <c r="H24" s="412">
        <f>ROUND(SUM(G23),2)</f>
        <v>781.78</v>
      </c>
      <c r="M24" s="407" t="s">
        <v>758</v>
      </c>
      <c r="N24" s="412">
        <f>G23</f>
        <v>781.78</v>
      </c>
    </row>
    <row r="25" spans="1:14" ht="15" customHeight="1">
      <c r="A25" s="446"/>
      <c r="G25" s="548"/>
      <c r="H25" s="244"/>
    </row>
    <row r="26" spans="1:14" ht="15" customHeight="1">
      <c r="A26" s="446"/>
      <c r="H26" s="549"/>
    </row>
    <row r="27" spans="1:14" ht="15" customHeight="1">
      <c r="A27" s="446"/>
    </row>
  </sheetData>
  <phoneticPr fontId="71" type="noConversion"/>
  <pageMargins left="0.7" right="0.7" top="0.75" bottom="0.75" header="0.3" footer="0.3"/>
  <pageSetup paperSize="9" scale="75" orientation="landscape" r:id="rId1"/>
  <ignoredErrors>
    <ignoredError sqref="F2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308E-B2F6-48B4-AD4A-10264C00F090}">
  <dimension ref="A1:N29"/>
  <sheetViews>
    <sheetView workbookViewId="0">
      <selection activeCell="F25" sqref="F25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Jan'26</v>
      </c>
      <c r="G2" s="404">
        <f>ROUND(SUM(Sum!E5),2)</f>
        <v>1920167.2</v>
      </c>
      <c r="H2" s="404"/>
      <c r="J2" s="467">
        <v>46053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Jan'26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2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Jan'26</v>
      </c>
      <c r="G4" s="404"/>
      <c r="H4" s="404">
        <f>G2</f>
        <v>1920167.2</v>
      </c>
      <c r="M4" s="448" t="s">
        <v>758</v>
      </c>
      <c r="N4" s="244">
        <f t="shared" ref="N4:N11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Jan'26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Jan'26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Jan'26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Jan'26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Jan'26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Jan'26</v>
      </c>
      <c r="G10" s="404"/>
      <c r="H10" s="404">
        <f>G8</f>
        <v>328050.82</v>
      </c>
      <c r="M10" s="448" t="s">
        <v>758</v>
      </c>
      <c r="N10" s="244">
        <f t="shared" si="2"/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Jan'26</v>
      </c>
      <c r="G11" s="404"/>
      <c r="H11" s="404">
        <f>G9</f>
        <v>32866.019999999997</v>
      </c>
      <c r="M11" s="448" t="s">
        <v>758</v>
      </c>
      <c r="N11" s="244">
        <f t="shared" si="2"/>
        <v>32866.019999999997</v>
      </c>
    </row>
    <row r="12" spans="1:14" s="407" customFormat="1" ht="15" customHeight="1">
      <c r="A12" s="491">
        <f t="shared" si="0"/>
        <v>11</v>
      </c>
      <c r="B12" s="501" t="s">
        <v>763</v>
      </c>
      <c r="C12" s="493" t="str">
        <f>_xlfn.XLOOKUP(B12,Code!B:B,Code!C:C,0)</f>
        <v>CHEMICAL FOR NR GLOVES</v>
      </c>
      <c r="F12" s="494" t="str">
        <f>"Balance Dispersion in Dipping lines of "&amp;TEXT(J2,"[$-en-US]mmm'yy")</f>
        <v>Balance Dispersion in Dipping lines of Jan'26</v>
      </c>
      <c r="G12" s="502">
        <f>ROUND(SUM(Sum!E23+Sum!E24),2)</f>
        <v>60233.78</v>
      </c>
      <c r="H12" s="502"/>
      <c r="M12" s="504"/>
      <c r="N12" s="412"/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_xlfn.XLOOKUP(B13,Code!B:B,Code!C:C,0)</f>
        <v>PURCHASES - CHEMICAL</v>
      </c>
      <c r="F13" s="407" t="str">
        <f>+$F$12</f>
        <v>Balance Dispersion in Dipping lines of Jan'26</v>
      </c>
      <c r="G13" s="502"/>
      <c r="H13" s="502">
        <f>ROUND(SUM(Sum!E23),2)</f>
        <v>57304.08</v>
      </c>
      <c r="M13" s="504" t="s">
        <v>758</v>
      </c>
      <c r="N13" s="412">
        <f>G13+H13</f>
        <v>57304.08</v>
      </c>
    </row>
    <row r="14" spans="1:14" s="407" customFormat="1" ht="15" customHeight="1">
      <c r="A14" s="491">
        <f t="shared" si="0"/>
        <v>13</v>
      </c>
      <c r="B14" s="491" t="s">
        <v>762</v>
      </c>
      <c r="C14" s="493" t="str">
        <f>_xlfn.XLOOKUP(B14,Code!B:B,Code!C:C,0)</f>
        <v>PURCHASES - CHEMICAL</v>
      </c>
      <c r="F14" s="407" t="str">
        <f>+$F$12</f>
        <v>Balance Dispersion in Dipping lines of Jan'26</v>
      </c>
      <c r="G14" s="505"/>
      <c r="H14" s="505">
        <f>ROUND(SUM(Sum!E24),2)</f>
        <v>2929.7</v>
      </c>
      <c r="M14" s="407" t="s">
        <v>776</v>
      </c>
      <c r="N14" s="412">
        <f>G14+H14</f>
        <v>2929.7</v>
      </c>
    </row>
    <row r="15" spans="1:14" ht="15" customHeight="1">
      <c r="A15" s="446">
        <f t="shared" si="0"/>
        <v>14</v>
      </c>
      <c r="B15" s="446" t="s">
        <v>763</v>
      </c>
      <c r="C15" s="82" t="str">
        <f>_xlfn.XLOOKUP(B15,Code!B:B,Code!C:C,0)</f>
        <v>CHEMICAL FOR NR GLOVES</v>
      </c>
      <c r="F15" s="332" t="str">
        <f>"Balance Chemical in Production "&amp;TEXT(J2,"[$-en-US]mmm'yy")</f>
        <v>Balance Chemical in Production Jan'26</v>
      </c>
      <c r="G15" s="405">
        <f>ROUND(SUM(Sum!E31),2)</f>
        <v>41966</v>
      </c>
      <c r="H15" s="405"/>
      <c r="N15" s="405"/>
    </row>
    <row r="16" spans="1:14" ht="15" customHeight="1">
      <c r="A16" s="446">
        <f t="shared" si="0"/>
        <v>15</v>
      </c>
      <c r="B16" s="446" t="s">
        <v>762</v>
      </c>
      <c r="C16" s="82" t="str">
        <f>_xlfn.XLOOKUP(B16,Code!B:B,Code!C:C,0)</f>
        <v>PURCHASES - CHEMICAL</v>
      </c>
      <c r="F16" s="225" t="str">
        <f>$F$15</f>
        <v>Balance Chemical in Production Jan'26</v>
      </c>
      <c r="G16" s="405"/>
      <c r="H16" s="405">
        <f>G15</f>
        <v>41966</v>
      </c>
      <c r="M16" s="225" t="s">
        <v>776</v>
      </c>
      <c r="N16" s="244">
        <f>H16</f>
        <v>41966</v>
      </c>
    </row>
    <row r="17" spans="1:14" s="407" customFormat="1" ht="15" customHeight="1">
      <c r="A17" s="491">
        <f t="shared" si="0"/>
        <v>16</v>
      </c>
      <c r="B17" s="492" t="s">
        <v>757</v>
      </c>
      <c r="C17" s="493" t="str">
        <f>_xlfn.XLOOKUP(B17,Code!B:B,Code!C:C,0)</f>
        <v>PURCHASE SYNTHETICS LATEX</v>
      </c>
      <c r="F17" s="494" t="str">
        <f>"Record Issue NBR latex-Comp from stock card Com P1 of "&amp;TEXT(J2,"[$-en-US]mmm'yy")</f>
        <v>Record Issue NBR latex-Comp from stock card Com P1 of Jan'26</v>
      </c>
      <c r="G17" s="412">
        <f>ROUND(SUM(Sum!C36),2)</f>
        <v>13082080.24</v>
      </c>
      <c r="H17" s="412"/>
      <c r="M17" s="407" t="s">
        <v>758</v>
      </c>
      <c r="N17" s="412">
        <f>G17</f>
        <v>13082080.24</v>
      </c>
    </row>
    <row r="18" spans="1:14" s="407" customFormat="1" ht="15" customHeight="1">
      <c r="A18" s="491">
        <f t="shared" si="0"/>
        <v>17</v>
      </c>
      <c r="B18" s="492" t="s">
        <v>759</v>
      </c>
      <c r="C18" s="493" t="str">
        <f>_xlfn.XLOOKUP(B18,Code!B:B,Code!C:C,0)</f>
        <v>SYNTHETICS  LATEX</v>
      </c>
      <c r="F18" s="407" t="str">
        <f>$F$17</f>
        <v>Record Issue NBR latex-Comp from stock card Com P1 of Jan'26</v>
      </c>
      <c r="H18" s="412">
        <f>ROUND(SUM(G17),2)</f>
        <v>13082080.24</v>
      </c>
    </row>
    <row r="19" spans="1:14" ht="15" customHeight="1">
      <c r="A19" s="446">
        <f>A18+1</f>
        <v>18</v>
      </c>
      <c r="B19" s="233" t="s">
        <v>762</v>
      </c>
      <c r="C19" s="82" t="str">
        <f>_xlfn.XLOOKUP(B19,Code!B:B,Code!C:C,0)</f>
        <v>PURCHASES - CHEMICAL</v>
      </c>
      <c r="F19" s="332" t="str">
        <f>"Record Issue Che-Comp from stock card Com P1 of "&amp;TEXT(J2,"[$-en-US]mmm'yy")</f>
        <v>Record Issue Che-Comp from stock card Com P1 of Jan'26</v>
      </c>
      <c r="G19" s="244">
        <f>ROUND(SUM(Sum!C43),2)</f>
        <v>3200898.37</v>
      </c>
      <c r="M19" s="225" t="s">
        <v>758</v>
      </c>
      <c r="N19" s="244">
        <f>G19</f>
        <v>3200898.37</v>
      </c>
    </row>
    <row r="20" spans="1:14" ht="15" customHeight="1">
      <c r="A20" s="446">
        <f t="shared" si="0"/>
        <v>19</v>
      </c>
      <c r="B20" s="233" t="s">
        <v>763</v>
      </c>
      <c r="C20" s="82" t="str">
        <f>_xlfn.XLOOKUP(B20,Code!B:B,Code!C:C,0)</f>
        <v>CHEMICAL FOR NR GLOVES</v>
      </c>
      <c r="F20" s="225" t="str">
        <f>$F$19</f>
        <v>Record Issue Che-Comp from stock card Com P1 of Jan'26</v>
      </c>
      <c r="H20" s="244">
        <f>ROUND(SUM(G19),2)</f>
        <v>3200898.37</v>
      </c>
    </row>
    <row r="21" spans="1:14" ht="15" customHeight="1">
      <c r="A21" s="446">
        <f t="shared" si="0"/>
        <v>20</v>
      </c>
      <c r="B21" s="233" t="s">
        <v>763</v>
      </c>
      <c r="C21" s="82" t="str">
        <f>_xlfn.XLOOKUP(B21,Code!B:B,Code!C:C,0)</f>
        <v>CHEMICAL FOR NR GLOVES</v>
      </c>
      <c r="F21" s="225" t="str">
        <f>F19</f>
        <v>Record Issue Che-Comp from stock card Com P1 of Jan'26</v>
      </c>
      <c r="G21" s="244">
        <f>ROUND(SUM(Sum!C45),2)</f>
        <v>781.78</v>
      </c>
    </row>
    <row r="22" spans="1:14" ht="15" customHeight="1">
      <c r="A22" s="446">
        <f t="shared" si="0"/>
        <v>21</v>
      </c>
      <c r="B22" s="233" t="s">
        <v>762</v>
      </c>
      <c r="C22" s="82" t="str">
        <f>_xlfn.XLOOKUP(B22,Code!B:B,Code!C:C,0)</f>
        <v>PURCHASES - CHEMICAL</v>
      </c>
      <c r="F22" s="225" t="str">
        <f>F21</f>
        <v>Record Issue Che-Comp from stock card Com P1 of Jan'26</v>
      </c>
      <c r="H22" s="244">
        <f>ROUND(SUM(G21),2)</f>
        <v>781.78</v>
      </c>
      <c r="M22" s="225" t="s">
        <v>758</v>
      </c>
      <c r="N22" s="244">
        <f>H22</f>
        <v>781.78</v>
      </c>
    </row>
    <row r="23" spans="1:14" ht="15" customHeight="1">
      <c r="A23" s="446"/>
    </row>
    <row r="24" spans="1:14" ht="15" customHeight="1">
      <c r="A24" s="446"/>
    </row>
    <row r="25" spans="1:14" ht="15" customHeight="1">
      <c r="A25" s="446"/>
    </row>
    <row r="26" spans="1:14" ht="15" customHeight="1">
      <c r="A26" s="446"/>
    </row>
    <row r="27" spans="1:14" ht="15" customHeight="1">
      <c r="A27" s="446"/>
    </row>
    <row r="28" spans="1:14" ht="15" customHeight="1">
      <c r="A28" s="446"/>
    </row>
    <row r="29" spans="1:14" ht="15" customHeight="1">
      <c r="A29" s="446"/>
    </row>
  </sheetData>
  <pageMargins left="0.7" right="0.7" top="0.75" bottom="0.75" header="0.3" footer="0.3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92F-7786-41DF-B583-92B81FCAEDE3}">
  <dimension ref="A1:N23"/>
  <sheetViews>
    <sheetView workbookViewId="0">
      <selection activeCell="F20" sqref="F20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s="407" customFormat="1" ht="15" customHeight="1">
      <c r="A2" s="491">
        <v>1</v>
      </c>
      <c r="B2" s="501" t="s">
        <v>757</v>
      </c>
      <c r="C2" s="493" t="str">
        <f>_xlfn.XLOOKUP(B2,Code!B:B,Code!C:C)</f>
        <v>PURCHASE SYNTHETICS LATEX</v>
      </c>
      <c r="F2" s="494" t="str">
        <f>"Beginning Stock Compound latex in Compound dept of "&amp;TEXT(J2,"[$-en-US]mmm'yy")</f>
        <v>Beginning Stock Compound latex in Compound dept of May'26</v>
      </c>
      <c r="G2" s="502">
        <f>ROUND(SUM(Transactions1!G2),2)</f>
        <v>1920167.2</v>
      </c>
      <c r="H2" s="502"/>
      <c r="J2" s="503">
        <v>46143</v>
      </c>
      <c r="M2" s="504" t="s">
        <v>758</v>
      </c>
      <c r="N2" s="412">
        <f>G2</f>
        <v>1920167.2</v>
      </c>
    </row>
    <row r="3" spans="1:14" s="407" customFormat="1" ht="15" customHeight="1">
      <c r="A3" s="491">
        <f>A2+1</f>
        <v>2</v>
      </c>
      <c r="B3" s="501" t="s">
        <v>762</v>
      </c>
      <c r="C3" s="493" t="str">
        <f>_xlfn.XLOOKUP(B3,Code!B:B,Code!C:C)</f>
        <v>PURCHASES - CHEMICAL</v>
      </c>
      <c r="F3" s="407" t="str">
        <f>+$F$2</f>
        <v>Beginning Stock Compound latex in Compound dept of May'26</v>
      </c>
      <c r="G3" s="502">
        <f>ROUND(SUM(Transactions1!G3),2)</f>
        <v>179860.14</v>
      </c>
      <c r="H3" s="502"/>
      <c r="M3" s="504" t="s">
        <v>758</v>
      </c>
      <c r="N3" s="412">
        <f>G3</f>
        <v>179860.14</v>
      </c>
    </row>
    <row r="4" spans="1:14" ht="15" customHeight="1">
      <c r="A4" s="446">
        <f t="shared" ref="A4:A16" si="0">A3+1</f>
        <v>3</v>
      </c>
      <c r="B4" s="447" t="s">
        <v>759</v>
      </c>
      <c r="C4" s="82" t="str">
        <f>_xlfn.XLOOKUP(B4,Code!B:B,Code!C:C)</f>
        <v>SYNTHETICS  LATEX</v>
      </c>
      <c r="F4" s="225" t="str">
        <f t="shared" ref="F4:F5" si="1">+$F$2</f>
        <v>Beginning Stock Compound latex in Compound dept of May'26</v>
      </c>
      <c r="G4" s="404"/>
      <c r="H4" s="404">
        <f>G2</f>
        <v>1920167.2</v>
      </c>
      <c r="M4" s="448"/>
      <c r="N4" s="244"/>
    </row>
    <row r="5" spans="1:14" ht="15" customHeight="1">
      <c r="A5" s="446">
        <f t="shared" si="0"/>
        <v>4</v>
      </c>
      <c r="B5" s="447" t="s">
        <v>763</v>
      </c>
      <c r="C5" s="82" t="str">
        <f>_xlfn.XLOOKUP(B5,Code!B:B,Code!C:C)</f>
        <v>CHEMICAL FOR NR GLOVES</v>
      </c>
      <c r="F5" s="225" t="str">
        <f t="shared" si="1"/>
        <v>Beginning Stock Compound latex in Compound dept of May'26</v>
      </c>
      <c r="G5" s="404"/>
      <c r="H5" s="404">
        <f>G3</f>
        <v>179860.14</v>
      </c>
      <c r="M5" s="448"/>
      <c r="N5" s="244"/>
    </row>
    <row r="6" spans="1:14" s="407" customFormat="1" ht="15" customHeight="1">
      <c r="A6" s="491">
        <f t="shared" si="0"/>
        <v>5</v>
      </c>
      <c r="B6" s="501" t="s">
        <v>762</v>
      </c>
      <c r="C6" s="493" t="str">
        <f>_xlfn.XLOOKUP(B6,Code!B:B,Code!C:C)</f>
        <v>PURCHASES - CHEMICAL</v>
      </c>
      <c r="F6" s="494" t="str">
        <f>"Beginning Stock Dispersion in Compound dept of "&amp;TEXT(J2,"[$-en-US]mmm'yy")</f>
        <v>Beginning Stock Dispersion in Compound dept of May'26</v>
      </c>
      <c r="G6" s="502">
        <f>ROUND(SUM(Transactions1!G6),2)</f>
        <v>335676.26</v>
      </c>
      <c r="H6" s="502"/>
      <c r="M6" s="504" t="s">
        <v>758</v>
      </c>
      <c r="N6" s="412">
        <f>G6</f>
        <v>335676.26</v>
      </c>
    </row>
    <row r="7" spans="1:14" ht="15" customHeight="1">
      <c r="A7" s="446">
        <f t="shared" si="0"/>
        <v>6</v>
      </c>
      <c r="B7" s="447" t="s">
        <v>763</v>
      </c>
      <c r="C7" s="82" t="str">
        <f>_xlfn.XLOOKUP(B7,Code!B:B,Code!C:C)</f>
        <v>CHEMICAL FOR NR GLOVES</v>
      </c>
      <c r="F7" s="225" t="str">
        <f>$F$6</f>
        <v>Beginning Stock Dispersion in Compound dept of May'26</v>
      </c>
      <c r="G7" s="404"/>
      <c r="H7" s="404">
        <f>G6</f>
        <v>335676.26</v>
      </c>
      <c r="M7" s="448"/>
      <c r="N7" s="244"/>
    </row>
    <row r="8" spans="1:14" s="407" customFormat="1" ht="15" customHeight="1">
      <c r="A8" s="491">
        <f t="shared" si="0"/>
        <v>7</v>
      </c>
      <c r="B8" s="501" t="s">
        <v>757</v>
      </c>
      <c r="C8" s="493" t="str">
        <f>_xlfn.XLOOKUP(B8,Code!B:B,Code!C:C)</f>
        <v>PURCHASE SYNTHETICS LATEX</v>
      </c>
      <c r="F8" s="494" t="str">
        <f>"Beginning Stock Compound latex in Dipping lines of "&amp;TEXT(J2,"[$-en-US]mmm'yy")</f>
        <v>Beginning Stock Compound latex in Dipping lines of May'26</v>
      </c>
      <c r="G8" s="502">
        <f>ROUND(SUM(Transactions1!G8),2)</f>
        <v>328050.82</v>
      </c>
      <c r="H8" s="502"/>
      <c r="J8" s="503"/>
      <c r="M8" s="504" t="s">
        <v>758</v>
      </c>
      <c r="N8" s="412">
        <f>G8</f>
        <v>328050.82</v>
      </c>
    </row>
    <row r="9" spans="1:14" s="407" customFormat="1" ht="15" customHeight="1">
      <c r="A9" s="491">
        <f t="shared" si="0"/>
        <v>8</v>
      </c>
      <c r="B9" s="501" t="s">
        <v>762</v>
      </c>
      <c r="C9" s="493" t="str">
        <f>_xlfn.XLOOKUP(B9,Code!B:B,Code!C:C)</f>
        <v>PURCHASES - CHEMICAL</v>
      </c>
      <c r="F9" s="407" t="str">
        <f>+$F$8</f>
        <v>Beginning Stock Compound latex in Dipping lines of May'26</v>
      </c>
      <c r="G9" s="502">
        <f>ROUND(SUM(Transactions1!G9),2)</f>
        <v>32866.019999999997</v>
      </c>
      <c r="H9" s="502"/>
      <c r="M9" s="504" t="s">
        <v>758</v>
      </c>
      <c r="N9" s="412">
        <f>G9</f>
        <v>32866.019999999997</v>
      </c>
    </row>
    <row r="10" spans="1:14" ht="15" customHeight="1">
      <c r="A10" s="446">
        <f t="shared" si="0"/>
        <v>9</v>
      </c>
      <c r="B10" s="447" t="s">
        <v>759</v>
      </c>
      <c r="C10" s="82" t="str">
        <f>_xlfn.XLOOKUP(B10,Code!B:B,Code!C:C)</f>
        <v>SYNTHETICS  LATEX</v>
      </c>
      <c r="F10" s="225" t="str">
        <f t="shared" ref="F10:F11" si="2">+$F$8</f>
        <v>Beginning Stock Compound latex in Dipping lines of May'26</v>
      </c>
      <c r="G10" s="404"/>
      <c r="H10" s="404">
        <f>G8</f>
        <v>328050.82</v>
      </c>
      <c r="M10" s="448"/>
      <c r="N10" s="244"/>
    </row>
    <row r="11" spans="1:14" ht="15" customHeight="1">
      <c r="A11" s="446">
        <f t="shared" si="0"/>
        <v>10</v>
      </c>
      <c r="B11" s="447" t="s">
        <v>763</v>
      </c>
      <c r="C11" s="82" t="str">
        <f>_xlfn.XLOOKUP(B11,Code!B:B,Code!C:C)</f>
        <v>CHEMICAL FOR NR GLOVES</v>
      </c>
      <c r="F11" s="225" t="str">
        <f t="shared" si="2"/>
        <v>Beginning Stock Compound latex in Dipping lines of May'26</v>
      </c>
      <c r="G11" s="404"/>
      <c r="H11" s="404">
        <f>G9</f>
        <v>32866.019999999997</v>
      </c>
      <c r="M11" s="448"/>
      <c r="N11" s="244"/>
    </row>
    <row r="12" spans="1:14" s="407" customFormat="1" ht="15" customHeight="1">
      <c r="A12" s="491">
        <f t="shared" si="0"/>
        <v>11</v>
      </c>
      <c r="B12" s="501" t="s">
        <v>762</v>
      </c>
      <c r="C12" s="493" t="str">
        <f>_xlfn.XLOOKUP(B12,Code!B:B,Code!C:C)</f>
        <v>PURCHASES - CHEMICAL</v>
      </c>
      <c r="F12" s="494" t="str">
        <f>"Beginning Stock Compound latex in Dipping lines of "&amp;TEXT(J2,"[$-en-US]mmm'yy")</f>
        <v>Beginning Stock Compound latex in Dipping lines of May'26</v>
      </c>
      <c r="G12" s="502">
        <f>ROUND(SUM(Transactions1!H13),2)</f>
        <v>57304.08</v>
      </c>
      <c r="H12" s="502"/>
      <c r="J12" s="503"/>
      <c r="M12" s="504" t="s">
        <v>758</v>
      </c>
      <c r="N12" s="412">
        <f>G12</f>
        <v>57304.08</v>
      </c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_xlfn.XLOOKUP(B13,Code!B:B,Code!C:C)</f>
        <v>PURCHASES - CHEMICAL</v>
      </c>
      <c r="F13" s="407" t="str">
        <f>+$F$8</f>
        <v>Beginning Stock Compound latex in Dipping lines of May'26</v>
      </c>
      <c r="G13" s="502">
        <f>ROUND(SUM(Transactions1!H14),2)</f>
        <v>2929.7</v>
      </c>
      <c r="H13" s="502"/>
      <c r="M13" s="504" t="s">
        <v>776</v>
      </c>
      <c r="N13" s="412">
        <f>G13</f>
        <v>2929.7</v>
      </c>
    </row>
    <row r="14" spans="1:14" ht="15" customHeight="1">
      <c r="A14" s="446">
        <f t="shared" si="0"/>
        <v>13</v>
      </c>
      <c r="B14" s="447" t="s">
        <v>763</v>
      </c>
      <c r="C14" s="82" t="str">
        <f>_xlfn.XLOOKUP(B14,Code!B:B,Code!C:C)</f>
        <v>CHEMICAL FOR NR GLOVES</v>
      </c>
      <c r="F14" s="225" t="str">
        <f t="shared" ref="F14" si="3">+$F$8</f>
        <v>Beginning Stock Compound latex in Dipping lines of May'26</v>
      </c>
      <c r="G14" s="404"/>
      <c r="H14" s="404">
        <f>G12+G13</f>
        <v>60233.78</v>
      </c>
      <c r="M14" s="448"/>
      <c r="N14" s="244"/>
    </row>
    <row r="15" spans="1:14" s="407" customFormat="1" ht="15" customHeight="1">
      <c r="A15" s="491">
        <f t="shared" si="0"/>
        <v>14</v>
      </c>
      <c r="B15" s="491" t="s">
        <v>762</v>
      </c>
      <c r="C15" s="493" t="str">
        <f>_xlfn.XLOOKUP(B15,Code!B:B,Code!C:C)</f>
        <v>PURCHASES - CHEMICAL</v>
      </c>
      <c r="F15" s="494" t="str">
        <f>"Beginning Stock Chemical in Production "&amp;TEXT(J2,"[$-en-US]mmm'yy")</f>
        <v>Beginning Stock Chemical in Production May'26</v>
      </c>
      <c r="G15" s="502">
        <f>ROUND(SUM(Transactions1!G15),2)</f>
        <v>41966</v>
      </c>
      <c r="H15" s="505"/>
      <c r="M15" s="407" t="s">
        <v>776</v>
      </c>
      <c r="N15" s="505">
        <f>G15</f>
        <v>41966</v>
      </c>
    </row>
    <row r="16" spans="1:14" ht="15" customHeight="1">
      <c r="A16" s="446">
        <f t="shared" si="0"/>
        <v>15</v>
      </c>
      <c r="B16" s="446" t="s">
        <v>763</v>
      </c>
      <c r="C16" s="82" t="str">
        <f>_xlfn.XLOOKUP(B16,Code!B:B,Code!C:C)</f>
        <v>CHEMICAL FOR NR GLOVES</v>
      </c>
      <c r="F16" s="225" t="str">
        <f>$F$15</f>
        <v>Beginning Stock Chemical in Production May'26</v>
      </c>
      <c r="G16" s="405"/>
      <c r="H16" s="405">
        <f>G15</f>
        <v>41966</v>
      </c>
      <c r="N16" s="244"/>
    </row>
    <row r="17" spans="1:1" ht="15" customHeight="1">
      <c r="A17" s="446"/>
    </row>
    <row r="18" spans="1:1" ht="15" customHeight="1">
      <c r="A18" s="446"/>
    </row>
    <row r="19" spans="1:1" ht="15" customHeight="1">
      <c r="A19" s="446"/>
    </row>
    <row r="20" spans="1:1" ht="15" customHeight="1">
      <c r="A20" s="446"/>
    </row>
    <row r="21" spans="1:1" ht="15" customHeight="1">
      <c r="A21" s="446"/>
    </row>
    <row r="22" spans="1:1" ht="15" customHeight="1">
      <c r="A22" s="446"/>
    </row>
    <row r="23" spans="1:1" ht="15" customHeight="1">
      <c r="A23" s="446"/>
    </row>
  </sheetData>
  <pageMargins left="0.7" right="0.7" top="0.75" bottom="0.75" header="0.3" footer="0.3"/>
  <pageSetup paperSize="9" scale="75" orientation="landscape" r:id="rId1"/>
  <ignoredErrors>
    <ignoredError sqref="F1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B2:K18"/>
  <sheetViews>
    <sheetView topLeftCell="G1" workbookViewId="0">
      <selection activeCell="H11" sqref="H11"/>
    </sheetView>
  </sheetViews>
  <sheetFormatPr defaultColWidth="9" defaultRowHeight="12.75"/>
  <cols>
    <col min="1" max="2" width="9" style="14"/>
    <col min="3" max="3" width="33.25" style="14" customWidth="1"/>
    <col min="4" max="4" width="9" style="14"/>
    <col min="5" max="5" width="41.75" style="14" customWidth="1"/>
    <col min="6" max="7" width="9" style="14"/>
    <col min="8" max="8" width="83.25" style="15" customWidth="1"/>
    <col min="9" max="10" width="9" style="14"/>
    <col min="11" max="11" width="9" style="16"/>
    <col min="12" max="16384" width="9" style="14"/>
  </cols>
  <sheetData>
    <row r="2" spans="2:11">
      <c r="B2" s="17" t="s">
        <v>777</v>
      </c>
      <c r="C2" s="17"/>
      <c r="D2" s="18"/>
      <c r="E2" s="18"/>
      <c r="H2" s="19" t="s">
        <v>778</v>
      </c>
      <c r="K2" s="21" t="s">
        <v>779</v>
      </c>
    </row>
    <row r="3" spans="2:11">
      <c r="B3" s="17" t="s">
        <v>780</v>
      </c>
      <c r="C3" s="17"/>
      <c r="D3" s="20" t="s">
        <v>781</v>
      </c>
      <c r="E3" s="20"/>
      <c r="H3" s="15" t="str" cm="1">
        <f t="array" ref="H3:H18">TRIM(_xlfn.UNIQUE(BalCom!D:D))</f>
        <v/>
      </c>
      <c r="K3" s="16" t="str" cm="1">
        <f t="array" ref="K3:K10">_xlfn.UNIQUE(BalDis[New Code])</f>
        <v>SFG-Water</v>
      </c>
    </row>
    <row r="4" spans="2:11">
      <c r="B4" s="14" t="s">
        <v>193</v>
      </c>
      <c r="C4" s="14" t="str">
        <f>_xlfn.XLOOKUP(B4,Used_before_Trf!A:A,Used_before_Trf!B:B,0)</f>
        <v>TRANSCURE ZDB50 (225KG/DRUM)</v>
      </c>
      <c r="D4" s="14" t="s">
        <v>344</v>
      </c>
      <c r="E4" s="14" t="str">
        <f>_xlfn.XLOOKUP(D4,Used_before_Trf!A:A,Used_before_Trf!B:B,0)</f>
        <v>ZDBC 50% 225 KGS/DRUM</v>
      </c>
      <c r="H4" s="15" t="str">
        <v>Master name</v>
      </c>
      <c r="K4" s="16" t="str">
        <v>CH211</v>
      </c>
    </row>
    <row r="5" spans="2:11">
      <c r="B5" s="14" t="s">
        <v>195</v>
      </c>
      <c r="C5" s="14" t="str">
        <f>_xlfn.XLOOKUP(B5,Used_before_Trf!A:A,Used_before_Trf!B:B,0)</f>
        <v>TRANSACT ZNO60 (250KG/DRUM)</v>
      </c>
      <c r="D5" s="14" t="s">
        <v>348</v>
      </c>
      <c r="E5" s="14" t="str">
        <f>_xlfn.XLOOKUP(D5,Used_before_Trf!A:A,Used_before_Trf!B:B,0)</f>
        <v>ZINC OXIDE 60% (ZNO) 250 KGS/DRUM</v>
      </c>
      <c r="H5" s="15" t="str">
        <v>PLANT#1 FINGER TEXTURE BLACK 6.0G WITH BST8503S+NEOPELEX+15PHR MRC+AQUAWAX NITRILE COMPOUND</v>
      </c>
      <c r="K5" s="16" t="str">
        <v>CH235</v>
      </c>
    </row>
    <row r="6" spans="2:11">
      <c r="B6" s="14" t="s">
        <v>197</v>
      </c>
      <c r="C6" s="14" t="str">
        <f>_xlfn.XLOOKUP(B6,Used_before_Trf!A:A,Used_before_Trf!B:B,0)</f>
        <v>TRANSCURE S60 (250KG/DRUM)</v>
      </c>
      <c r="D6" s="14" t="s">
        <v>346</v>
      </c>
      <c r="E6" s="14" t="str">
        <f>_xlfn.XLOOKUP(D6,Used_before_Trf!A:A,Used_before_Trf!B:B,0)</f>
        <v>SULPHUR 60% 250 KGS/DRUM</v>
      </c>
      <c r="H6" s="15" t="str">
        <v>PLANT#1 FINGER TEXTURE BLACK 6.0G WITH BST8503S+NEOPELEX+15PHR MRC NITRILE COMPOUND-DIP2</v>
      </c>
      <c r="K6" s="16" t="str">
        <v>CH212</v>
      </c>
    </row>
    <row r="7" spans="2:11">
      <c r="B7" s="14" t="s">
        <v>199</v>
      </c>
      <c r="C7" s="14" t="str">
        <f>_xlfn.XLOOKUP(B7,Used_before_Trf!A:A,Used_before_Trf!B:B,0)</f>
        <v>TRANSTINT TIO270(250KG/DRUM)</v>
      </c>
      <c r="D7" s="14" t="s">
        <v>350</v>
      </c>
      <c r="E7" s="14" t="str">
        <f>_xlfn.XLOOKUP(D7,Used_before_Trf!A:A,Used_before_Trf!B:B,0)</f>
        <v>TIO2 70% (TITANIUM DIOXIDE) 250 KGS/DRUM</v>
      </c>
      <c r="H7" s="15" t="str">
        <v>PLANT#1 FINGER TEXTURE BLACK 6.0G WITH RFA-7632+NEOPELEX+15PHR ACUMIN H65+AQUAWAX NITRILE COMPOUND-DIP1</v>
      </c>
      <c r="K7" s="16" t="str">
        <v>CH233</v>
      </c>
    </row>
    <row r="8" spans="2:11">
      <c r="B8" s="14" t="s">
        <v>215</v>
      </c>
      <c r="C8" s="14" t="str">
        <f>_xlfn.XLOOKUP(B8,Used_before_Trf!A:A,Used_before_Trf!B:B,0)</f>
        <v>AQUWAX 078 (MOQ 9500KG/TRIP)</v>
      </c>
      <c r="D8" s="14" t="s">
        <v>183</v>
      </c>
      <c r="E8" s="14" t="str">
        <f>_xlfn.XLOOKUP(D8,Used_before_Trf!A:A,Used_before_Trf!B:B,0)</f>
        <v>VIVASHIELD 9177 WAX (950KG/IBC)</v>
      </c>
      <c r="H8" s="15" t="str">
        <v>PLANT#1 FINGER TEXTURE BLACK 6.0G WITH RFA-7632+NEOPELEX+15PHR ACUMIN H65 NITRILE COMPOUND-DIP2</v>
      </c>
      <c r="K8" s="16" t="str">
        <v>CH145</v>
      </c>
    </row>
    <row r="9" spans="2:11">
      <c r="B9" s="14" t="s">
        <v>219</v>
      </c>
      <c r="C9" s="14" t="str">
        <f>_xlfn.XLOOKUP(B9,Used_before_Trf!A:A,Used_before_Trf!B:B,0)</f>
        <v>KOH 48% SOLUTION (1500KG/IBC) (TC GROUP)</v>
      </c>
      <c r="D9" s="14" t="s">
        <v>247</v>
      </c>
      <c r="E9" s="14" t="str">
        <f>_xlfn.XLOOKUP(D9,Used_before_Trf!A:A,Used_before_Trf!B:B,0)</f>
        <v>KOH 48% SOLUTION (1490KG/IBC)THANODOM</v>
      </c>
      <c r="H9" s="15" t="str">
        <v>PLANT#1 FINGER TEXTURE BLACK 6.0G WITH XY-806+NEOPELEX+15PHR ACUMIN H65+AQUAWAX NITRILE COMPOUND-DIP1</v>
      </c>
      <c r="K9" s="16" t="str">
        <v>CH23</v>
      </c>
    </row>
    <row r="10" spans="2:11">
      <c r="C10" s="14">
        <f>_xlfn.XLOOKUP(B10,Used_before_Trf!A:A,Used_before_Trf!B:B,0)</f>
        <v>0</v>
      </c>
      <c r="E10" s="14">
        <f>_xlfn.XLOOKUP(D10,Used_before_Trf!A:A,Used_before_Trf!B:B,0)</f>
        <v>0</v>
      </c>
      <c r="H10" s="15" t="str">
        <v>PLANT#1 PALM&amp;FINGER TEXTURE BLACK4.0G WITH XY-806+NEOPELEX+ALPHALINK30+10PHR ACUMIN+AQUAWAX NITRILE COMPOUND</v>
      </c>
      <c r="K10" s="16">
        <v>0</v>
      </c>
    </row>
    <row r="11" spans="2:11">
      <c r="E11" s="14">
        <f>_xlfn.XLOOKUP(D11,Used_before_Trf!A:A,Used_before_Trf!B:B,0)</f>
        <v>0</v>
      </c>
      <c r="H11" s="15" t="str">
        <v>PLANT#1 PALM&amp;FINGER TEXTURE BLACK 5.5G WITH XY-806+NEOPELEX+15PHR ACUMIN H65+AQUAWAX NITRILE COMPOUND-DIP1</v>
      </c>
    </row>
    <row r="12" spans="2:11">
      <c r="E12" s="14">
        <f>_xlfn.XLOOKUP(D12,Used_before_Trf!A:A,Used_before_Trf!B:B,0)</f>
        <v>0</v>
      </c>
      <c r="H12" s="15" t="str">
        <v>PLANT#1 PALM&amp;FINGER TEXTURE BLACK 5.5G WITH XY-806+NEOPELEX+15PHR ACUMIN H65 NITRILE COMPOUND-DIP2</v>
      </c>
    </row>
    <row r="13" spans="2:11">
      <c r="H13" s="15" t="str">
        <v>PLANT#2 PALM&amp;FINGER TEXTURE BLACK3.5G BST8503S+NEOPELEX+ALPHALINK30+5PHR ACUMIN SP65 NITRILE COMPOUND-DIP2</v>
      </c>
    </row>
    <row r="14" spans="2:11">
      <c r="H14" s="15" t="str">
        <v>PLANT#2 PALM&amp;FINGER TEXTURE BLUE 4.3G WITH BST8503S+OCTOSOL+ALPHALINK30+5PHR ACUMIN+AQUAWAX NITRILE COMPOUND</v>
      </c>
    </row>
    <row r="15" spans="2:11">
      <c r="H15" s="15" t="str">
        <v>PLANT#2 PALM &amp; FINGER TEXTURE BLUE 4.5G BST8503S+OCTOSOL+ALPHALINK50+AQUAWAX NITRILE COMPOUND</v>
      </c>
    </row>
    <row r="16" spans="2:11">
      <c r="H16" s="15" t="str">
        <v>PLANT#2 FINGER TEXTURE VIOLET BLUE 3.5G WITH BST8503S+OCTOSOL+AF50+AQUAWAX+F-VIOLET COMPOUND-DIP1</v>
      </c>
    </row>
    <row r="17" spans="8:8">
      <c r="H17" s="15" t="str">
        <v>PLANT#2 FINGER TEXTURE VIOLET BLUE 3.5G WITH BST8503S+OCTOSOL+ALPHALINK50+AQUAWAX+F-VIOLET COMPOUND-DIP1-NEW COLOR</v>
      </c>
    </row>
    <row r="18" spans="8:8">
      <c r="H18" s="15" t="str">
        <v>PLANT#3 FINGER TEXTURE VIOLET BLUE 3.5G WITH BST8503S+OCTOSOL+ALPHALINK30 COMPOUND-DIP2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J2211"/>
  <sheetViews>
    <sheetView workbookViewId="0">
      <selection activeCell="B1250" sqref="B1250"/>
    </sheetView>
  </sheetViews>
  <sheetFormatPr defaultColWidth="8.75" defaultRowHeight="12"/>
  <cols>
    <col min="1" max="1" width="5.5" style="1" customWidth="1"/>
    <col min="2" max="2" width="13.25" style="1" customWidth="1"/>
    <col min="3" max="3" width="34.125" style="1" customWidth="1"/>
    <col min="4" max="4" width="12.375" style="1" customWidth="1"/>
    <col min="5" max="5" width="14.75" style="1" customWidth="1"/>
    <col min="6" max="6" width="8.625" style="1" customWidth="1"/>
    <col min="7" max="7" width="15.875" style="1" customWidth="1"/>
    <col min="8" max="8" width="13.75" style="1" customWidth="1"/>
    <col min="9" max="10" width="12.25" style="1" customWidth="1"/>
    <col min="11" max="16384" width="8.75" style="1"/>
  </cols>
  <sheetData>
    <row r="1" spans="1:10" ht="15" customHeight="1">
      <c r="A1" s="2" t="s">
        <v>512</v>
      </c>
    </row>
    <row r="2" spans="1:10" ht="15" customHeight="1">
      <c r="A2" s="3" t="s">
        <v>782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>
      <c r="A3" s="5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</row>
    <row r="4" spans="1:10" ht="15" customHeight="1">
      <c r="A4" s="7" t="s">
        <v>783</v>
      </c>
      <c r="B4" s="8" t="s">
        <v>784</v>
      </c>
      <c r="C4" s="8" t="s">
        <v>3</v>
      </c>
      <c r="D4" s="8" t="s">
        <v>785</v>
      </c>
      <c r="E4" s="8" t="s">
        <v>786</v>
      </c>
      <c r="F4" s="8" t="s">
        <v>787</v>
      </c>
      <c r="G4" s="8" t="s">
        <v>788</v>
      </c>
      <c r="H4" s="8" t="s">
        <v>789</v>
      </c>
      <c r="I4" s="8" t="s">
        <v>4</v>
      </c>
      <c r="J4" s="8" t="s">
        <v>564</v>
      </c>
    </row>
    <row r="5" spans="1:10" ht="15" hidden="1" customHeight="1">
      <c r="A5" s="9">
        <v>1</v>
      </c>
      <c r="B5" s="10" t="s">
        <v>790</v>
      </c>
      <c r="C5" s="10" t="s">
        <v>791</v>
      </c>
      <c r="D5" s="10" t="s">
        <v>792</v>
      </c>
      <c r="E5" s="10"/>
      <c r="F5" s="10" t="s">
        <v>793</v>
      </c>
      <c r="G5" s="10"/>
      <c r="H5" s="10"/>
      <c r="I5" s="10" t="s">
        <v>794</v>
      </c>
      <c r="J5" s="10" t="s">
        <v>795</v>
      </c>
    </row>
    <row r="6" spans="1:10" ht="15" hidden="1" customHeight="1">
      <c r="A6" s="9">
        <v>2</v>
      </c>
      <c r="B6" s="10" t="s">
        <v>796</v>
      </c>
      <c r="C6" s="10" t="s">
        <v>797</v>
      </c>
      <c r="D6" s="10" t="s">
        <v>792</v>
      </c>
      <c r="E6" s="10"/>
      <c r="F6" s="10" t="s">
        <v>793</v>
      </c>
      <c r="G6" s="10"/>
      <c r="H6" s="10"/>
      <c r="I6" s="10" t="s">
        <v>794</v>
      </c>
      <c r="J6" s="10" t="s">
        <v>795</v>
      </c>
    </row>
    <row r="7" spans="1:10" ht="15" hidden="1" customHeight="1">
      <c r="A7" s="9">
        <v>3</v>
      </c>
      <c r="B7" s="10" t="s">
        <v>798</v>
      </c>
      <c r="C7" s="10" t="s">
        <v>799</v>
      </c>
      <c r="D7" s="10" t="s">
        <v>792</v>
      </c>
      <c r="E7" s="10" t="s">
        <v>800</v>
      </c>
      <c r="F7" s="10" t="s">
        <v>794</v>
      </c>
      <c r="G7" s="10" t="s">
        <v>801</v>
      </c>
      <c r="H7" s="10" t="s">
        <v>802</v>
      </c>
      <c r="I7" s="10" t="s">
        <v>794</v>
      </c>
      <c r="J7" s="10" t="s">
        <v>803</v>
      </c>
    </row>
    <row r="8" spans="1:10" ht="15" hidden="1" customHeight="1">
      <c r="A8" s="9">
        <v>4</v>
      </c>
      <c r="B8" s="10" t="s">
        <v>804</v>
      </c>
      <c r="C8" s="10" t="s">
        <v>805</v>
      </c>
      <c r="D8" s="10" t="s">
        <v>792</v>
      </c>
      <c r="E8" s="10" t="s">
        <v>800</v>
      </c>
      <c r="F8" s="10" t="s">
        <v>794</v>
      </c>
      <c r="G8" s="10" t="s">
        <v>806</v>
      </c>
      <c r="H8" s="10" t="s">
        <v>802</v>
      </c>
      <c r="I8" s="10" t="s">
        <v>794</v>
      </c>
      <c r="J8" s="10" t="s">
        <v>803</v>
      </c>
    </row>
    <row r="9" spans="1:10" ht="15" hidden="1" customHeight="1">
      <c r="A9" s="9">
        <v>5</v>
      </c>
      <c r="B9" s="10" t="s">
        <v>807</v>
      </c>
      <c r="C9" s="10" t="s">
        <v>808</v>
      </c>
      <c r="D9" s="10" t="s">
        <v>792</v>
      </c>
      <c r="E9" s="10" t="s">
        <v>800</v>
      </c>
      <c r="F9" s="10" t="s">
        <v>794</v>
      </c>
      <c r="G9" s="10" t="s">
        <v>806</v>
      </c>
      <c r="H9" s="10" t="s">
        <v>802</v>
      </c>
      <c r="I9" s="10" t="s">
        <v>794</v>
      </c>
      <c r="J9" s="10" t="s">
        <v>803</v>
      </c>
    </row>
    <row r="10" spans="1:10" ht="15" hidden="1" customHeight="1">
      <c r="A10" s="9">
        <v>6</v>
      </c>
      <c r="B10" s="10" t="s">
        <v>809</v>
      </c>
      <c r="C10" s="10" t="s">
        <v>810</v>
      </c>
      <c r="D10" s="10" t="s">
        <v>792</v>
      </c>
      <c r="E10" s="10" t="s">
        <v>800</v>
      </c>
      <c r="F10" s="10" t="s">
        <v>794</v>
      </c>
      <c r="G10" s="10" t="s">
        <v>811</v>
      </c>
      <c r="H10" s="10" t="s">
        <v>802</v>
      </c>
      <c r="I10" s="10" t="s">
        <v>794</v>
      </c>
      <c r="J10" s="10" t="s">
        <v>803</v>
      </c>
    </row>
    <row r="11" spans="1:10" ht="15" hidden="1" customHeight="1">
      <c r="A11" s="9">
        <v>7</v>
      </c>
      <c r="B11" s="10" t="s">
        <v>812</v>
      </c>
      <c r="C11" s="10" t="s">
        <v>813</v>
      </c>
      <c r="D11" s="10" t="s">
        <v>792</v>
      </c>
      <c r="E11" s="10" t="s">
        <v>800</v>
      </c>
      <c r="F11" s="10" t="s">
        <v>794</v>
      </c>
      <c r="G11" s="10" t="s">
        <v>806</v>
      </c>
      <c r="H11" s="10" t="s">
        <v>802</v>
      </c>
      <c r="I11" s="10" t="s">
        <v>794</v>
      </c>
      <c r="J11" s="10" t="s">
        <v>803</v>
      </c>
    </row>
    <row r="12" spans="1:10" ht="15" hidden="1" customHeight="1">
      <c r="A12" s="9">
        <v>8</v>
      </c>
      <c r="B12" s="10" t="s">
        <v>814</v>
      </c>
      <c r="C12" s="10" t="s">
        <v>815</v>
      </c>
      <c r="D12" s="10" t="s">
        <v>792</v>
      </c>
      <c r="E12" s="10" t="s">
        <v>816</v>
      </c>
      <c r="F12" s="10" t="s">
        <v>794</v>
      </c>
      <c r="G12" s="10" t="s">
        <v>806</v>
      </c>
      <c r="H12" s="10" t="s">
        <v>802</v>
      </c>
      <c r="I12" s="10" t="s">
        <v>794</v>
      </c>
      <c r="J12" s="10" t="s">
        <v>817</v>
      </c>
    </row>
    <row r="13" spans="1:10" ht="15" hidden="1" customHeight="1">
      <c r="A13" s="9">
        <v>9</v>
      </c>
      <c r="B13" s="10" t="s">
        <v>818</v>
      </c>
      <c r="C13" s="10" t="s">
        <v>819</v>
      </c>
      <c r="D13" s="10" t="s">
        <v>792</v>
      </c>
      <c r="E13" s="10" t="s">
        <v>816</v>
      </c>
      <c r="F13" s="10" t="s">
        <v>794</v>
      </c>
      <c r="G13" s="10" t="s">
        <v>806</v>
      </c>
      <c r="H13" s="10" t="s">
        <v>802</v>
      </c>
      <c r="I13" s="10" t="s">
        <v>794</v>
      </c>
      <c r="J13" s="10" t="s">
        <v>817</v>
      </c>
    </row>
    <row r="14" spans="1:10" ht="15" hidden="1" customHeight="1">
      <c r="A14" s="9">
        <v>10</v>
      </c>
      <c r="B14" s="10" t="s">
        <v>820</v>
      </c>
      <c r="C14" s="10" t="s">
        <v>821</v>
      </c>
      <c r="D14" s="10" t="s">
        <v>792</v>
      </c>
      <c r="E14" s="10" t="s">
        <v>816</v>
      </c>
      <c r="F14" s="10" t="s">
        <v>794</v>
      </c>
      <c r="G14" s="10" t="s">
        <v>806</v>
      </c>
      <c r="H14" s="10" t="s">
        <v>802</v>
      </c>
      <c r="I14" s="10" t="s">
        <v>794</v>
      </c>
      <c r="J14" s="10" t="s">
        <v>817</v>
      </c>
    </row>
    <row r="15" spans="1:10" ht="15" hidden="1" customHeight="1">
      <c r="A15" s="9">
        <v>11</v>
      </c>
      <c r="B15" s="10" t="s">
        <v>822</v>
      </c>
      <c r="C15" s="10" t="s">
        <v>823</v>
      </c>
      <c r="D15" s="10" t="s">
        <v>792</v>
      </c>
      <c r="E15" s="10" t="s">
        <v>816</v>
      </c>
      <c r="F15" s="10" t="s">
        <v>794</v>
      </c>
      <c r="G15" s="10" t="s">
        <v>806</v>
      </c>
      <c r="H15" s="10" t="s">
        <v>802</v>
      </c>
      <c r="I15" s="10" t="s">
        <v>794</v>
      </c>
      <c r="J15" s="10" t="s">
        <v>817</v>
      </c>
    </row>
    <row r="16" spans="1:10" ht="15" hidden="1" customHeight="1">
      <c r="A16" s="9">
        <v>12</v>
      </c>
      <c r="B16" s="10" t="s">
        <v>824</v>
      </c>
      <c r="C16" s="10" t="s">
        <v>825</v>
      </c>
      <c r="D16" s="10" t="s">
        <v>792</v>
      </c>
      <c r="E16" s="10" t="s">
        <v>816</v>
      </c>
      <c r="F16" s="10" t="s">
        <v>794</v>
      </c>
      <c r="G16" s="10" t="s">
        <v>806</v>
      </c>
      <c r="H16" s="10" t="s">
        <v>802</v>
      </c>
      <c r="I16" s="10" t="s">
        <v>794</v>
      </c>
      <c r="J16" s="10" t="s">
        <v>817</v>
      </c>
    </row>
    <row r="17" spans="1:10" ht="15" hidden="1" customHeight="1">
      <c r="A17" s="9">
        <v>13</v>
      </c>
      <c r="B17" s="10" t="s">
        <v>826</v>
      </c>
      <c r="C17" s="10" t="s">
        <v>827</v>
      </c>
      <c r="D17" s="10" t="s">
        <v>792</v>
      </c>
      <c r="E17" s="10" t="s">
        <v>816</v>
      </c>
      <c r="F17" s="10" t="s">
        <v>794</v>
      </c>
      <c r="G17" s="10" t="s">
        <v>828</v>
      </c>
      <c r="H17" s="10" t="s">
        <v>802</v>
      </c>
      <c r="I17" s="10" t="s">
        <v>794</v>
      </c>
      <c r="J17" s="10" t="s">
        <v>817</v>
      </c>
    </row>
    <row r="18" spans="1:10" ht="15" hidden="1" customHeight="1">
      <c r="A18" s="9">
        <v>14</v>
      </c>
      <c r="B18" s="10" t="s">
        <v>829</v>
      </c>
      <c r="C18" s="10" t="s">
        <v>830</v>
      </c>
      <c r="D18" s="10" t="s">
        <v>792</v>
      </c>
      <c r="E18" s="10" t="s">
        <v>816</v>
      </c>
      <c r="F18" s="10" t="s">
        <v>794</v>
      </c>
      <c r="G18" s="10" t="s">
        <v>806</v>
      </c>
      <c r="H18" s="10" t="s">
        <v>802</v>
      </c>
      <c r="I18" s="10" t="s">
        <v>794</v>
      </c>
      <c r="J18" s="10" t="s">
        <v>817</v>
      </c>
    </row>
    <row r="19" spans="1:10" ht="15" hidden="1" customHeight="1">
      <c r="A19" s="9">
        <v>15</v>
      </c>
      <c r="B19" s="10" t="s">
        <v>831</v>
      </c>
      <c r="C19" s="10" t="s">
        <v>832</v>
      </c>
      <c r="D19" s="10" t="s">
        <v>792</v>
      </c>
      <c r="E19" s="10" t="s">
        <v>833</v>
      </c>
      <c r="F19" s="10" t="s">
        <v>794</v>
      </c>
      <c r="G19" s="10" t="s">
        <v>806</v>
      </c>
      <c r="H19" s="10" t="s">
        <v>802</v>
      </c>
      <c r="I19" s="10" t="s">
        <v>794</v>
      </c>
      <c r="J19" s="10" t="s">
        <v>817</v>
      </c>
    </row>
    <row r="20" spans="1:10" ht="15" hidden="1" customHeight="1">
      <c r="A20" s="9">
        <v>16</v>
      </c>
      <c r="B20" s="10" t="s">
        <v>834</v>
      </c>
      <c r="C20" s="10" t="s">
        <v>835</v>
      </c>
      <c r="D20" s="10" t="s">
        <v>792</v>
      </c>
      <c r="E20" s="10" t="s">
        <v>833</v>
      </c>
      <c r="F20" s="10" t="s">
        <v>794</v>
      </c>
      <c r="G20" s="10" t="s">
        <v>806</v>
      </c>
      <c r="H20" s="10" t="s">
        <v>802</v>
      </c>
      <c r="I20" s="10" t="s">
        <v>794</v>
      </c>
      <c r="J20" s="10" t="s">
        <v>817</v>
      </c>
    </row>
    <row r="21" spans="1:10" ht="15" hidden="1" customHeight="1">
      <c r="A21" s="9">
        <v>17</v>
      </c>
      <c r="B21" s="10" t="s">
        <v>836</v>
      </c>
      <c r="C21" s="10" t="s">
        <v>837</v>
      </c>
      <c r="D21" s="10" t="s">
        <v>792</v>
      </c>
      <c r="E21" s="10" t="s">
        <v>833</v>
      </c>
      <c r="F21" s="10" t="s">
        <v>794</v>
      </c>
      <c r="G21" s="10" t="s">
        <v>806</v>
      </c>
      <c r="H21" s="10" t="s">
        <v>802</v>
      </c>
      <c r="I21" s="10" t="s">
        <v>794</v>
      </c>
      <c r="J21" s="10" t="s">
        <v>817</v>
      </c>
    </row>
    <row r="22" spans="1:10" ht="15" hidden="1" customHeight="1">
      <c r="A22" s="9">
        <v>18</v>
      </c>
      <c r="B22" s="10" t="s">
        <v>838</v>
      </c>
      <c r="C22" s="10" t="s">
        <v>839</v>
      </c>
      <c r="D22" s="10" t="s">
        <v>792</v>
      </c>
      <c r="E22" s="10" t="s">
        <v>833</v>
      </c>
      <c r="F22" s="10" t="s">
        <v>794</v>
      </c>
      <c r="G22" s="10" t="s">
        <v>806</v>
      </c>
      <c r="H22" s="10" t="s">
        <v>802</v>
      </c>
      <c r="I22" s="10" t="s">
        <v>794</v>
      </c>
      <c r="J22" s="10" t="s">
        <v>817</v>
      </c>
    </row>
    <row r="23" spans="1:10" ht="15" hidden="1" customHeight="1">
      <c r="A23" s="9">
        <v>19</v>
      </c>
      <c r="B23" s="10" t="s">
        <v>840</v>
      </c>
      <c r="C23" s="10" t="s">
        <v>841</v>
      </c>
      <c r="D23" s="10" t="s">
        <v>792</v>
      </c>
      <c r="E23" s="10" t="s">
        <v>833</v>
      </c>
      <c r="F23" s="10" t="s">
        <v>794</v>
      </c>
      <c r="G23" s="10" t="s">
        <v>806</v>
      </c>
      <c r="H23" s="10" t="s">
        <v>802</v>
      </c>
      <c r="I23" s="10" t="s">
        <v>794</v>
      </c>
      <c r="J23" s="10" t="s">
        <v>817</v>
      </c>
    </row>
    <row r="24" spans="1:10" ht="15" hidden="1" customHeight="1">
      <c r="A24" s="9">
        <v>20</v>
      </c>
      <c r="B24" s="10" t="s">
        <v>842</v>
      </c>
      <c r="C24" s="10" t="s">
        <v>843</v>
      </c>
      <c r="D24" s="10" t="s">
        <v>792</v>
      </c>
      <c r="E24" s="10" t="s">
        <v>833</v>
      </c>
      <c r="F24" s="10" t="s">
        <v>794</v>
      </c>
      <c r="G24" s="10" t="s">
        <v>806</v>
      </c>
      <c r="H24" s="10" t="s">
        <v>802</v>
      </c>
      <c r="I24" s="10" t="s">
        <v>794</v>
      </c>
      <c r="J24" s="10" t="s">
        <v>817</v>
      </c>
    </row>
    <row r="25" spans="1:10" ht="15" hidden="1" customHeight="1">
      <c r="A25" s="9">
        <v>21</v>
      </c>
      <c r="B25" s="10" t="s">
        <v>844</v>
      </c>
      <c r="C25" s="10" t="s">
        <v>845</v>
      </c>
      <c r="D25" s="10" t="s">
        <v>792</v>
      </c>
      <c r="E25" s="10" t="s">
        <v>833</v>
      </c>
      <c r="F25" s="10" t="s">
        <v>794</v>
      </c>
      <c r="G25" s="10" t="s">
        <v>806</v>
      </c>
      <c r="H25" s="10" t="s">
        <v>802</v>
      </c>
      <c r="I25" s="10" t="s">
        <v>794</v>
      </c>
      <c r="J25" s="10" t="s">
        <v>817</v>
      </c>
    </row>
    <row r="26" spans="1:10" ht="15" hidden="1" customHeight="1">
      <c r="A26" s="9">
        <v>22</v>
      </c>
      <c r="B26" s="10" t="s">
        <v>846</v>
      </c>
      <c r="C26" s="10" t="s">
        <v>847</v>
      </c>
      <c r="D26" s="10" t="s">
        <v>792</v>
      </c>
      <c r="E26" s="10" t="s">
        <v>833</v>
      </c>
      <c r="F26" s="10" t="s">
        <v>794</v>
      </c>
      <c r="G26" s="10" t="s">
        <v>806</v>
      </c>
      <c r="H26" s="10" t="s">
        <v>802</v>
      </c>
      <c r="I26" s="10" t="s">
        <v>794</v>
      </c>
      <c r="J26" s="10" t="s">
        <v>817</v>
      </c>
    </row>
    <row r="27" spans="1:10" ht="15" hidden="1" customHeight="1">
      <c r="A27" s="9">
        <v>23</v>
      </c>
      <c r="B27" s="10" t="s">
        <v>848</v>
      </c>
      <c r="C27" s="10" t="s">
        <v>849</v>
      </c>
      <c r="D27" s="10" t="s">
        <v>792</v>
      </c>
      <c r="E27" s="10" t="s">
        <v>833</v>
      </c>
      <c r="F27" s="10" t="s">
        <v>794</v>
      </c>
      <c r="G27" s="10" t="s">
        <v>806</v>
      </c>
      <c r="H27" s="10" t="s">
        <v>802</v>
      </c>
      <c r="I27" s="10" t="s">
        <v>794</v>
      </c>
      <c r="J27" s="10" t="s">
        <v>817</v>
      </c>
    </row>
    <row r="28" spans="1:10" ht="15" hidden="1" customHeight="1">
      <c r="A28" s="9">
        <v>24</v>
      </c>
      <c r="B28" s="10" t="s">
        <v>850</v>
      </c>
      <c r="C28" s="10" t="s">
        <v>851</v>
      </c>
      <c r="D28" s="10" t="s">
        <v>792</v>
      </c>
      <c r="E28" s="10" t="s">
        <v>833</v>
      </c>
      <c r="F28" s="10" t="s">
        <v>794</v>
      </c>
      <c r="G28" s="10" t="s">
        <v>806</v>
      </c>
      <c r="H28" s="10" t="s">
        <v>802</v>
      </c>
      <c r="I28" s="10" t="s">
        <v>794</v>
      </c>
      <c r="J28" s="10" t="s">
        <v>817</v>
      </c>
    </row>
    <row r="29" spans="1:10" ht="15" hidden="1" customHeight="1">
      <c r="A29" s="9">
        <v>25</v>
      </c>
      <c r="B29" s="10" t="s">
        <v>852</v>
      </c>
      <c r="C29" s="10" t="s">
        <v>853</v>
      </c>
      <c r="D29" s="10" t="s">
        <v>792</v>
      </c>
      <c r="E29" s="10" t="s">
        <v>833</v>
      </c>
      <c r="F29" s="10" t="s">
        <v>794</v>
      </c>
      <c r="G29" s="10" t="s">
        <v>806</v>
      </c>
      <c r="H29" s="10" t="s">
        <v>802</v>
      </c>
      <c r="I29" s="10" t="s">
        <v>794</v>
      </c>
      <c r="J29" s="10" t="s">
        <v>817</v>
      </c>
    </row>
    <row r="30" spans="1:10" ht="15" hidden="1" customHeight="1">
      <c r="A30" s="9">
        <v>26</v>
      </c>
      <c r="B30" s="10" t="s">
        <v>854</v>
      </c>
      <c r="C30" s="10" t="s">
        <v>855</v>
      </c>
      <c r="D30" s="10" t="s">
        <v>792</v>
      </c>
      <c r="E30" s="10" t="s">
        <v>856</v>
      </c>
      <c r="F30" s="10" t="s">
        <v>794</v>
      </c>
      <c r="G30" s="10" t="s">
        <v>806</v>
      </c>
      <c r="H30" s="10" t="s">
        <v>802</v>
      </c>
      <c r="I30" s="10" t="s">
        <v>794</v>
      </c>
      <c r="J30" s="10" t="s">
        <v>817</v>
      </c>
    </row>
    <row r="31" spans="1:10" ht="15" hidden="1" customHeight="1">
      <c r="A31" s="9">
        <v>27</v>
      </c>
      <c r="B31" s="10" t="s">
        <v>857</v>
      </c>
      <c r="C31" s="10" t="s">
        <v>858</v>
      </c>
      <c r="D31" s="10" t="s">
        <v>792</v>
      </c>
      <c r="E31" s="10" t="s">
        <v>856</v>
      </c>
      <c r="F31" s="10" t="s">
        <v>794</v>
      </c>
      <c r="G31" s="10" t="s">
        <v>806</v>
      </c>
      <c r="H31" s="10" t="s">
        <v>802</v>
      </c>
      <c r="I31" s="10" t="s">
        <v>794</v>
      </c>
      <c r="J31" s="10" t="s">
        <v>817</v>
      </c>
    </row>
    <row r="32" spans="1:10" ht="15" hidden="1" customHeight="1">
      <c r="A32" s="9">
        <v>28</v>
      </c>
      <c r="B32" s="10" t="s">
        <v>859</v>
      </c>
      <c r="C32" s="10" t="s">
        <v>860</v>
      </c>
      <c r="D32" s="10" t="s">
        <v>792</v>
      </c>
      <c r="E32" s="10" t="s">
        <v>856</v>
      </c>
      <c r="F32" s="10" t="s">
        <v>794</v>
      </c>
      <c r="G32" s="10" t="s">
        <v>806</v>
      </c>
      <c r="H32" s="10" t="s">
        <v>802</v>
      </c>
      <c r="I32" s="10" t="s">
        <v>794</v>
      </c>
      <c r="J32" s="10" t="s">
        <v>817</v>
      </c>
    </row>
    <row r="33" spans="1:10" ht="15" hidden="1" customHeight="1">
      <c r="A33" s="9">
        <v>29</v>
      </c>
      <c r="B33" s="10" t="s">
        <v>861</v>
      </c>
      <c r="C33" s="10" t="s">
        <v>862</v>
      </c>
      <c r="D33" s="10" t="s">
        <v>792</v>
      </c>
      <c r="E33" s="10" t="s">
        <v>863</v>
      </c>
      <c r="F33" s="10" t="s">
        <v>794</v>
      </c>
      <c r="G33" s="10" t="s">
        <v>801</v>
      </c>
      <c r="H33" s="10" t="s">
        <v>802</v>
      </c>
      <c r="I33" s="10" t="s">
        <v>794</v>
      </c>
      <c r="J33" s="10" t="s">
        <v>795</v>
      </c>
    </row>
    <row r="34" spans="1:10" ht="15" hidden="1" customHeight="1">
      <c r="A34" s="9">
        <v>30</v>
      </c>
      <c r="B34" s="10" t="s">
        <v>864</v>
      </c>
      <c r="C34" s="10" t="s">
        <v>865</v>
      </c>
      <c r="D34" s="10" t="s">
        <v>792</v>
      </c>
      <c r="E34" s="10" t="s">
        <v>863</v>
      </c>
      <c r="F34" s="10" t="s">
        <v>794</v>
      </c>
      <c r="G34" s="10" t="s">
        <v>801</v>
      </c>
      <c r="H34" s="10" t="s">
        <v>802</v>
      </c>
      <c r="I34" s="10" t="s">
        <v>794</v>
      </c>
      <c r="J34" s="10" t="s">
        <v>795</v>
      </c>
    </row>
    <row r="35" spans="1:10" ht="15" hidden="1" customHeight="1">
      <c r="A35" s="9">
        <v>31</v>
      </c>
      <c r="B35" s="10" t="s">
        <v>866</v>
      </c>
      <c r="C35" s="10" t="s">
        <v>867</v>
      </c>
      <c r="D35" s="10" t="s">
        <v>792</v>
      </c>
      <c r="E35" s="10" t="s">
        <v>863</v>
      </c>
      <c r="F35" s="10" t="s">
        <v>794</v>
      </c>
      <c r="G35" s="10" t="s">
        <v>801</v>
      </c>
      <c r="H35" s="10" t="s">
        <v>802</v>
      </c>
      <c r="I35" s="10" t="s">
        <v>794</v>
      </c>
      <c r="J35" s="10" t="s">
        <v>795</v>
      </c>
    </row>
    <row r="36" spans="1:10" ht="15" hidden="1" customHeight="1">
      <c r="A36" s="9">
        <v>32</v>
      </c>
      <c r="B36" s="10" t="s">
        <v>868</v>
      </c>
      <c r="C36" s="10" t="s">
        <v>869</v>
      </c>
      <c r="D36" s="10" t="s">
        <v>792</v>
      </c>
      <c r="E36" s="10" t="s">
        <v>870</v>
      </c>
      <c r="F36" s="10" t="s">
        <v>794</v>
      </c>
      <c r="G36" s="10" t="s">
        <v>871</v>
      </c>
      <c r="H36" s="10" t="s">
        <v>802</v>
      </c>
      <c r="I36" s="10" t="s">
        <v>794</v>
      </c>
      <c r="J36" s="10" t="s">
        <v>795</v>
      </c>
    </row>
    <row r="37" spans="1:10" ht="15" hidden="1" customHeight="1">
      <c r="A37" s="9">
        <v>33</v>
      </c>
      <c r="B37" s="10" t="s">
        <v>872</v>
      </c>
      <c r="C37" s="10" t="s">
        <v>873</v>
      </c>
      <c r="D37" s="10" t="s">
        <v>792</v>
      </c>
      <c r="E37" s="10" t="s">
        <v>870</v>
      </c>
      <c r="F37" s="10" t="s">
        <v>794</v>
      </c>
      <c r="G37" s="10" t="s">
        <v>871</v>
      </c>
      <c r="H37" s="10" t="s">
        <v>802</v>
      </c>
      <c r="I37" s="10" t="s">
        <v>794</v>
      </c>
      <c r="J37" s="10" t="s">
        <v>795</v>
      </c>
    </row>
    <row r="38" spans="1:10" ht="15" hidden="1" customHeight="1">
      <c r="A38" s="9">
        <v>34</v>
      </c>
      <c r="B38" s="10" t="s">
        <v>874</v>
      </c>
      <c r="C38" s="10" t="s">
        <v>875</v>
      </c>
      <c r="D38" s="10" t="s">
        <v>792</v>
      </c>
      <c r="E38" s="10" t="s">
        <v>876</v>
      </c>
      <c r="F38" s="10" t="s">
        <v>794</v>
      </c>
      <c r="G38" s="10" t="s">
        <v>871</v>
      </c>
      <c r="H38" s="10" t="s">
        <v>802</v>
      </c>
      <c r="I38" s="10" t="s">
        <v>794</v>
      </c>
      <c r="J38" s="10" t="s">
        <v>795</v>
      </c>
    </row>
    <row r="39" spans="1:10" ht="15" hidden="1" customHeight="1">
      <c r="A39" s="9">
        <v>35</v>
      </c>
      <c r="B39" s="10" t="s">
        <v>877</v>
      </c>
      <c r="C39" s="10" t="s">
        <v>878</v>
      </c>
      <c r="D39" s="10" t="s">
        <v>792</v>
      </c>
      <c r="E39" s="10" t="s">
        <v>879</v>
      </c>
      <c r="F39" s="10" t="s">
        <v>794</v>
      </c>
      <c r="G39" s="10" t="s">
        <v>880</v>
      </c>
      <c r="H39" s="10" t="s">
        <v>802</v>
      </c>
      <c r="I39" s="10" t="s">
        <v>794</v>
      </c>
      <c r="J39" s="10" t="s">
        <v>881</v>
      </c>
    </row>
    <row r="40" spans="1:10" ht="15" hidden="1" customHeight="1">
      <c r="A40" s="9">
        <v>36</v>
      </c>
      <c r="B40" s="10" t="s">
        <v>882</v>
      </c>
      <c r="C40" s="10" t="s">
        <v>883</v>
      </c>
      <c r="D40" s="10" t="s">
        <v>792</v>
      </c>
      <c r="E40" s="10" t="s">
        <v>879</v>
      </c>
      <c r="F40" s="10" t="s">
        <v>794</v>
      </c>
      <c r="G40" s="10" t="s">
        <v>880</v>
      </c>
      <c r="H40" s="10" t="s">
        <v>802</v>
      </c>
      <c r="I40" s="10" t="s">
        <v>794</v>
      </c>
      <c r="J40" s="10" t="s">
        <v>881</v>
      </c>
    </row>
    <row r="41" spans="1:10" ht="15" hidden="1" customHeight="1">
      <c r="A41" s="9">
        <v>37</v>
      </c>
      <c r="B41" s="10" t="s">
        <v>884</v>
      </c>
      <c r="C41" s="10" t="s">
        <v>885</v>
      </c>
      <c r="D41" s="10" t="s">
        <v>792</v>
      </c>
      <c r="E41" s="10" t="s">
        <v>879</v>
      </c>
      <c r="F41" s="10" t="s">
        <v>794</v>
      </c>
      <c r="G41" s="10" t="s">
        <v>880</v>
      </c>
      <c r="H41" s="10" t="s">
        <v>802</v>
      </c>
      <c r="I41" s="10" t="s">
        <v>794</v>
      </c>
      <c r="J41" s="10" t="s">
        <v>881</v>
      </c>
    </row>
    <row r="42" spans="1:10" ht="15" hidden="1" customHeight="1">
      <c r="A42" s="9">
        <v>38</v>
      </c>
      <c r="B42" s="10" t="s">
        <v>886</v>
      </c>
      <c r="C42" s="10" t="s">
        <v>887</v>
      </c>
      <c r="D42" s="10" t="s">
        <v>792</v>
      </c>
      <c r="E42" s="10" t="s">
        <v>879</v>
      </c>
      <c r="F42" s="10" t="s">
        <v>794</v>
      </c>
      <c r="G42" s="10" t="s">
        <v>880</v>
      </c>
      <c r="H42" s="10" t="s">
        <v>802</v>
      </c>
      <c r="I42" s="10" t="s">
        <v>794</v>
      </c>
      <c r="J42" s="10" t="s">
        <v>881</v>
      </c>
    </row>
    <row r="43" spans="1:10" ht="15" hidden="1" customHeight="1">
      <c r="A43" s="9">
        <v>39</v>
      </c>
      <c r="B43" s="10" t="s">
        <v>888</v>
      </c>
      <c r="C43" s="10" t="s">
        <v>889</v>
      </c>
      <c r="D43" s="10" t="s">
        <v>792</v>
      </c>
      <c r="E43" s="10" t="s">
        <v>879</v>
      </c>
      <c r="F43" s="10" t="s">
        <v>794</v>
      </c>
      <c r="G43" s="10" t="s">
        <v>880</v>
      </c>
      <c r="H43" s="10" t="s">
        <v>802</v>
      </c>
      <c r="I43" s="10" t="s">
        <v>794</v>
      </c>
      <c r="J43" s="10" t="s">
        <v>881</v>
      </c>
    </row>
    <row r="44" spans="1:10" ht="15" hidden="1" customHeight="1">
      <c r="A44" s="9">
        <v>40</v>
      </c>
      <c r="B44" s="10" t="s">
        <v>890</v>
      </c>
      <c r="C44" s="10" t="s">
        <v>891</v>
      </c>
      <c r="D44" s="10" t="s">
        <v>792</v>
      </c>
      <c r="E44" s="10" t="s">
        <v>879</v>
      </c>
      <c r="F44" s="10" t="s">
        <v>794</v>
      </c>
      <c r="G44" s="10" t="s">
        <v>892</v>
      </c>
      <c r="H44" s="10" t="s">
        <v>802</v>
      </c>
      <c r="I44" s="10" t="s">
        <v>794</v>
      </c>
      <c r="J44" s="10" t="s">
        <v>881</v>
      </c>
    </row>
    <row r="45" spans="1:10" ht="15" hidden="1" customHeight="1">
      <c r="A45" s="9">
        <v>41</v>
      </c>
      <c r="B45" s="10" t="s">
        <v>893</v>
      </c>
      <c r="C45" s="10" t="s">
        <v>894</v>
      </c>
      <c r="D45" s="10" t="s">
        <v>792</v>
      </c>
      <c r="E45" s="10" t="s">
        <v>879</v>
      </c>
      <c r="F45" s="10" t="s">
        <v>794</v>
      </c>
      <c r="G45" s="10" t="s">
        <v>892</v>
      </c>
      <c r="H45" s="10" t="s">
        <v>802</v>
      </c>
      <c r="I45" s="10" t="s">
        <v>794</v>
      </c>
      <c r="J45" s="10" t="s">
        <v>881</v>
      </c>
    </row>
    <row r="46" spans="1:10" ht="15" hidden="1" customHeight="1">
      <c r="A46" s="9">
        <v>42</v>
      </c>
      <c r="B46" s="10" t="s">
        <v>895</v>
      </c>
      <c r="C46" s="10" t="s">
        <v>896</v>
      </c>
      <c r="D46" s="10" t="s">
        <v>792</v>
      </c>
      <c r="E46" s="10" t="s">
        <v>879</v>
      </c>
      <c r="F46" s="10" t="s">
        <v>794</v>
      </c>
      <c r="G46" s="10" t="s">
        <v>892</v>
      </c>
      <c r="H46" s="10" t="s">
        <v>802</v>
      </c>
      <c r="I46" s="10" t="s">
        <v>794</v>
      </c>
      <c r="J46" s="10" t="s">
        <v>881</v>
      </c>
    </row>
    <row r="47" spans="1:10" ht="15" hidden="1" customHeight="1">
      <c r="A47" s="9">
        <v>43</v>
      </c>
      <c r="B47" s="10" t="s">
        <v>897</v>
      </c>
      <c r="C47" s="10" t="s">
        <v>898</v>
      </c>
      <c r="D47" s="10" t="s">
        <v>792</v>
      </c>
      <c r="E47" s="10" t="s">
        <v>879</v>
      </c>
      <c r="F47" s="10" t="s">
        <v>794</v>
      </c>
      <c r="G47" s="10" t="s">
        <v>880</v>
      </c>
      <c r="H47" s="10" t="s">
        <v>802</v>
      </c>
      <c r="I47" s="10" t="s">
        <v>794</v>
      </c>
      <c r="J47" s="10" t="s">
        <v>881</v>
      </c>
    </row>
    <row r="48" spans="1:10" ht="15" hidden="1" customHeight="1">
      <c r="A48" s="9">
        <v>44</v>
      </c>
      <c r="B48" s="10" t="s">
        <v>899</v>
      </c>
      <c r="C48" s="10" t="s">
        <v>900</v>
      </c>
      <c r="D48" s="10" t="s">
        <v>792</v>
      </c>
      <c r="E48" s="10" t="s">
        <v>879</v>
      </c>
      <c r="F48" s="10" t="s">
        <v>794</v>
      </c>
      <c r="G48" s="10" t="s">
        <v>880</v>
      </c>
      <c r="H48" s="10" t="s">
        <v>802</v>
      </c>
      <c r="I48" s="10" t="s">
        <v>794</v>
      </c>
      <c r="J48" s="10" t="s">
        <v>881</v>
      </c>
    </row>
    <row r="49" spans="1:10" ht="15" hidden="1" customHeight="1">
      <c r="A49" s="9">
        <v>45</v>
      </c>
      <c r="B49" s="10" t="s">
        <v>901</v>
      </c>
      <c r="C49" s="10" t="s">
        <v>902</v>
      </c>
      <c r="D49" s="10" t="s">
        <v>792</v>
      </c>
      <c r="E49" s="10" t="s">
        <v>879</v>
      </c>
      <c r="F49" s="10" t="s">
        <v>794</v>
      </c>
      <c r="G49" s="10" t="s">
        <v>880</v>
      </c>
      <c r="H49" s="10" t="s">
        <v>802</v>
      </c>
      <c r="I49" s="10" t="s">
        <v>794</v>
      </c>
      <c r="J49" s="10" t="s">
        <v>881</v>
      </c>
    </row>
    <row r="50" spans="1:10" ht="15" hidden="1" customHeight="1">
      <c r="A50" s="9">
        <v>46</v>
      </c>
      <c r="B50" s="10" t="s">
        <v>903</v>
      </c>
      <c r="C50" s="10" t="s">
        <v>904</v>
      </c>
      <c r="D50" s="10" t="s">
        <v>792</v>
      </c>
      <c r="E50" s="10" t="s">
        <v>879</v>
      </c>
      <c r="F50" s="10" t="s">
        <v>794</v>
      </c>
      <c r="G50" s="10" t="s">
        <v>880</v>
      </c>
      <c r="H50" s="10" t="s">
        <v>802</v>
      </c>
      <c r="I50" s="10" t="s">
        <v>794</v>
      </c>
      <c r="J50" s="10" t="s">
        <v>881</v>
      </c>
    </row>
    <row r="51" spans="1:10" ht="15" hidden="1" customHeight="1">
      <c r="A51" s="9">
        <v>47</v>
      </c>
      <c r="B51" s="10" t="s">
        <v>905</v>
      </c>
      <c r="C51" s="10" t="s">
        <v>906</v>
      </c>
      <c r="D51" s="10" t="s">
        <v>792</v>
      </c>
      <c r="E51" s="10" t="s">
        <v>879</v>
      </c>
      <c r="F51" s="10" t="s">
        <v>794</v>
      </c>
      <c r="G51" s="10" t="s">
        <v>892</v>
      </c>
      <c r="H51" s="10" t="s">
        <v>802</v>
      </c>
      <c r="I51" s="10" t="s">
        <v>794</v>
      </c>
      <c r="J51" s="10" t="s">
        <v>881</v>
      </c>
    </row>
    <row r="52" spans="1:10" ht="15" hidden="1" customHeight="1">
      <c r="A52" s="9">
        <v>48</v>
      </c>
      <c r="B52" s="10" t="s">
        <v>907</v>
      </c>
      <c r="C52" s="10" t="s">
        <v>908</v>
      </c>
      <c r="D52" s="10" t="s">
        <v>792</v>
      </c>
      <c r="E52" s="10" t="s">
        <v>879</v>
      </c>
      <c r="F52" s="10" t="s">
        <v>794</v>
      </c>
      <c r="G52" s="10" t="s">
        <v>892</v>
      </c>
      <c r="H52" s="10" t="s">
        <v>802</v>
      </c>
      <c r="I52" s="10" t="s">
        <v>794</v>
      </c>
      <c r="J52" s="10" t="s">
        <v>881</v>
      </c>
    </row>
    <row r="53" spans="1:10" ht="15" hidden="1" customHeight="1">
      <c r="A53" s="9">
        <v>49</v>
      </c>
      <c r="B53" s="10" t="s">
        <v>909</v>
      </c>
      <c r="C53" s="10" t="s">
        <v>910</v>
      </c>
      <c r="D53" s="10" t="s">
        <v>792</v>
      </c>
      <c r="E53" s="10" t="s">
        <v>879</v>
      </c>
      <c r="F53" s="10" t="s">
        <v>794</v>
      </c>
      <c r="G53" s="10" t="s">
        <v>911</v>
      </c>
      <c r="H53" s="10" t="s">
        <v>802</v>
      </c>
      <c r="I53" s="10" t="s">
        <v>794</v>
      </c>
      <c r="J53" s="10" t="s">
        <v>881</v>
      </c>
    </row>
    <row r="54" spans="1:10" ht="15" hidden="1" customHeight="1">
      <c r="A54" s="9">
        <v>50</v>
      </c>
      <c r="B54" s="10" t="s">
        <v>912</v>
      </c>
      <c r="C54" s="10" t="s">
        <v>913</v>
      </c>
      <c r="D54" s="10" t="s">
        <v>792</v>
      </c>
      <c r="E54" s="10" t="s">
        <v>879</v>
      </c>
      <c r="F54" s="10" t="s">
        <v>794</v>
      </c>
      <c r="G54" s="10" t="s">
        <v>911</v>
      </c>
      <c r="H54" s="10" t="s">
        <v>802</v>
      </c>
      <c r="I54" s="10" t="s">
        <v>794</v>
      </c>
      <c r="J54" s="10" t="s">
        <v>881</v>
      </c>
    </row>
    <row r="55" spans="1:10" ht="15" hidden="1" customHeight="1">
      <c r="A55" s="9">
        <v>51</v>
      </c>
      <c r="B55" s="10" t="s">
        <v>914</v>
      </c>
      <c r="C55" s="10" t="s">
        <v>915</v>
      </c>
      <c r="D55" s="10" t="s">
        <v>792</v>
      </c>
      <c r="E55" s="10" t="s">
        <v>879</v>
      </c>
      <c r="F55" s="10" t="s">
        <v>794</v>
      </c>
      <c r="G55" s="10" t="s">
        <v>911</v>
      </c>
      <c r="H55" s="10" t="s">
        <v>802</v>
      </c>
      <c r="I55" s="10" t="s">
        <v>794</v>
      </c>
      <c r="J55" s="10" t="s">
        <v>881</v>
      </c>
    </row>
    <row r="56" spans="1:10" ht="15" hidden="1" customHeight="1">
      <c r="A56" s="9">
        <v>52</v>
      </c>
      <c r="B56" s="10" t="s">
        <v>916</v>
      </c>
      <c r="C56" s="10" t="s">
        <v>917</v>
      </c>
      <c r="D56" s="10" t="s">
        <v>792</v>
      </c>
      <c r="E56" s="10" t="s">
        <v>879</v>
      </c>
      <c r="F56" s="10" t="s">
        <v>794</v>
      </c>
      <c r="G56" s="10" t="s">
        <v>892</v>
      </c>
      <c r="H56" s="10" t="s">
        <v>802</v>
      </c>
      <c r="I56" s="10" t="s">
        <v>794</v>
      </c>
      <c r="J56" s="10" t="s">
        <v>881</v>
      </c>
    </row>
    <row r="57" spans="1:10" ht="15" hidden="1" customHeight="1">
      <c r="A57" s="9">
        <v>53</v>
      </c>
      <c r="B57" s="10" t="s">
        <v>918</v>
      </c>
      <c r="C57" s="10" t="s">
        <v>919</v>
      </c>
      <c r="D57" s="10" t="s">
        <v>792</v>
      </c>
      <c r="E57" s="10" t="s">
        <v>879</v>
      </c>
      <c r="F57" s="10" t="s">
        <v>794</v>
      </c>
      <c r="G57" s="10" t="s">
        <v>892</v>
      </c>
      <c r="H57" s="10" t="s">
        <v>802</v>
      </c>
      <c r="I57" s="10" t="s">
        <v>794</v>
      </c>
      <c r="J57" s="10" t="s">
        <v>920</v>
      </c>
    </row>
    <row r="58" spans="1:10" ht="15" hidden="1" customHeight="1">
      <c r="A58" s="9">
        <v>54</v>
      </c>
      <c r="B58" s="10" t="s">
        <v>763</v>
      </c>
      <c r="C58" s="10" t="s">
        <v>921</v>
      </c>
      <c r="D58" s="10" t="s">
        <v>792</v>
      </c>
      <c r="E58" s="10" t="s">
        <v>879</v>
      </c>
      <c r="F58" s="10" t="s">
        <v>794</v>
      </c>
      <c r="G58" s="10" t="s">
        <v>892</v>
      </c>
      <c r="H58" s="10" t="s">
        <v>802</v>
      </c>
      <c r="I58" s="10" t="s">
        <v>794</v>
      </c>
      <c r="J58" s="10" t="s">
        <v>920</v>
      </c>
    </row>
    <row r="59" spans="1:10" ht="15" hidden="1" customHeight="1">
      <c r="A59" s="9">
        <v>55</v>
      </c>
      <c r="B59" s="10" t="s">
        <v>759</v>
      </c>
      <c r="C59" s="10" t="s">
        <v>922</v>
      </c>
      <c r="D59" s="10" t="s">
        <v>792</v>
      </c>
      <c r="E59" s="10" t="s">
        <v>879</v>
      </c>
      <c r="F59" s="10" t="s">
        <v>794</v>
      </c>
      <c r="G59" s="10" t="s">
        <v>892</v>
      </c>
      <c r="H59" s="10" t="s">
        <v>802</v>
      </c>
      <c r="I59" s="10" t="s">
        <v>794</v>
      </c>
      <c r="J59" s="10" t="s">
        <v>920</v>
      </c>
    </row>
    <row r="60" spans="1:10" ht="15" hidden="1" customHeight="1">
      <c r="A60" s="9">
        <v>56</v>
      </c>
      <c r="B60" s="10" t="s">
        <v>923</v>
      </c>
      <c r="C60" s="10" t="s">
        <v>924</v>
      </c>
      <c r="D60" s="10" t="s">
        <v>792</v>
      </c>
      <c r="E60" s="10" t="s">
        <v>879</v>
      </c>
      <c r="F60" s="10" t="s">
        <v>794</v>
      </c>
      <c r="G60" s="10" t="s">
        <v>892</v>
      </c>
      <c r="H60" s="10" t="s">
        <v>802</v>
      </c>
      <c r="I60" s="10" t="s">
        <v>794</v>
      </c>
      <c r="J60" s="10" t="s">
        <v>881</v>
      </c>
    </row>
    <row r="61" spans="1:10" ht="15" hidden="1" customHeight="1">
      <c r="A61" s="9">
        <v>57</v>
      </c>
      <c r="B61" s="10" t="s">
        <v>925</v>
      </c>
      <c r="C61" s="10" t="s">
        <v>926</v>
      </c>
      <c r="D61" s="10" t="s">
        <v>792</v>
      </c>
      <c r="E61" s="10" t="s">
        <v>879</v>
      </c>
      <c r="F61" s="10" t="s">
        <v>794</v>
      </c>
      <c r="G61" s="10" t="s">
        <v>892</v>
      </c>
      <c r="H61" s="10" t="s">
        <v>802</v>
      </c>
      <c r="I61" s="10" t="s">
        <v>794</v>
      </c>
      <c r="J61" s="10" t="s">
        <v>881</v>
      </c>
    </row>
    <row r="62" spans="1:10" ht="15" hidden="1" customHeight="1">
      <c r="A62" s="9">
        <v>58</v>
      </c>
      <c r="B62" s="10" t="s">
        <v>927</v>
      </c>
      <c r="C62" s="10" t="s">
        <v>928</v>
      </c>
      <c r="D62" s="10" t="s">
        <v>792</v>
      </c>
      <c r="E62" s="10" t="s">
        <v>879</v>
      </c>
      <c r="F62" s="10" t="s">
        <v>794</v>
      </c>
      <c r="G62" s="10" t="s">
        <v>892</v>
      </c>
      <c r="H62" s="10" t="s">
        <v>802</v>
      </c>
      <c r="I62" s="10" t="s">
        <v>794</v>
      </c>
      <c r="J62" s="10" t="s">
        <v>881</v>
      </c>
    </row>
    <row r="63" spans="1:10" ht="15" hidden="1" customHeight="1">
      <c r="A63" s="9">
        <v>59</v>
      </c>
      <c r="B63" s="10" t="s">
        <v>929</v>
      </c>
      <c r="C63" s="10" t="s">
        <v>930</v>
      </c>
      <c r="D63" s="10" t="s">
        <v>792</v>
      </c>
      <c r="E63" s="10" t="s">
        <v>879</v>
      </c>
      <c r="F63" s="10" t="s">
        <v>794</v>
      </c>
      <c r="G63" s="10" t="s">
        <v>892</v>
      </c>
      <c r="H63" s="10" t="s">
        <v>802</v>
      </c>
      <c r="I63" s="10" t="s">
        <v>794</v>
      </c>
      <c r="J63" s="10" t="s">
        <v>881</v>
      </c>
    </row>
    <row r="64" spans="1:10" ht="15" hidden="1" customHeight="1">
      <c r="A64" s="9">
        <v>60</v>
      </c>
      <c r="B64" s="10" t="s">
        <v>931</v>
      </c>
      <c r="C64" s="10" t="s">
        <v>932</v>
      </c>
      <c r="D64" s="10" t="s">
        <v>792</v>
      </c>
      <c r="E64" s="10" t="s">
        <v>879</v>
      </c>
      <c r="F64" s="10" t="s">
        <v>794</v>
      </c>
      <c r="G64" s="10" t="s">
        <v>892</v>
      </c>
      <c r="H64" s="10" t="s">
        <v>802</v>
      </c>
      <c r="I64" s="10" t="s">
        <v>794</v>
      </c>
      <c r="J64" s="10" t="s">
        <v>920</v>
      </c>
    </row>
    <row r="65" spans="1:10" ht="15" hidden="1" customHeight="1">
      <c r="A65" s="9">
        <v>61</v>
      </c>
      <c r="B65" s="10" t="s">
        <v>933</v>
      </c>
      <c r="C65" s="10" t="s">
        <v>934</v>
      </c>
      <c r="D65" s="10" t="s">
        <v>792</v>
      </c>
      <c r="E65" s="10" t="s">
        <v>879</v>
      </c>
      <c r="F65" s="10" t="s">
        <v>794</v>
      </c>
      <c r="G65" s="10" t="s">
        <v>892</v>
      </c>
      <c r="H65" s="10" t="s">
        <v>802</v>
      </c>
      <c r="I65" s="10" t="s">
        <v>794</v>
      </c>
      <c r="J65" s="10" t="s">
        <v>920</v>
      </c>
    </row>
    <row r="66" spans="1:10" ht="15" hidden="1" customHeight="1">
      <c r="A66" s="9">
        <v>62</v>
      </c>
      <c r="B66" s="10" t="s">
        <v>935</v>
      </c>
      <c r="C66" s="10" t="s">
        <v>936</v>
      </c>
      <c r="D66" s="10" t="s">
        <v>792</v>
      </c>
      <c r="E66" s="10" t="s">
        <v>879</v>
      </c>
      <c r="F66" s="10" t="s">
        <v>794</v>
      </c>
      <c r="G66" s="10" t="s">
        <v>892</v>
      </c>
      <c r="H66" s="10" t="s">
        <v>802</v>
      </c>
      <c r="I66" s="10" t="s">
        <v>794</v>
      </c>
      <c r="J66" s="10" t="s">
        <v>920</v>
      </c>
    </row>
    <row r="67" spans="1:10" ht="15" hidden="1" customHeight="1">
      <c r="A67" s="9">
        <v>63</v>
      </c>
      <c r="B67" s="10" t="s">
        <v>937</v>
      </c>
      <c r="C67" s="10" t="s">
        <v>938</v>
      </c>
      <c r="D67" s="10" t="s">
        <v>792</v>
      </c>
      <c r="E67" s="10" t="s">
        <v>879</v>
      </c>
      <c r="F67" s="10" t="s">
        <v>794</v>
      </c>
      <c r="G67" s="10" t="s">
        <v>892</v>
      </c>
      <c r="H67" s="10" t="s">
        <v>802</v>
      </c>
      <c r="I67" s="10" t="s">
        <v>794</v>
      </c>
      <c r="J67" s="10" t="s">
        <v>881</v>
      </c>
    </row>
    <row r="68" spans="1:10" ht="15" hidden="1" customHeight="1">
      <c r="A68" s="9">
        <v>64</v>
      </c>
      <c r="B68" s="10" t="s">
        <v>939</v>
      </c>
      <c r="C68" s="10" t="s">
        <v>940</v>
      </c>
      <c r="D68" s="10" t="s">
        <v>792</v>
      </c>
      <c r="E68" s="10" t="s">
        <v>879</v>
      </c>
      <c r="F68" s="10" t="s">
        <v>794</v>
      </c>
      <c r="G68" s="10" t="s">
        <v>892</v>
      </c>
      <c r="H68" s="10" t="s">
        <v>802</v>
      </c>
      <c r="I68" s="10" t="s">
        <v>794</v>
      </c>
      <c r="J68" s="10" t="s">
        <v>881</v>
      </c>
    </row>
    <row r="69" spans="1:10" ht="15" hidden="1" customHeight="1">
      <c r="A69" s="9">
        <v>65</v>
      </c>
      <c r="B69" s="10" t="s">
        <v>941</v>
      </c>
      <c r="C69" s="10" t="s">
        <v>942</v>
      </c>
      <c r="D69" s="10" t="s">
        <v>792</v>
      </c>
      <c r="E69" s="10" t="s">
        <v>879</v>
      </c>
      <c r="F69" s="10" t="s">
        <v>794</v>
      </c>
      <c r="G69" s="10" t="s">
        <v>892</v>
      </c>
      <c r="H69" s="10" t="s">
        <v>802</v>
      </c>
      <c r="I69" s="10" t="s">
        <v>794</v>
      </c>
      <c r="J69" s="10" t="s">
        <v>881</v>
      </c>
    </row>
    <row r="70" spans="1:10" ht="15" hidden="1" customHeight="1">
      <c r="A70" s="9">
        <v>66</v>
      </c>
      <c r="B70" s="10" t="s">
        <v>943</v>
      </c>
      <c r="C70" s="10" t="s">
        <v>944</v>
      </c>
      <c r="D70" s="10" t="s">
        <v>792</v>
      </c>
      <c r="E70" s="10" t="s">
        <v>879</v>
      </c>
      <c r="F70" s="10" t="s">
        <v>794</v>
      </c>
      <c r="G70" s="10" t="s">
        <v>892</v>
      </c>
      <c r="H70" s="10" t="s">
        <v>802</v>
      </c>
      <c r="I70" s="10" t="s">
        <v>794</v>
      </c>
      <c r="J70" s="10" t="s">
        <v>881</v>
      </c>
    </row>
    <row r="71" spans="1:10" ht="15" hidden="1" customHeight="1">
      <c r="A71" s="9">
        <v>67</v>
      </c>
      <c r="B71" s="10" t="s">
        <v>945</v>
      </c>
      <c r="C71" s="10" t="s">
        <v>946</v>
      </c>
      <c r="D71" s="10" t="s">
        <v>792</v>
      </c>
      <c r="E71" s="10" t="s">
        <v>879</v>
      </c>
      <c r="F71" s="10" t="s">
        <v>794</v>
      </c>
      <c r="G71" s="10" t="s">
        <v>892</v>
      </c>
      <c r="H71" s="10" t="s">
        <v>802</v>
      </c>
      <c r="I71" s="10" t="s">
        <v>794</v>
      </c>
      <c r="J71" s="10" t="s">
        <v>920</v>
      </c>
    </row>
    <row r="72" spans="1:10" ht="15" hidden="1" customHeight="1">
      <c r="A72" s="9">
        <v>68</v>
      </c>
      <c r="B72" s="10" t="s">
        <v>947</v>
      </c>
      <c r="C72" s="10" t="s">
        <v>948</v>
      </c>
      <c r="D72" s="10" t="s">
        <v>792</v>
      </c>
      <c r="E72" s="10" t="s">
        <v>879</v>
      </c>
      <c r="F72" s="10" t="s">
        <v>794</v>
      </c>
      <c r="G72" s="10" t="s">
        <v>892</v>
      </c>
      <c r="H72" s="10" t="s">
        <v>802</v>
      </c>
      <c r="I72" s="10" t="s">
        <v>794</v>
      </c>
      <c r="J72" s="10" t="s">
        <v>881</v>
      </c>
    </row>
    <row r="73" spans="1:10" ht="15" hidden="1" customHeight="1">
      <c r="A73" s="9">
        <v>69</v>
      </c>
      <c r="B73" s="10" t="s">
        <v>949</v>
      </c>
      <c r="C73" s="10" t="s">
        <v>950</v>
      </c>
      <c r="D73" s="10" t="s">
        <v>792</v>
      </c>
      <c r="E73" s="10" t="s">
        <v>879</v>
      </c>
      <c r="F73" s="10" t="s">
        <v>794</v>
      </c>
      <c r="G73" s="10" t="s">
        <v>892</v>
      </c>
      <c r="H73" s="10" t="s">
        <v>802</v>
      </c>
      <c r="I73" s="10" t="s">
        <v>794</v>
      </c>
      <c r="J73" s="10" t="s">
        <v>881</v>
      </c>
    </row>
    <row r="74" spans="1:10" ht="15" hidden="1" customHeight="1">
      <c r="A74" s="9">
        <v>70</v>
      </c>
      <c r="B74" s="10" t="s">
        <v>951</v>
      </c>
      <c r="C74" s="10" t="s">
        <v>952</v>
      </c>
      <c r="D74" s="10" t="s">
        <v>792</v>
      </c>
      <c r="E74" s="10" t="s">
        <v>879</v>
      </c>
      <c r="F74" s="10" t="s">
        <v>794</v>
      </c>
      <c r="G74" s="10" t="s">
        <v>892</v>
      </c>
      <c r="H74" s="10" t="s">
        <v>802</v>
      </c>
      <c r="I74" s="10" t="s">
        <v>794</v>
      </c>
      <c r="J74" s="10" t="s">
        <v>881</v>
      </c>
    </row>
    <row r="75" spans="1:10" ht="15" hidden="1" customHeight="1">
      <c r="A75" s="9">
        <v>71</v>
      </c>
      <c r="B75" s="10" t="s">
        <v>953</v>
      </c>
      <c r="C75" s="10" t="s">
        <v>954</v>
      </c>
      <c r="D75" s="10" t="s">
        <v>792</v>
      </c>
      <c r="E75" s="10" t="s">
        <v>879</v>
      </c>
      <c r="F75" s="10" t="s">
        <v>794</v>
      </c>
      <c r="G75" s="10" t="s">
        <v>892</v>
      </c>
      <c r="H75" s="10" t="s">
        <v>802</v>
      </c>
      <c r="I75" s="10" t="s">
        <v>794</v>
      </c>
      <c r="J75" s="10" t="s">
        <v>881</v>
      </c>
    </row>
    <row r="76" spans="1:10" ht="15" hidden="1" customHeight="1">
      <c r="A76" s="9">
        <v>72</v>
      </c>
      <c r="B76" s="10" t="s">
        <v>955</v>
      </c>
      <c r="C76" s="10" t="s">
        <v>956</v>
      </c>
      <c r="D76" s="10" t="s">
        <v>792</v>
      </c>
      <c r="E76" s="10" t="s">
        <v>879</v>
      </c>
      <c r="F76" s="10" t="s">
        <v>794</v>
      </c>
      <c r="G76" s="10" t="s">
        <v>892</v>
      </c>
      <c r="H76" s="10" t="s">
        <v>802</v>
      </c>
      <c r="I76" s="10" t="s">
        <v>794</v>
      </c>
      <c r="J76" s="10" t="s">
        <v>920</v>
      </c>
    </row>
    <row r="77" spans="1:10" ht="15" hidden="1" customHeight="1">
      <c r="A77" s="9">
        <v>73</v>
      </c>
      <c r="B77" s="10" t="s">
        <v>957</v>
      </c>
      <c r="C77" s="10" t="s">
        <v>958</v>
      </c>
      <c r="D77" s="10" t="s">
        <v>792</v>
      </c>
      <c r="E77" s="10" t="s">
        <v>879</v>
      </c>
      <c r="F77" s="10" t="s">
        <v>794</v>
      </c>
      <c r="G77" s="10" t="s">
        <v>892</v>
      </c>
      <c r="H77" s="10" t="s">
        <v>802</v>
      </c>
      <c r="I77" s="10" t="s">
        <v>794</v>
      </c>
      <c r="J77" s="10" t="s">
        <v>920</v>
      </c>
    </row>
    <row r="78" spans="1:10" ht="15" hidden="1" customHeight="1">
      <c r="A78" s="9">
        <v>74</v>
      </c>
      <c r="B78" s="10" t="s">
        <v>959</v>
      </c>
      <c r="C78" s="10" t="s">
        <v>960</v>
      </c>
      <c r="D78" s="10" t="s">
        <v>792</v>
      </c>
      <c r="E78" s="10" t="s">
        <v>879</v>
      </c>
      <c r="F78" s="10" t="s">
        <v>794</v>
      </c>
      <c r="G78" s="10" t="s">
        <v>892</v>
      </c>
      <c r="H78" s="10" t="s">
        <v>802</v>
      </c>
      <c r="I78" s="10" t="s">
        <v>794</v>
      </c>
      <c r="J78" s="10" t="s">
        <v>920</v>
      </c>
    </row>
    <row r="79" spans="1:10" ht="15" hidden="1" customHeight="1">
      <c r="A79" s="9">
        <v>75</v>
      </c>
      <c r="B79" s="10" t="s">
        <v>961</v>
      </c>
      <c r="C79" s="10" t="s">
        <v>962</v>
      </c>
      <c r="D79" s="10" t="s">
        <v>792</v>
      </c>
      <c r="E79" s="10" t="s">
        <v>879</v>
      </c>
      <c r="F79" s="10" t="s">
        <v>794</v>
      </c>
      <c r="G79" s="10" t="s">
        <v>892</v>
      </c>
      <c r="H79" s="10" t="s">
        <v>802</v>
      </c>
      <c r="I79" s="10" t="s">
        <v>794</v>
      </c>
      <c r="J79" s="10" t="s">
        <v>920</v>
      </c>
    </row>
    <row r="80" spans="1:10" ht="15" hidden="1" customHeight="1">
      <c r="A80" s="9">
        <v>76</v>
      </c>
      <c r="B80" s="10" t="s">
        <v>963</v>
      </c>
      <c r="C80" s="10" t="s">
        <v>964</v>
      </c>
      <c r="D80" s="10" t="s">
        <v>792</v>
      </c>
      <c r="E80" s="10" t="s">
        <v>879</v>
      </c>
      <c r="F80" s="10" t="s">
        <v>794</v>
      </c>
      <c r="G80" s="10" t="s">
        <v>892</v>
      </c>
      <c r="H80" s="10" t="s">
        <v>802</v>
      </c>
      <c r="I80" s="10" t="s">
        <v>794</v>
      </c>
      <c r="J80" s="10" t="s">
        <v>920</v>
      </c>
    </row>
    <row r="81" spans="1:10" ht="15" hidden="1" customHeight="1">
      <c r="A81" s="9">
        <v>77</v>
      </c>
      <c r="B81" s="10" t="s">
        <v>965</v>
      </c>
      <c r="C81" s="10" t="s">
        <v>966</v>
      </c>
      <c r="D81" s="10" t="s">
        <v>792</v>
      </c>
      <c r="E81" s="10" t="s">
        <v>879</v>
      </c>
      <c r="F81" s="10" t="s">
        <v>794</v>
      </c>
      <c r="G81" s="10" t="s">
        <v>892</v>
      </c>
      <c r="H81" s="10" t="s">
        <v>802</v>
      </c>
      <c r="I81" s="10" t="s">
        <v>794</v>
      </c>
      <c r="J81" s="10" t="s">
        <v>920</v>
      </c>
    </row>
    <row r="82" spans="1:10" ht="15" hidden="1" customHeight="1">
      <c r="A82" s="9">
        <v>78</v>
      </c>
      <c r="B82" s="10" t="s">
        <v>967</v>
      </c>
      <c r="C82" s="10" t="s">
        <v>968</v>
      </c>
      <c r="D82" s="10" t="s">
        <v>792</v>
      </c>
      <c r="E82" s="10" t="s">
        <v>879</v>
      </c>
      <c r="F82" s="10" t="s">
        <v>794</v>
      </c>
      <c r="G82" s="10" t="s">
        <v>892</v>
      </c>
      <c r="H82" s="10" t="s">
        <v>802</v>
      </c>
      <c r="I82" s="10" t="s">
        <v>794</v>
      </c>
      <c r="J82" s="10" t="s">
        <v>881</v>
      </c>
    </row>
    <row r="83" spans="1:10" ht="15" hidden="1" customHeight="1">
      <c r="A83" s="9">
        <v>79</v>
      </c>
      <c r="B83" s="10" t="s">
        <v>969</v>
      </c>
      <c r="C83" s="10" t="s">
        <v>970</v>
      </c>
      <c r="D83" s="10" t="s">
        <v>792</v>
      </c>
      <c r="E83" s="10" t="s">
        <v>879</v>
      </c>
      <c r="F83" s="10" t="s">
        <v>794</v>
      </c>
      <c r="G83" s="10" t="s">
        <v>892</v>
      </c>
      <c r="H83" s="10" t="s">
        <v>802</v>
      </c>
      <c r="I83" s="10" t="s">
        <v>794</v>
      </c>
      <c r="J83" s="10" t="s">
        <v>920</v>
      </c>
    </row>
    <row r="84" spans="1:10" ht="15" hidden="1" customHeight="1">
      <c r="A84" s="9">
        <v>80</v>
      </c>
      <c r="B84" s="10" t="s">
        <v>971</v>
      </c>
      <c r="C84" s="10" t="s">
        <v>972</v>
      </c>
      <c r="D84" s="10" t="s">
        <v>792</v>
      </c>
      <c r="E84" s="10" t="s">
        <v>879</v>
      </c>
      <c r="F84" s="10" t="s">
        <v>794</v>
      </c>
      <c r="G84" s="10" t="s">
        <v>892</v>
      </c>
      <c r="H84" s="10" t="s">
        <v>802</v>
      </c>
      <c r="I84" s="10" t="s">
        <v>794</v>
      </c>
      <c r="J84" s="10" t="s">
        <v>920</v>
      </c>
    </row>
    <row r="85" spans="1:10" ht="15" hidden="1" customHeight="1">
      <c r="A85" s="9">
        <v>81</v>
      </c>
      <c r="B85" s="10" t="s">
        <v>973</v>
      </c>
      <c r="C85" s="10" t="s">
        <v>974</v>
      </c>
      <c r="D85" s="10" t="s">
        <v>792</v>
      </c>
      <c r="E85" s="10" t="s">
        <v>879</v>
      </c>
      <c r="F85" s="10" t="s">
        <v>794</v>
      </c>
      <c r="G85" s="10" t="s">
        <v>892</v>
      </c>
      <c r="H85" s="10" t="s">
        <v>802</v>
      </c>
      <c r="I85" s="10" t="s">
        <v>794</v>
      </c>
      <c r="J85" s="10" t="s">
        <v>920</v>
      </c>
    </row>
    <row r="86" spans="1:10" ht="15" hidden="1" customHeight="1">
      <c r="A86" s="9">
        <v>82</v>
      </c>
      <c r="B86" s="10" t="s">
        <v>975</v>
      </c>
      <c r="C86" s="10" t="s">
        <v>976</v>
      </c>
      <c r="D86" s="10" t="s">
        <v>792</v>
      </c>
      <c r="E86" s="10" t="s">
        <v>879</v>
      </c>
      <c r="F86" s="10" t="s">
        <v>794</v>
      </c>
      <c r="G86" s="10" t="s">
        <v>977</v>
      </c>
      <c r="H86" s="10" t="s">
        <v>978</v>
      </c>
      <c r="I86" s="10" t="s">
        <v>794</v>
      </c>
      <c r="J86" s="10" t="s">
        <v>920</v>
      </c>
    </row>
    <row r="87" spans="1:10" ht="15" hidden="1" customHeight="1">
      <c r="A87" s="9">
        <v>83</v>
      </c>
      <c r="B87" s="10" t="s">
        <v>979</v>
      </c>
      <c r="C87" s="10" t="s">
        <v>980</v>
      </c>
      <c r="D87" s="10" t="s">
        <v>792</v>
      </c>
      <c r="E87" s="10" t="s">
        <v>879</v>
      </c>
      <c r="F87" s="10" t="s">
        <v>794</v>
      </c>
      <c r="G87" s="10" t="s">
        <v>892</v>
      </c>
      <c r="H87" s="10" t="s">
        <v>802</v>
      </c>
      <c r="I87" s="10" t="s">
        <v>794</v>
      </c>
      <c r="J87" s="10" t="s">
        <v>920</v>
      </c>
    </row>
    <row r="88" spans="1:10" ht="15" hidden="1" customHeight="1">
      <c r="A88" s="9">
        <v>84</v>
      </c>
      <c r="B88" s="10" t="s">
        <v>981</v>
      </c>
      <c r="C88" s="10" t="s">
        <v>982</v>
      </c>
      <c r="D88" s="10" t="s">
        <v>792</v>
      </c>
      <c r="E88" s="10" t="s">
        <v>879</v>
      </c>
      <c r="F88" s="10" t="s">
        <v>794</v>
      </c>
      <c r="G88" s="10" t="s">
        <v>880</v>
      </c>
      <c r="H88" s="10" t="s">
        <v>802</v>
      </c>
      <c r="I88" s="10" t="s">
        <v>793</v>
      </c>
      <c r="J88" s="10" t="s">
        <v>881</v>
      </c>
    </row>
    <row r="89" spans="1:10" ht="15" hidden="1" customHeight="1">
      <c r="A89" s="9">
        <v>85</v>
      </c>
      <c r="B89" s="10" t="s">
        <v>983</v>
      </c>
      <c r="C89" s="10" t="s">
        <v>984</v>
      </c>
      <c r="D89" s="10" t="s">
        <v>792</v>
      </c>
      <c r="E89" s="10" t="s">
        <v>879</v>
      </c>
      <c r="F89" s="10" t="s">
        <v>794</v>
      </c>
      <c r="G89" s="10" t="s">
        <v>892</v>
      </c>
      <c r="H89" s="10" t="s">
        <v>802</v>
      </c>
      <c r="I89" s="10" t="s">
        <v>794</v>
      </c>
      <c r="J89" s="10" t="s">
        <v>881</v>
      </c>
    </row>
    <row r="90" spans="1:10" ht="15" hidden="1" customHeight="1">
      <c r="A90" s="9">
        <v>86</v>
      </c>
      <c r="B90" s="10" t="s">
        <v>985</v>
      </c>
      <c r="C90" s="10" t="s">
        <v>986</v>
      </c>
      <c r="D90" s="10" t="s">
        <v>792</v>
      </c>
      <c r="E90" s="10" t="s">
        <v>879</v>
      </c>
      <c r="F90" s="10" t="s">
        <v>794</v>
      </c>
      <c r="G90" s="10" t="s">
        <v>892</v>
      </c>
      <c r="H90" s="10" t="s">
        <v>802</v>
      </c>
      <c r="I90" s="10" t="s">
        <v>793</v>
      </c>
      <c r="J90" s="10" t="s">
        <v>881</v>
      </c>
    </row>
    <row r="91" spans="1:10" ht="15" hidden="1" customHeight="1">
      <c r="A91" s="9">
        <v>87</v>
      </c>
      <c r="B91" s="10" t="s">
        <v>987</v>
      </c>
      <c r="C91" s="10" t="s">
        <v>988</v>
      </c>
      <c r="D91" s="10" t="s">
        <v>792</v>
      </c>
      <c r="E91" s="10" t="s">
        <v>879</v>
      </c>
      <c r="F91" s="10" t="s">
        <v>794</v>
      </c>
      <c r="G91" s="10" t="s">
        <v>892</v>
      </c>
      <c r="H91" s="10" t="s">
        <v>802</v>
      </c>
      <c r="I91" s="10" t="s">
        <v>793</v>
      </c>
      <c r="J91" s="10" t="s">
        <v>881</v>
      </c>
    </row>
    <row r="92" spans="1:10" ht="15" hidden="1" customHeight="1">
      <c r="A92" s="9">
        <v>88</v>
      </c>
      <c r="B92" s="10" t="s">
        <v>989</v>
      </c>
      <c r="C92" s="10" t="s">
        <v>990</v>
      </c>
      <c r="D92" s="10" t="s">
        <v>792</v>
      </c>
      <c r="E92" s="10" t="s">
        <v>879</v>
      </c>
      <c r="F92" s="10" t="s">
        <v>794</v>
      </c>
      <c r="G92" s="10" t="s">
        <v>892</v>
      </c>
      <c r="H92" s="10" t="s">
        <v>802</v>
      </c>
      <c r="I92" s="10" t="s">
        <v>793</v>
      </c>
      <c r="J92" s="10" t="s">
        <v>881</v>
      </c>
    </row>
    <row r="93" spans="1:10" ht="15" hidden="1" customHeight="1">
      <c r="A93" s="9">
        <v>89</v>
      </c>
      <c r="B93" s="10" t="s">
        <v>991</v>
      </c>
      <c r="C93" s="10" t="s">
        <v>992</v>
      </c>
      <c r="D93" s="10" t="s">
        <v>792</v>
      </c>
      <c r="E93" s="10" t="s">
        <v>879</v>
      </c>
      <c r="F93" s="10" t="s">
        <v>794</v>
      </c>
      <c r="G93" s="10" t="s">
        <v>892</v>
      </c>
      <c r="H93" s="10" t="s">
        <v>802</v>
      </c>
      <c r="I93" s="10" t="s">
        <v>793</v>
      </c>
      <c r="J93" s="10" t="s">
        <v>881</v>
      </c>
    </row>
    <row r="94" spans="1:10" ht="15" hidden="1" customHeight="1">
      <c r="A94" s="9">
        <v>90</v>
      </c>
      <c r="B94" s="10" t="s">
        <v>993</v>
      </c>
      <c r="C94" s="10" t="s">
        <v>994</v>
      </c>
      <c r="D94" s="10" t="s">
        <v>792</v>
      </c>
      <c r="E94" s="10" t="s">
        <v>879</v>
      </c>
      <c r="F94" s="10" t="s">
        <v>794</v>
      </c>
      <c r="G94" s="10" t="s">
        <v>892</v>
      </c>
      <c r="H94" s="10" t="s">
        <v>802</v>
      </c>
      <c r="I94" s="10" t="s">
        <v>793</v>
      </c>
      <c r="J94" s="10" t="s">
        <v>881</v>
      </c>
    </row>
    <row r="95" spans="1:10" ht="15" hidden="1" customHeight="1">
      <c r="A95" s="9">
        <v>91</v>
      </c>
      <c r="B95" s="10" t="s">
        <v>995</v>
      </c>
      <c r="C95" s="10" t="s">
        <v>996</v>
      </c>
      <c r="D95" s="10" t="s">
        <v>792</v>
      </c>
      <c r="E95" s="10" t="s">
        <v>879</v>
      </c>
      <c r="F95" s="10" t="s">
        <v>793</v>
      </c>
      <c r="G95" s="10" t="s">
        <v>880</v>
      </c>
      <c r="H95" s="10" t="s">
        <v>802</v>
      </c>
      <c r="I95" s="10" t="s">
        <v>794</v>
      </c>
      <c r="J95" s="10" t="s">
        <v>881</v>
      </c>
    </row>
    <row r="96" spans="1:10" ht="15" hidden="1" customHeight="1">
      <c r="A96" s="9">
        <v>92</v>
      </c>
      <c r="B96" s="10" t="s">
        <v>997</v>
      </c>
      <c r="C96" s="10" t="s">
        <v>998</v>
      </c>
      <c r="D96" s="10" t="s">
        <v>792</v>
      </c>
      <c r="E96" s="10" t="s">
        <v>996</v>
      </c>
      <c r="F96" s="10" t="s">
        <v>794</v>
      </c>
      <c r="G96" s="10" t="s">
        <v>880</v>
      </c>
      <c r="H96" s="10" t="s">
        <v>802</v>
      </c>
      <c r="I96" s="10" t="s">
        <v>794</v>
      </c>
      <c r="J96" s="10" t="s">
        <v>881</v>
      </c>
    </row>
    <row r="97" spans="1:10" ht="15" hidden="1" customHeight="1">
      <c r="A97" s="9">
        <v>93</v>
      </c>
      <c r="B97" s="10" t="s">
        <v>999</v>
      </c>
      <c r="C97" s="10" t="s">
        <v>1000</v>
      </c>
      <c r="D97" s="10" t="s">
        <v>792</v>
      </c>
      <c r="E97" s="10" t="s">
        <v>996</v>
      </c>
      <c r="F97" s="10" t="s">
        <v>794</v>
      </c>
      <c r="G97" s="10" t="s">
        <v>892</v>
      </c>
      <c r="H97" s="10" t="s">
        <v>802</v>
      </c>
      <c r="I97" s="10" t="s">
        <v>794</v>
      </c>
      <c r="J97" s="10" t="s">
        <v>881</v>
      </c>
    </row>
    <row r="98" spans="1:10" ht="15" hidden="1" customHeight="1">
      <c r="A98" s="9">
        <v>94</v>
      </c>
      <c r="B98" s="10" t="s">
        <v>1001</v>
      </c>
      <c r="C98" s="10" t="s">
        <v>1002</v>
      </c>
      <c r="D98" s="10" t="s">
        <v>792</v>
      </c>
      <c r="E98" s="10" t="s">
        <v>1003</v>
      </c>
      <c r="F98" s="10" t="s">
        <v>794</v>
      </c>
      <c r="G98" s="10" t="s">
        <v>801</v>
      </c>
      <c r="H98" s="10" t="s">
        <v>802</v>
      </c>
      <c r="I98" s="10" t="s">
        <v>794</v>
      </c>
      <c r="J98" s="10" t="s">
        <v>1004</v>
      </c>
    </row>
    <row r="99" spans="1:10" ht="15" hidden="1" customHeight="1">
      <c r="A99" s="9">
        <v>95</v>
      </c>
      <c r="B99" s="10" t="s">
        <v>1005</v>
      </c>
      <c r="C99" s="10" t="s">
        <v>1006</v>
      </c>
      <c r="D99" s="10" t="s">
        <v>792</v>
      </c>
      <c r="E99" s="10" t="s">
        <v>1003</v>
      </c>
      <c r="F99" s="10" t="s">
        <v>794</v>
      </c>
      <c r="G99" s="10" t="s">
        <v>801</v>
      </c>
      <c r="H99" s="10" t="s">
        <v>802</v>
      </c>
      <c r="I99" s="10" t="s">
        <v>794</v>
      </c>
      <c r="J99" s="10" t="s">
        <v>1004</v>
      </c>
    </row>
    <row r="100" spans="1:10" ht="15" hidden="1" customHeight="1">
      <c r="A100" s="9">
        <v>96</v>
      </c>
      <c r="B100" s="10" t="s">
        <v>1007</v>
      </c>
      <c r="C100" s="10" t="s">
        <v>1008</v>
      </c>
      <c r="D100" s="10" t="s">
        <v>792</v>
      </c>
      <c r="E100" s="10" t="s">
        <v>1003</v>
      </c>
      <c r="F100" s="10" t="s">
        <v>794</v>
      </c>
      <c r="G100" s="10" t="s">
        <v>801</v>
      </c>
      <c r="H100" s="10" t="s">
        <v>802</v>
      </c>
      <c r="I100" s="10" t="s">
        <v>794</v>
      </c>
      <c r="J100" s="10" t="s">
        <v>1004</v>
      </c>
    </row>
    <row r="101" spans="1:10" ht="15" hidden="1" customHeight="1">
      <c r="A101" s="9">
        <v>97</v>
      </c>
      <c r="B101" s="10" t="s">
        <v>1009</v>
      </c>
      <c r="C101" s="10" t="s">
        <v>1010</v>
      </c>
      <c r="D101" s="10" t="s">
        <v>792</v>
      </c>
      <c r="E101" s="10" t="s">
        <v>1003</v>
      </c>
      <c r="F101" s="10" t="s">
        <v>794</v>
      </c>
      <c r="G101" s="10" t="s">
        <v>801</v>
      </c>
      <c r="H101" s="10" t="s">
        <v>802</v>
      </c>
      <c r="I101" s="10" t="s">
        <v>794</v>
      </c>
      <c r="J101" s="10" t="s">
        <v>1004</v>
      </c>
    </row>
    <row r="102" spans="1:10" ht="15" hidden="1" customHeight="1">
      <c r="A102" s="9">
        <v>98</v>
      </c>
      <c r="B102" s="10" t="s">
        <v>1011</v>
      </c>
      <c r="C102" s="10" t="s">
        <v>1012</v>
      </c>
      <c r="D102" s="10" t="s">
        <v>792</v>
      </c>
      <c r="E102" s="10" t="s">
        <v>1003</v>
      </c>
      <c r="F102" s="10" t="s">
        <v>794</v>
      </c>
      <c r="G102" s="10" t="s">
        <v>801</v>
      </c>
      <c r="H102" s="10" t="s">
        <v>802</v>
      </c>
      <c r="I102" s="10" t="s">
        <v>794</v>
      </c>
      <c r="J102" s="10" t="s">
        <v>1004</v>
      </c>
    </row>
    <row r="103" spans="1:10" ht="15" hidden="1" customHeight="1">
      <c r="A103" s="9">
        <v>99</v>
      </c>
      <c r="B103" s="10" t="s">
        <v>1013</v>
      </c>
      <c r="C103" s="10" t="s">
        <v>1014</v>
      </c>
      <c r="D103" s="10" t="s">
        <v>792</v>
      </c>
      <c r="E103" s="10" t="s">
        <v>1003</v>
      </c>
      <c r="F103" s="10" t="s">
        <v>794</v>
      </c>
      <c r="G103" s="10" t="s">
        <v>801</v>
      </c>
      <c r="H103" s="10" t="s">
        <v>802</v>
      </c>
      <c r="I103" s="10" t="s">
        <v>794</v>
      </c>
      <c r="J103" s="10" t="s">
        <v>1004</v>
      </c>
    </row>
    <row r="104" spans="1:10" ht="15" hidden="1" customHeight="1">
      <c r="A104" s="9">
        <v>100</v>
      </c>
      <c r="B104" s="10" t="s">
        <v>1015</v>
      </c>
      <c r="C104" s="10" t="s">
        <v>1016</v>
      </c>
      <c r="D104" s="10" t="s">
        <v>792</v>
      </c>
      <c r="E104" s="10" t="s">
        <v>1003</v>
      </c>
      <c r="F104" s="10" t="s">
        <v>794</v>
      </c>
      <c r="G104" s="10" t="s">
        <v>801</v>
      </c>
      <c r="H104" s="10" t="s">
        <v>802</v>
      </c>
      <c r="I104" s="10" t="s">
        <v>794</v>
      </c>
      <c r="J104" s="10" t="s">
        <v>1004</v>
      </c>
    </row>
    <row r="105" spans="1:10" ht="15" hidden="1" customHeight="1">
      <c r="A105" s="9">
        <v>101</v>
      </c>
      <c r="B105" s="10" t="s">
        <v>1017</v>
      </c>
      <c r="C105" s="10" t="s">
        <v>1018</v>
      </c>
      <c r="D105" s="10" t="s">
        <v>792</v>
      </c>
      <c r="E105" s="10" t="s">
        <v>1003</v>
      </c>
      <c r="F105" s="10" t="s">
        <v>794</v>
      </c>
      <c r="G105" s="10" t="s">
        <v>1019</v>
      </c>
      <c r="H105" s="10" t="s">
        <v>802</v>
      </c>
      <c r="I105" s="10" t="s">
        <v>794</v>
      </c>
      <c r="J105" s="10" t="s">
        <v>1004</v>
      </c>
    </row>
    <row r="106" spans="1:10" ht="15" hidden="1" customHeight="1">
      <c r="A106" s="9">
        <v>102</v>
      </c>
      <c r="B106" s="10" t="s">
        <v>1020</v>
      </c>
      <c r="C106" s="10" t="s">
        <v>1021</v>
      </c>
      <c r="D106" s="10" t="s">
        <v>792</v>
      </c>
      <c r="E106" s="10" t="s">
        <v>1003</v>
      </c>
      <c r="F106" s="10" t="s">
        <v>794</v>
      </c>
      <c r="G106" s="10" t="s">
        <v>801</v>
      </c>
      <c r="H106" s="10" t="s">
        <v>802</v>
      </c>
      <c r="I106" s="10" t="s">
        <v>794</v>
      </c>
      <c r="J106" s="10" t="s">
        <v>1004</v>
      </c>
    </row>
    <row r="107" spans="1:10" ht="15" hidden="1" customHeight="1">
      <c r="A107" s="9">
        <v>103</v>
      </c>
      <c r="B107" s="10" t="s">
        <v>1022</v>
      </c>
      <c r="C107" s="10" t="s">
        <v>1023</v>
      </c>
      <c r="D107" s="10" t="s">
        <v>792</v>
      </c>
      <c r="E107" s="10" t="s">
        <v>1003</v>
      </c>
      <c r="F107" s="10" t="s">
        <v>794</v>
      </c>
      <c r="G107" s="10" t="s">
        <v>1024</v>
      </c>
      <c r="H107" s="10" t="s">
        <v>802</v>
      </c>
      <c r="I107" s="10" t="s">
        <v>794</v>
      </c>
      <c r="J107" s="10" t="s">
        <v>1004</v>
      </c>
    </row>
    <row r="108" spans="1:10" ht="15" hidden="1" customHeight="1">
      <c r="A108" s="9">
        <v>104</v>
      </c>
      <c r="B108" s="10" t="s">
        <v>1025</v>
      </c>
      <c r="C108" s="10" t="s">
        <v>1026</v>
      </c>
      <c r="D108" s="10" t="s">
        <v>792</v>
      </c>
      <c r="E108" s="10" t="s">
        <v>1003</v>
      </c>
      <c r="F108" s="10" t="s">
        <v>794</v>
      </c>
      <c r="G108" s="10" t="s">
        <v>801</v>
      </c>
      <c r="H108" s="10" t="s">
        <v>802</v>
      </c>
      <c r="I108" s="10" t="s">
        <v>794</v>
      </c>
      <c r="J108" s="10" t="s">
        <v>1004</v>
      </c>
    </row>
    <row r="109" spans="1:10" ht="15" hidden="1" customHeight="1">
      <c r="A109" s="9">
        <v>105</v>
      </c>
      <c r="B109" s="10" t="s">
        <v>1027</v>
      </c>
      <c r="C109" s="10" t="s">
        <v>1028</v>
      </c>
      <c r="D109" s="10" t="s">
        <v>792</v>
      </c>
      <c r="E109" s="10" t="s">
        <v>1003</v>
      </c>
      <c r="F109" s="10" t="s">
        <v>794</v>
      </c>
      <c r="G109" s="10" t="s">
        <v>801</v>
      </c>
      <c r="H109" s="10" t="s">
        <v>802</v>
      </c>
      <c r="I109" s="10" t="s">
        <v>794</v>
      </c>
      <c r="J109" s="10" t="s">
        <v>1004</v>
      </c>
    </row>
    <row r="110" spans="1:10" ht="15" hidden="1" customHeight="1">
      <c r="A110" s="9">
        <v>106</v>
      </c>
      <c r="B110" s="10" t="s">
        <v>1029</v>
      </c>
      <c r="C110" s="10" t="s">
        <v>1030</v>
      </c>
      <c r="D110" s="10" t="s">
        <v>792</v>
      </c>
      <c r="E110" s="10" t="s">
        <v>1003</v>
      </c>
      <c r="F110" s="10" t="s">
        <v>794</v>
      </c>
      <c r="G110" s="10" t="s">
        <v>801</v>
      </c>
      <c r="H110" s="10" t="s">
        <v>802</v>
      </c>
      <c r="I110" s="10" t="s">
        <v>794</v>
      </c>
      <c r="J110" s="10" t="s">
        <v>1004</v>
      </c>
    </row>
    <row r="111" spans="1:10" ht="15" hidden="1" customHeight="1">
      <c r="A111" s="9">
        <v>107</v>
      </c>
      <c r="B111" s="10" t="s">
        <v>1031</v>
      </c>
      <c r="C111" s="10" t="s">
        <v>1032</v>
      </c>
      <c r="D111" s="10" t="s">
        <v>792</v>
      </c>
      <c r="E111" s="10" t="s">
        <v>1003</v>
      </c>
      <c r="F111" s="10" t="s">
        <v>794</v>
      </c>
      <c r="G111" s="10" t="s">
        <v>801</v>
      </c>
      <c r="H111" s="10" t="s">
        <v>802</v>
      </c>
      <c r="I111" s="10" t="s">
        <v>794</v>
      </c>
      <c r="J111" s="10" t="s">
        <v>1004</v>
      </c>
    </row>
    <row r="112" spans="1:10" ht="15" hidden="1" customHeight="1">
      <c r="A112" s="9">
        <v>108</v>
      </c>
      <c r="B112" s="10" t="s">
        <v>1033</v>
      </c>
      <c r="C112" s="10" t="s">
        <v>1034</v>
      </c>
      <c r="D112" s="10" t="s">
        <v>792</v>
      </c>
      <c r="E112" s="10" t="s">
        <v>1003</v>
      </c>
      <c r="F112" s="10" t="s">
        <v>794</v>
      </c>
      <c r="G112" s="10" t="s">
        <v>801</v>
      </c>
      <c r="H112" s="10" t="s">
        <v>802</v>
      </c>
      <c r="I112" s="10" t="s">
        <v>794</v>
      </c>
      <c r="J112" s="10" t="s">
        <v>1004</v>
      </c>
    </row>
    <row r="113" spans="1:10" ht="15" hidden="1" customHeight="1">
      <c r="A113" s="9">
        <v>109</v>
      </c>
      <c r="B113" s="10" t="s">
        <v>1035</v>
      </c>
      <c r="C113" s="10" t="s">
        <v>1036</v>
      </c>
      <c r="D113" s="10" t="s">
        <v>792</v>
      </c>
      <c r="E113" s="10" t="s">
        <v>1037</v>
      </c>
      <c r="F113" s="10" t="s">
        <v>794</v>
      </c>
      <c r="G113" s="10" t="s">
        <v>801</v>
      </c>
      <c r="H113" s="10" t="s">
        <v>802</v>
      </c>
      <c r="I113" s="10" t="s">
        <v>794</v>
      </c>
      <c r="J113" s="10" t="s">
        <v>1004</v>
      </c>
    </row>
    <row r="114" spans="1:10" ht="15" hidden="1" customHeight="1">
      <c r="A114" s="9">
        <v>110</v>
      </c>
      <c r="B114" s="10" t="s">
        <v>1038</v>
      </c>
      <c r="C114" s="10" t="s">
        <v>1039</v>
      </c>
      <c r="D114" s="10" t="s">
        <v>792</v>
      </c>
      <c r="E114" s="10" t="s">
        <v>1037</v>
      </c>
      <c r="F114" s="10" t="s">
        <v>794</v>
      </c>
      <c r="G114" s="10" t="s">
        <v>801</v>
      </c>
      <c r="H114" s="10" t="s">
        <v>802</v>
      </c>
      <c r="I114" s="10" t="s">
        <v>794</v>
      </c>
      <c r="J114" s="10" t="s">
        <v>1004</v>
      </c>
    </row>
    <row r="115" spans="1:10" ht="15" hidden="1" customHeight="1">
      <c r="A115" s="9">
        <v>111</v>
      </c>
      <c r="B115" s="10" t="s">
        <v>1040</v>
      </c>
      <c r="C115" s="10" t="s">
        <v>1041</v>
      </c>
      <c r="D115" s="10" t="s">
        <v>792</v>
      </c>
      <c r="E115" s="10" t="s">
        <v>1037</v>
      </c>
      <c r="F115" s="10" t="s">
        <v>794</v>
      </c>
      <c r="G115" s="10" t="s">
        <v>801</v>
      </c>
      <c r="H115" s="10" t="s">
        <v>802</v>
      </c>
      <c r="I115" s="10" t="s">
        <v>794</v>
      </c>
      <c r="J115" s="10" t="s">
        <v>1004</v>
      </c>
    </row>
    <row r="116" spans="1:10" ht="15" hidden="1" customHeight="1">
      <c r="A116" s="9">
        <v>112</v>
      </c>
      <c r="B116" s="10" t="s">
        <v>1042</v>
      </c>
      <c r="C116" s="10" t="s">
        <v>1043</v>
      </c>
      <c r="D116" s="10" t="s">
        <v>792</v>
      </c>
      <c r="E116" s="10" t="s">
        <v>1037</v>
      </c>
      <c r="F116" s="10" t="s">
        <v>794</v>
      </c>
      <c r="G116" s="10" t="s">
        <v>801</v>
      </c>
      <c r="H116" s="10" t="s">
        <v>802</v>
      </c>
      <c r="I116" s="10" t="s">
        <v>794</v>
      </c>
      <c r="J116" s="10" t="s">
        <v>1004</v>
      </c>
    </row>
    <row r="117" spans="1:10" ht="15" hidden="1" customHeight="1">
      <c r="A117" s="9">
        <v>113</v>
      </c>
      <c r="B117" s="10" t="s">
        <v>1044</v>
      </c>
      <c r="C117" s="10" t="s">
        <v>1045</v>
      </c>
      <c r="D117" s="10" t="s">
        <v>792</v>
      </c>
      <c r="E117" s="10" t="s">
        <v>1037</v>
      </c>
      <c r="F117" s="10" t="s">
        <v>794</v>
      </c>
      <c r="G117" s="10" t="s">
        <v>801</v>
      </c>
      <c r="H117" s="10" t="s">
        <v>802</v>
      </c>
      <c r="I117" s="10" t="s">
        <v>794</v>
      </c>
      <c r="J117" s="10" t="s">
        <v>1004</v>
      </c>
    </row>
    <row r="118" spans="1:10" ht="15" hidden="1" customHeight="1">
      <c r="A118" s="9">
        <v>114</v>
      </c>
      <c r="B118" s="10" t="s">
        <v>1046</v>
      </c>
      <c r="C118" s="10" t="s">
        <v>1047</v>
      </c>
      <c r="D118" s="10" t="s">
        <v>792</v>
      </c>
      <c r="E118" s="10" t="s">
        <v>1037</v>
      </c>
      <c r="F118" s="10" t="s">
        <v>794</v>
      </c>
      <c r="G118" s="10" t="s">
        <v>801</v>
      </c>
      <c r="H118" s="10" t="s">
        <v>802</v>
      </c>
      <c r="I118" s="10" t="s">
        <v>794</v>
      </c>
      <c r="J118" s="10" t="s">
        <v>1048</v>
      </c>
    </row>
    <row r="119" spans="1:10" ht="15" hidden="1" customHeight="1">
      <c r="A119" s="9">
        <v>115</v>
      </c>
      <c r="B119" s="10" t="s">
        <v>1049</v>
      </c>
      <c r="C119" s="10" t="s">
        <v>1050</v>
      </c>
      <c r="D119" s="10" t="s">
        <v>792</v>
      </c>
      <c r="E119" s="10" t="s">
        <v>1037</v>
      </c>
      <c r="F119" s="10" t="s">
        <v>794</v>
      </c>
      <c r="G119" s="10" t="s">
        <v>801</v>
      </c>
      <c r="H119" s="10" t="s">
        <v>802</v>
      </c>
      <c r="I119" s="10" t="s">
        <v>794</v>
      </c>
      <c r="J119" s="10" t="s">
        <v>1004</v>
      </c>
    </row>
    <row r="120" spans="1:10" ht="15" hidden="1" customHeight="1">
      <c r="A120" s="9">
        <v>116</v>
      </c>
      <c r="B120" s="10" t="s">
        <v>1051</v>
      </c>
      <c r="C120" s="10" t="s">
        <v>1052</v>
      </c>
      <c r="D120" s="10" t="s">
        <v>792</v>
      </c>
      <c r="E120" s="10" t="s">
        <v>1053</v>
      </c>
      <c r="F120" s="10" t="s">
        <v>794</v>
      </c>
      <c r="G120" s="10" t="s">
        <v>811</v>
      </c>
      <c r="H120" s="10" t="s">
        <v>802</v>
      </c>
      <c r="I120" s="10" t="s">
        <v>794</v>
      </c>
      <c r="J120" s="10" t="s">
        <v>1054</v>
      </c>
    </row>
    <row r="121" spans="1:10" ht="15" hidden="1" customHeight="1">
      <c r="A121" s="9">
        <v>117</v>
      </c>
      <c r="B121" s="10" t="s">
        <v>1055</v>
      </c>
      <c r="C121" s="10" t="s">
        <v>1056</v>
      </c>
      <c r="D121" s="10" t="s">
        <v>792</v>
      </c>
      <c r="E121" s="10" t="s">
        <v>1053</v>
      </c>
      <c r="F121" s="10" t="s">
        <v>794</v>
      </c>
      <c r="G121" s="10" t="s">
        <v>811</v>
      </c>
      <c r="H121" s="10" t="s">
        <v>802</v>
      </c>
      <c r="I121" s="10" t="s">
        <v>794</v>
      </c>
      <c r="J121" s="10" t="s">
        <v>1054</v>
      </c>
    </row>
    <row r="122" spans="1:10" ht="15" hidden="1" customHeight="1">
      <c r="A122" s="9">
        <v>118</v>
      </c>
      <c r="B122" s="10" t="s">
        <v>1057</v>
      </c>
      <c r="C122" s="10" t="s">
        <v>1058</v>
      </c>
      <c r="D122" s="10" t="s">
        <v>792</v>
      </c>
      <c r="E122" s="10" t="s">
        <v>1053</v>
      </c>
      <c r="F122" s="10" t="s">
        <v>794</v>
      </c>
      <c r="G122" s="10" t="s">
        <v>811</v>
      </c>
      <c r="H122" s="10" t="s">
        <v>802</v>
      </c>
      <c r="I122" s="10" t="s">
        <v>794</v>
      </c>
      <c r="J122" s="10" t="s">
        <v>1054</v>
      </c>
    </row>
    <row r="123" spans="1:10" ht="15" hidden="1" customHeight="1">
      <c r="A123" s="9">
        <v>119</v>
      </c>
      <c r="B123" s="10" t="s">
        <v>1059</v>
      </c>
      <c r="C123" s="10" t="s">
        <v>1060</v>
      </c>
      <c r="D123" s="10" t="s">
        <v>792</v>
      </c>
      <c r="E123" s="10" t="s">
        <v>1053</v>
      </c>
      <c r="F123" s="10" t="s">
        <v>794</v>
      </c>
      <c r="G123" s="10" t="s">
        <v>811</v>
      </c>
      <c r="H123" s="10" t="s">
        <v>802</v>
      </c>
      <c r="I123" s="10" t="s">
        <v>794</v>
      </c>
      <c r="J123" s="10" t="s">
        <v>1054</v>
      </c>
    </row>
    <row r="124" spans="1:10" ht="15" hidden="1" customHeight="1">
      <c r="A124" s="9">
        <v>120</v>
      </c>
      <c r="B124" s="10" t="s">
        <v>1061</v>
      </c>
      <c r="C124" s="10" t="s">
        <v>1062</v>
      </c>
      <c r="D124" s="10" t="s">
        <v>792</v>
      </c>
      <c r="E124" s="10" t="s">
        <v>1053</v>
      </c>
      <c r="F124" s="10" t="s">
        <v>794</v>
      </c>
      <c r="G124" s="10" t="s">
        <v>1019</v>
      </c>
      <c r="H124" s="10" t="s">
        <v>802</v>
      </c>
      <c r="I124" s="10" t="s">
        <v>794</v>
      </c>
      <c r="J124" s="10" t="s">
        <v>1004</v>
      </c>
    </row>
    <row r="125" spans="1:10" ht="15" hidden="1" customHeight="1">
      <c r="A125" s="9">
        <v>121</v>
      </c>
      <c r="B125" s="10" t="s">
        <v>1063</v>
      </c>
      <c r="C125" s="10" t="s">
        <v>1064</v>
      </c>
      <c r="D125" s="10" t="s">
        <v>792</v>
      </c>
      <c r="E125" s="10" t="s">
        <v>1053</v>
      </c>
      <c r="F125" s="10" t="s">
        <v>794</v>
      </c>
      <c r="G125" s="10" t="s">
        <v>811</v>
      </c>
      <c r="H125" s="10" t="s">
        <v>802</v>
      </c>
      <c r="I125" s="10" t="s">
        <v>794</v>
      </c>
      <c r="J125" s="10" t="s">
        <v>1004</v>
      </c>
    </row>
    <row r="126" spans="1:10" ht="15" hidden="1" customHeight="1">
      <c r="A126" s="9">
        <v>122</v>
      </c>
      <c r="B126" s="10" t="s">
        <v>1065</v>
      </c>
      <c r="C126" s="10" t="s">
        <v>1066</v>
      </c>
      <c r="D126" s="10" t="s">
        <v>792</v>
      </c>
      <c r="E126" s="10" t="s">
        <v>1053</v>
      </c>
      <c r="F126" s="10" t="s">
        <v>794</v>
      </c>
      <c r="G126" s="10" t="s">
        <v>811</v>
      </c>
      <c r="H126" s="10" t="s">
        <v>802</v>
      </c>
      <c r="I126" s="10" t="s">
        <v>794</v>
      </c>
      <c r="J126" s="10" t="s">
        <v>1054</v>
      </c>
    </row>
    <row r="127" spans="1:10" ht="15" hidden="1" customHeight="1">
      <c r="A127" s="9">
        <v>123</v>
      </c>
      <c r="B127" s="10" t="s">
        <v>1067</v>
      </c>
      <c r="C127" s="10" t="s">
        <v>1068</v>
      </c>
      <c r="D127" s="10" t="s">
        <v>792</v>
      </c>
      <c r="E127" s="10" t="s">
        <v>1053</v>
      </c>
      <c r="F127" s="10" t="s">
        <v>794</v>
      </c>
      <c r="G127" s="10" t="s">
        <v>811</v>
      </c>
      <c r="H127" s="10" t="s">
        <v>802</v>
      </c>
      <c r="I127" s="10" t="s">
        <v>794</v>
      </c>
      <c r="J127" s="10" t="s">
        <v>1004</v>
      </c>
    </row>
    <row r="128" spans="1:10" ht="15" hidden="1" customHeight="1">
      <c r="A128" s="9">
        <v>124</v>
      </c>
      <c r="B128" s="10" t="s">
        <v>1069</v>
      </c>
      <c r="C128" s="10" t="s">
        <v>1070</v>
      </c>
      <c r="D128" s="10" t="s">
        <v>792</v>
      </c>
      <c r="E128" s="10" t="s">
        <v>1053</v>
      </c>
      <c r="F128" s="10" t="s">
        <v>794</v>
      </c>
      <c r="G128" s="10" t="s">
        <v>811</v>
      </c>
      <c r="H128" s="10" t="s">
        <v>802</v>
      </c>
      <c r="I128" s="10" t="s">
        <v>794</v>
      </c>
      <c r="J128" s="10" t="s">
        <v>1004</v>
      </c>
    </row>
    <row r="129" spans="1:10" ht="15" hidden="1" customHeight="1">
      <c r="A129" s="9">
        <v>125</v>
      </c>
      <c r="B129" s="10" t="s">
        <v>1071</v>
      </c>
      <c r="C129" s="10" t="s">
        <v>1072</v>
      </c>
      <c r="D129" s="10" t="s">
        <v>792</v>
      </c>
      <c r="E129" s="10" t="s">
        <v>1053</v>
      </c>
      <c r="F129" s="10" t="s">
        <v>794</v>
      </c>
      <c r="G129" s="10" t="s">
        <v>811</v>
      </c>
      <c r="H129" s="10" t="s">
        <v>802</v>
      </c>
      <c r="I129" s="10" t="s">
        <v>794</v>
      </c>
      <c r="J129" s="10" t="s">
        <v>1004</v>
      </c>
    </row>
    <row r="130" spans="1:10" ht="15" hidden="1" customHeight="1">
      <c r="A130" s="9">
        <v>126</v>
      </c>
      <c r="B130" s="10" t="s">
        <v>1073</v>
      </c>
      <c r="C130" s="10" t="s">
        <v>1074</v>
      </c>
      <c r="D130" s="10" t="s">
        <v>792</v>
      </c>
      <c r="E130" s="10" t="s">
        <v>1053</v>
      </c>
      <c r="F130" s="10" t="s">
        <v>794</v>
      </c>
      <c r="G130" s="10" t="s">
        <v>811</v>
      </c>
      <c r="H130" s="10" t="s">
        <v>802</v>
      </c>
      <c r="I130" s="10" t="s">
        <v>794</v>
      </c>
      <c r="J130" s="10" t="s">
        <v>1004</v>
      </c>
    </row>
    <row r="131" spans="1:10" ht="15" hidden="1" customHeight="1">
      <c r="A131" s="9">
        <v>127</v>
      </c>
      <c r="B131" s="10" t="s">
        <v>1075</v>
      </c>
      <c r="C131" s="10" t="s">
        <v>1076</v>
      </c>
      <c r="D131" s="10" t="s">
        <v>792</v>
      </c>
      <c r="E131" s="10" t="s">
        <v>1053</v>
      </c>
      <c r="F131" s="10" t="s">
        <v>794</v>
      </c>
      <c r="G131" s="10" t="s">
        <v>811</v>
      </c>
      <c r="H131" s="10" t="s">
        <v>802</v>
      </c>
      <c r="I131" s="10" t="s">
        <v>794</v>
      </c>
      <c r="J131" s="10" t="s">
        <v>1004</v>
      </c>
    </row>
    <row r="132" spans="1:10" ht="15" hidden="1" customHeight="1">
      <c r="A132" s="9">
        <v>128</v>
      </c>
      <c r="B132" s="10" t="s">
        <v>1077</v>
      </c>
      <c r="C132" s="10" t="s">
        <v>1078</v>
      </c>
      <c r="D132" s="10" t="s">
        <v>792</v>
      </c>
      <c r="E132" s="10" t="s">
        <v>1079</v>
      </c>
      <c r="F132" s="10" t="s">
        <v>794</v>
      </c>
      <c r="G132" s="10" t="s">
        <v>1080</v>
      </c>
      <c r="H132" s="10" t="s">
        <v>802</v>
      </c>
      <c r="I132" s="10" t="s">
        <v>794</v>
      </c>
      <c r="J132" s="10" t="s">
        <v>1004</v>
      </c>
    </row>
    <row r="133" spans="1:10" ht="15" hidden="1" customHeight="1">
      <c r="A133" s="9">
        <v>129</v>
      </c>
      <c r="B133" s="10" t="s">
        <v>1081</v>
      </c>
      <c r="C133" s="10" t="s">
        <v>1082</v>
      </c>
      <c r="D133" s="10" t="s">
        <v>792</v>
      </c>
      <c r="E133" s="10" t="s">
        <v>1083</v>
      </c>
      <c r="F133" s="10" t="s">
        <v>794</v>
      </c>
      <c r="G133" s="10" t="s">
        <v>871</v>
      </c>
      <c r="H133" s="10" t="s">
        <v>802</v>
      </c>
      <c r="I133" s="10" t="s">
        <v>794</v>
      </c>
      <c r="J133" s="10" t="s">
        <v>795</v>
      </c>
    </row>
    <row r="134" spans="1:10" ht="15" hidden="1" customHeight="1">
      <c r="A134" s="9">
        <v>130</v>
      </c>
      <c r="B134" s="10" t="s">
        <v>1084</v>
      </c>
      <c r="C134" s="10" t="s">
        <v>1085</v>
      </c>
      <c r="D134" s="10" t="s">
        <v>792</v>
      </c>
      <c r="E134" s="10" t="s">
        <v>1083</v>
      </c>
      <c r="F134" s="10" t="s">
        <v>794</v>
      </c>
      <c r="G134" s="10" t="s">
        <v>871</v>
      </c>
      <c r="H134" s="10" t="s">
        <v>802</v>
      </c>
      <c r="I134" s="10" t="s">
        <v>794</v>
      </c>
      <c r="J134" s="10" t="s">
        <v>795</v>
      </c>
    </row>
    <row r="135" spans="1:10" ht="15" hidden="1" customHeight="1">
      <c r="A135" s="9">
        <v>131</v>
      </c>
      <c r="B135" s="10" t="s">
        <v>1086</v>
      </c>
      <c r="C135" s="10" t="s">
        <v>1087</v>
      </c>
      <c r="D135" s="10" t="s">
        <v>792</v>
      </c>
      <c r="E135" s="10" t="s">
        <v>1083</v>
      </c>
      <c r="F135" s="10" t="s">
        <v>794</v>
      </c>
      <c r="G135" s="10" t="s">
        <v>871</v>
      </c>
      <c r="H135" s="10" t="s">
        <v>802</v>
      </c>
      <c r="I135" s="10" t="s">
        <v>794</v>
      </c>
      <c r="J135" s="10" t="s">
        <v>795</v>
      </c>
    </row>
    <row r="136" spans="1:10" ht="15" hidden="1" customHeight="1">
      <c r="A136" s="9">
        <v>132</v>
      </c>
      <c r="B136" s="10" t="s">
        <v>1088</v>
      </c>
      <c r="C136" s="10" t="s">
        <v>1089</v>
      </c>
      <c r="D136" s="10" t="s">
        <v>792</v>
      </c>
      <c r="E136" s="10" t="s">
        <v>1083</v>
      </c>
      <c r="F136" s="10" t="s">
        <v>794</v>
      </c>
      <c r="G136" s="10" t="s">
        <v>871</v>
      </c>
      <c r="H136" s="10" t="s">
        <v>802</v>
      </c>
      <c r="I136" s="10" t="s">
        <v>794</v>
      </c>
      <c r="J136" s="10" t="s">
        <v>795</v>
      </c>
    </row>
    <row r="137" spans="1:10" ht="15" hidden="1" customHeight="1">
      <c r="A137" s="9">
        <v>133</v>
      </c>
      <c r="B137" s="10" t="s">
        <v>1090</v>
      </c>
      <c r="C137" s="10" t="s">
        <v>1091</v>
      </c>
      <c r="D137" s="10" t="s">
        <v>792</v>
      </c>
      <c r="E137" s="10" t="s">
        <v>791</v>
      </c>
      <c r="F137" s="10" t="s">
        <v>793</v>
      </c>
      <c r="G137" s="10"/>
      <c r="H137" s="10"/>
      <c r="I137" s="10" t="s">
        <v>794</v>
      </c>
      <c r="J137" s="10" t="s">
        <v>795</v>
      </c>
    </row>
    <row r="138" spans="1:10" ht="15" hidden="1" customHeight="1">
      <c r="A138" s="9">
        <v>134</v>
      </c>
      <c r="B138" s="10" t="s">
        <v>1092</v>
      </c>
      <c r="C138" s="10" t="s">
        <v>800</v>
      </c>
      <c r="D138" s="10" t="s">
        <v>792</v>
      </c>
      <c r="E138" s="10" t="s">
        <v>1091</v>
      </c>
      <c r="F138" s="10" t="s">
        <v>793</v>
      </c>
      <c r="G138" s="10"/>
      <c r="H138" s="10"/>
      <c r="I138" s="10" t="s">
        <v>794</v>
      </c>
      <c r="J138" s="10" t="s">
        <v>803</v>
      </c>
    </row>
    <row r="139" spans="1:10" ht="15" hidden="1" customHeight="1">
      <c r="A139" s="9">
        <v>135</v>
      </c>
      <c r="B139" s="10" t="s">
        <v>1093</v>
      </c>
      <c r="C139" s="10" t="s">
        <v>816</v>
      </c>
      <c r="D139" s="10" t="s">
        <v>792</v>
      </c>
      <c r="E139" s="10" t="s">
        <v>1091</v>
      </c>
      <c r="F139" s="10" t="s">
        <v>793</v>
      </c>
      <c r="G139" s="10"/>
      <c r="H139" s="10"/>
      <c r="I139" s="10" t="s">
        <v>794</v>
      </c>
      <c r="J139" s="10" t="s">
        <v>817</v>
      </c>
    </row>
    <row r="140" spans="1:10" ht="15" hidden="1" customHeight="1">
      <c r="A140" s="9">
        <v>136</v>
      </c>
      <c r="B140" s="10" t="s">
        <v>1094</v>
      </c>
      <c r="C140" s="10" t="s">
        <v>833</v>
      </c>
      <c r="D140" s="10" t="s">
        <v>792</v>
      </c>
      <c r="E140" s="10" t="s">
        <v>1091</v>
      </c>
      <c r="F140" s="10" t="s">
        <v>793</v>
      </c>
      <c r="G140" s="10"/>
      <c r="H140" s="10"/>
      <c r="I140" s="10" t="s">
        <v>794</v>
      </c>
      <c r="J140" s="10" t="s">
        <v>817</v>
      </c>
    </row>
    <row r="141" spans="1:10" ht="15" hidden="1" customHeight="1">
      <c r="A141" s="9">
        <v>137</v>
      </c>
      <c r="B141" s="10" t="s">
        <v>1095</v>
      </c>
      <c r="C141" s="10" t="s">
        <v>856</v>
      </c>
      <c r="D141" s="10" t="s">
        <v>792</v>
      </c>
      <c r="E141" s="10" t="s">
        <v>1091</v>
      </c>
      <c r="F141" s="10" t="s">
        <v>793</v>
      </c>
      <c r="G141" s="10"/>
      <c r="H141" s="10"/>
      <c r="I141" s="10" t="s">
        <v>794</v>
      </c>
      <c r="J141" s="10" t="s">
        <v>817</v>
      </c>
    </row>
    <row r="142" spans="1:10" ht="15" hidden="1" customHeight="1">
      <c r="A142" s="9">
        <v>138</v>
      </c>
      <c r="B142" s="10" t="s">
        <v>1096</v>
      </c>
      <c r="C142" s="10" t="s">
        <v>863</v>
      </c>
      <c r="D142" s="10" t="s">
        <v>792</v>
      </c>
      <c r="E142" s="10" t="s">
        <v>1091</v>
      </c>
      <c r="F142" s="10" t="s">
        <v>793</v>
      </c>
      <c r="G142" s="10"/>
      <c r="H142" s="10"/>
      <c r="I142" s="10" t="s">
        <v>794</v>
      </c>
      <c r="J142" s="10" t="s">
        <v>795</v>
      </c>
    </row>
    <row r="143" spans="1:10" ht="15" hidden="1" customHeight="1">
      <c r="A143" s="9">
        <v>139</v>
      </c>
      <c r="B143" s="10" t="s">
        <v>1097</v>
      </c>
      <c r="C143" s="10" t="s">
        <v>870</v>
      </c>
      <c r="D143" s="10" t="s">
        <v>792</v>
      </c>
      <c r="E143" s="10" t="s">
        <v>1091</v>
      </c>
      <c r="F143" s="10" t="s">
        <v>793</v>
      </c>
      <c r="G143" s="10"/>
      <c r="H143" s="10"/>
      <c r="I143" s="10" t="s">
        <v>794</v>
      </c>
      <c r="J143" s="10" t="s">
        <v>795</v>
      </c>
    </row>
    <row r="144" spans="1:10" ht="15" hidden="1" customHeight="1">
      <c r="A144" s="9">
        <v>140</v>
      </c>
      <c r="B144" s="10" t="s">
        <v>1098</v>
      </c>
      <c r="C144" s="10" t="s">
        <v>876</v>
      </c>
      <c r="D144" s="10" t="s">
        <v>792</v>
      </c>
      <c r="E144" s="10" t="s">
        <v>1091</v>
      </c>
      <c r="F144" s="10" t="s">
        <v>793</v>
      </c>
      <c r="G144" s="10"/>
      <c r="H144" s="10"/>
      <c r="I144" s="10" t="s">
        <v>794</v>
      </c>
      <c r="J144" s="10" t="s">
        <v>795</v>
      </c>
    </row>
    <row r="145" spans="1:10" ht="15" hidden="1" customHeight="1">
      <c r="A145" s="9">
        <v>141</v>
      </c>
      <c r="B145" s="10" t="s">
        <v>1099</v>
      </c>
      <c r="C145" s="10" t="s">
        <v>879</v>
      </c>
      <c r="D145" s="10" t="s">
        <v>792</v>
      </c>
      <c r="E145" s="10" t="s">
        <v>1091</v>
      </c>
      <c r="F145" s="10" t="s">
        <v>793</v>
      </c>
      <c r="G145" s="10"/>
      <c r="H145" s="10"/>
      <c r="I145" s="10" t="s">
        <v>793</v>
      </c>
      <c r="J145" s="10" t="s">
        <v>881</v>
      </c>
    </row>
    <row r="146" spans="1:10" ht="15" hidden="1" customHeight="1">
      <c r="A146" s="9">
        <v>142</v>
      </c>
      <c r="B146" s="10" t="s">
        <v>1100</v>
      </c>
      <c r="C146" s="10" t="s">
        <v>1101</v>
      </c>
      <c r="D146" s="10" t="s">
        <v>792</v>
      </c>
      <c r="E146" s="10" t="s">
        <v>797</v>
      </c>
      <c r="F146" s="10" t="s">
        <v>793</v>
      </c>
      <c r="G146" s="10"/>
      <c r="H146" s="10"/>
      <c r="I146" s="10" t="s">
        <v>794</v>
      </c>
      <c r="J146" s="10" t="s">
        <v>795</v>
      </c>
    </row>
    <row r="147" spans="1:10" ht="15" hidden="1" customHeight="1">
      <c r="A147" s="9">
        <v>143</v>
      </c>
      <c r="B147" s="10" t="s">
        <v>1102</v>
      </c>
      <c r="C147" s="10" t="s">
        <v>1103</v>
      </c>
      <c r="D147" s="10" t="s">
        <v>792</v>
      </c>
      <c r="E147" s="10" t="s">
        <v>1101</v>
      </c>
      <c r="F147" s="10" t="s">
        <v>794</v>
      </c>
      <c r="G147" s="10"/>
      <c r="H147" s="10"/>
      <c r="I147" s="10" t="s">
        <v>794</v>
      </c>
      <c r="J147" s="10" t="s">
        <v>920</v>
      </c>
    </row>
    <row r="148" spans="1:10" ht="15" hidden="1" customHeight="1">
      <c r="A148" s="9">
        <v>144</v>
      </c>
      <c r="B148" s="10" t="s">
        <v>1104</v>
      </c>
      <c r="C148" s="10" t="s">
        <v>1105</v>
      </c>
      <c r="D148" s="10" t="s">
        <v>792</v>
      </c>
      <c r="E148" s="10" t="s">
        <v>1106</v>
      </c>
      <c r="F148" s="10" t="s">
        <v>794</v>
      </c>
      <c r="G148" s="10" t="s">
        <v>871</v>
      </c>
      <c r="H148" s="10" t="s">
        <v>802</v>
      </c>
      <c r="I148" s="10" t="s">
        <v>794</v>
      </c>
      <c r="J148" s="10" t="s">
        <v>795</v>
      </c>
    </row>
    <row r="149" spans="1:10" ht="15" hidden="1" customHeight="1">
      <c r="A149" s="9">
        <v>145</v>
      </c>
      <c r="B149" s="10" t="s">
        <v>1107</v>
      </c>
      <c r="C149" s="10" t="s">
        <v>1108</v>
      </c>
      <c r="D149" s="10" t="s">
        <v>792</v>
      </c>
      <c r="E149" s="10" t="s">
        <v>1106</v>
      </c>
      <c r="F149" s="10" t="s">
        <v>794</v>
      </c>
      <c r="G149" s="10" t="s">
        <v>871</v>
      </c>
      <c r="H149" s="10" t="s">
        <v>802</v>
      </c>
      <c r="I149" s="10" t="s">
        <v>794</v>
      </c>
      <c r="J149" s="10" t="s">
        <v>795</v>
      </c>
    </row>
    <row r="150" spans="1:10" ht="15" hidden="1" customHeight="1">
      <c r="A150" s="9">
        <v>146</v>
      </c>
      <c r="B150" s="10" t="s">
        <v>1109</v>
      </c>
      <c r="C150" s="10" t="s">
        <v>1110</v>
      </c>
      <c r="D150" s="10" t="s">
        <v>792</v>
      </c>
      <c r="E150" s="10" t="s">
        <v>1106</v>
      </c>
      <c r="F150" s="10" t="s">
        <v>794</v>
      </c>
      <c r="G150" s="10" t="s">
        <v>871</v>
      </c>
      <c r="H150" s="10" t="s">
        <v>802</v>
      </c>
      <c r="I150" s="10" t="s">
        <v>794</v>
      </c>
      <c r="J150" s="10" t="s">
        <v>795</v>
      </c>
    </row>
    <row r="151" spans="1:10" ht="15" hidden="1" customHeight="1">
      <c r="A151" s="9">
        <v>147</v>
      </c>
      <c r="B151" s="10" t="s">
        <v>1111</v>
      </c>
      <c r="C151" s="10" t="s">
        <v>1079</v>
      </c>
      <c r="D151" s="10" t="s">
        <v>792</v>
      </c>
      <c r="E151" s="10" t="s">
        <v>791</v>
      </c>
      <c r="F151" s="10" t="s">
        <v>793</v>
      </c>
      <c r="G151" s="10"/>
      <c r="H151" s="10"/>
      <c r="I151" s="10" t="s">
        <v>794</v>
      </c>
      <c r="J151" s="10" t="s">
        <v>1004</v>
      </c>
    </row>
    <row r="152" spans="1:10" ht="15" hidden="1" customHeight="1">
      <c r="A152" s="9">
        <v>148</v>
      </c>
      <c r="B152" s="10" t="s">
        <v>1112</v>
      </c>
      <c r="C152" s="10" t="s">
        <v>1003</v>
      </c>
      <c r="D152" s="10" t="s">
        <v>792</v>
      </c>
      <c r="E152" s="10" t="s">
        <v>1079</v>
      </c>
      <c r="F152" s="10" t="s">
        <v>793</v>
      </c>
      <c r="G152" s="10"/>
      <c r="H152" s="10"/>
      <c r="I152" s="10" t="s">
        <v>794</v>
      </c>
      <c r="J152" s="10" t="s">
        <v>1004</v>
      </c>
    </row>
    <row r="153" spans="1:10" ht="15" hidden="1" customHeight="1">
      <c r="A153" s="9">
        <v>149</v>
      </c>
      <c r="B153" s="10" t="s">
        <v>1113</v>
      </c>
      <c r="C153" s="10" t="s">
        <v>1037</v>
      </c>
      <c r="D153" s="10" t="s">
        <v>792</v>
      </c>
      <c r="E153" s="10" t="s">
        <v>1079</v>
      </c>
      <c r="F153" s="10" t="s">
        <v>793</v>
      </c>
      <c r="G153" s="10"/>
      <c r="H153" s="10"/>
      <c r="I153" s="10" t="s">
        <v>794</v>
      </c>
      <c r="J153" s="10" t="s">
        <v>795</v>
      </c>
    </row>
    <row r="154" spans="1:10" ht="15" hidden="1" customHeight="1">
      <c r="A154" s="9">
        <v>150</v>
      </c>
      <c r="B154" s="10" t="s">
        <v>1114</v>
      </c>
      <c r="C154" s="10" t="s">
        <v>1053</v>
      </c>
      <c r="D154" s="10" t="s">
        <v>792</v>
      </c>
      <c r="E154" s="10" t="s">
        <v>1079</v>
      </c>
      <c r="F154" s="10" t="s">
        <v>793</v>
      </c>
      <c r="G154" s="10"/>
      <c r="H154" s="10"/>
      <c r="I154" s="10" t="s">
        <v>794</v>
      </c>
      <c r="J154" s="10" t="s">
        <v>1004</v>
      </c>
    </row>
    <row r="155" spans="1:10" ht="15" hidden="1" customHeight="1">
      <c r="A155" s="9">
        <v>151</v>
      </c>
      <c r="B155" s="10" t="s">
        <v>1115</v>
      </c>
      <c r="C155" s="10" t="s">
        <v>1116</v>
      </c>
      <c r="D155" s="10" t="s">
        <v>792</v>
      </c>
      <c r="E155" s="10" t="s">
        <v>797</v>
      </c>
      <c r="F155" s="10" t="s">
        <v>793</v>
      </c>
      <c r="G155" s="10" t="s">
        <v>801</v>
      </c>
      <c r="H155" s="10" t="s">
        <v>802</v>
      </c>
      <c r="I155" s="10" t="s">
        <v>794</v>
      </c>
      <c r="J155" s="10" t="s">
        <v>795</v>
      </c>
    </row>
    <row r="156" spans="1:10" ht="15" hidden="1" customHeight="1">
      <c r="A156" s="9">
        <v>152</v>
      </c>
      <c r="B156" s="10" t="s">
        <v>1117</v>
      </c>
      <c r="C156" s="10" t="s">
        <v>1118</v>
      </c>
      <c r="D156" s="10" t="s">
        <v>792</v>
      </c>
      <c r="E156" s="10" t="s">
        <v>1116</v>
      </c>
      <c r="F156" s="10" t="s">
        <v>793</v>
      </c>
      <c r="G156" s="10" t="s">
        <v>801</v>
      </c>
      <c r="H156" s="10" t="s">
        <v>802</v>
      </c>
      <c r="I156" s="10" t="s">
        <v>794</v>
      </c>
      <c r="J156" s="10" t="s">
        <v>795</v>
      </c>
    </row>
    <row r="157" spans="1:10" ht="15" hidden="1" customHeight="1">
      <c r="A157" s="9">
        <v>153</v>
      </c>
      <c r="B157" s="10" t="s">
        <v>1119</v>
      </c>
      <c r="C157" s="10" t="s">
        <v>1120</v>
      </c>
      <c r="D157" s="10" t="s">
        <v>792</v>
      </c>
      <c r="E157" s="10" t="s">
        <v>1116</v>
      </c>
      <c r="F157" s="10" t="s">
        <v>793</v>
      </c>
      <c r="G157" s="10" t="s">
        <v>801</v>
      </c>
      <c r="H157" s="10" t="s">
        <v>802</v>
      </c>
      <c r="I157" s="10" t="s">
        <v>794</v>
      </c>
      <c r="J157" s="10" t="s">
        <v>795</v>
      </c>
    </row>
    <row r="158" spans="1:10" ht="15" hidden="1" customHeight="1">
      <c r="A158" s="9">
        <v>154</v>
      </c>
      <c r="B158" s="10" t="s">
        <v>1121</v>
      </c>
      <c r="C158" s="10" t="s">
        <v>1083</v>
      </c>
      <c r="D158" s="10" t="s">
        <v>792</v>
      </c>
      <c r="E158" s="10" t="s">
        <v>791</v>
      </c>
      <c r="F158" s="10" t="s">
        <v>793</v>
      </c>
      <c r="G158" s="10"/>
      <c r="H158" s="10"/>
      <c r="I158" s="10" t="s">
        <v>794</v>
      </c>
      <c r="J158" s="10" t="s">
        <v>795</v>
      </c>
    </row>
    <row r="159" spans="1:10" ht="15" hidden="1" customHeight="1">
      <c r="A159" s="9">
        <v>155</v>
      </c>
      <c r="B159" s="10" t="s">
        <v>1122</v>
      </c>
      <c r="C159" s="10" t="s">
        <v>1106</v>
      </c>
      <c r="D159" s="10" t="s">
        <v>792</v>
      </c>
      <c r="E159" s="10" t="s">
        <v>791</v>
      </c>
      <c r="F159" s="10" t="s">
        <v>793</v>
      </c>
      <c r="G159" s="10"/>
      <c r="H159" s="10"/>
      <c r="I159" s="10" t="s">
        <v>794</v>
      </c>
      <c r="J159" s="10" t="s">
        <v>795</v>
      </c>
    </row>
    <row r="160" spans="1:10" ht="15" hidden="1" customHeight="1">
      <c r="A160" s="9">
        <v>156</v>
      </c>
      <c r="B160" s="10" t="s">
        <v>1123</v>
      </c>
      <c r="C160" s="10" t="s">
        <v>1124</v>
      </c>
      <c r="D160" s="10" t="s">
        <v>792</v>
      </c>
      <c r="E160" s="10" t="s">
        <v>791</v>
      </c>
      <c r="F160" s="10" t="s">
        <v>793</v>
      </c>
      <c r="G160" s="10"/>
      <c r="H160" s="10"/>
      <c r="I160" s="10" t="s">
        <v>794</v>
      </c>
      <c r="J160" s="10" t="s">
        <v>795</v>
      </c>
    </row>
    <row r="161" spans="1:10" ht="15" hidden="1" customHeight="1">
      <c r="A161" s="9">
        <v>157</v>
      </c>
      <c r="B161" s="10" t="s">
        <v>1125</v>
      </c>
      <c r="C161" s="10" t="s">
        <v>1126</v>
      </c>
      <c r="D161" s="10" t="s">
        <v>792</v>
      </c>
      <c r="E161" s="10" t="s">
        <v>797</v>
      </c>
      <c r="F161" s="10" t="s">
        <v>793</v>
      </c>
      <c r="G161" s="10"/>
      <c r="H161" s="10"/>
      <c r="I161" s="10" t="s">
        <v>794</v>
      </c>
      <c r="J161" s="10" t="s">
        <v>795</v>
      </c>
    </row>
    <row r="162" spans="1:10" ht="15" hidden="1" customHeight="1">
      <c r="A162" s="9">
        <v>158</v>
      </c>
      <c r="B162" s="10" t="s">
        <v>1127</v>
      </c>
      <c r="C162" s="10" t="s">
        <v>1128</v>
      </c>
      <c r="D162" s="10" t="s">
        <v>792</v>
      </c>
      <c r="E162" s="10" t="s">
        <v>791</v>
      </c>
      <c r="F162" s="10" t="s">
        <v>793</v>
      </c>
      <c r="G162" s="10"/>
      <c r="H162" s="10"/>
      <c r="I162" s="10" t="s">
        <v>794</v>
      </c>
      <c r="J162" s="10" t="s">
        <v>795</v>
      </c>
    </row>
    <row r="163" spans="1:10" ht="15" hidden="1" customHeight="1">
      <c r="A163" s="9">
        <v>159</v>
      </c>
      <c r="B163" s="10" t="s">
        <v>1129</v>
      </c>
      <c r="C163" s="10" t="s">
        <v>1130</v>
      </c>
      <c r="D163" s="10" t="s">
        <v>792</v>
      </c>
      <c r="E163" s="10" t="s">
        <v>1128</v>
      </c>
      <c r="F163" s="10" t="s">
        <v>793</v>
      </c>
      <c r="G163" s="10" t="s">
        <v>1130</v>
      </c>
      <c r="H163" s="10" t="s">
        <v>1131</v>
      </c>
      <c r="I163" s="10" t="s">
        <v>794</v>
      </c>
      <c r="J163" s="10" t="s">
        <v>795</v>
      </c>
    </row>
    <row r="164" spans="1:10" ht="15" hidden="1" customHeight="1">
      <c r="A164" s="9">
        <v>160</v>
      </c>
      <c r="B164" s="10" t="s">
        <v>1132</v>
      </c>
      <c r="C164" s="10" t="s">
        <v>1133</v>
      </c>
      <c r="D164" s="10" t="s">
        <v>792</v>
      </c>
      <c r="E164" s="10" t="s">
        <v>797</v>
      </c>
      <c r="F164" s="10" t="s">
        <v>793</v>
      </c>
      <c r="G164" s="10"/>
      <c r="H164" s="10"/>
      <c r="I164" s="10" t="s">
        <v>794</v>
      </c>
      <c r="J164" s="10" t="s">
        <v>795</v>
      </c>
    </row>
    <row r="165" spans="1:10" ht="15" hidden="1" customHeight="1">
      <c r="A165" s="9">
        <v>161</v>
      </c>
      <c r="B165" s="10" t="s">
        <v>1134</v>
      </c>
      <c r="C165" s="10" t="s">
        <v>1135</v>
      </c>
      <c r="D165" s="10" t="s">
        <v>792</v>
      </c>
      <c r="E165" s="10" t="s">
        <v>1128</v>
      </c>
      <c r="F165" s="10" t="s">
        <v>793</v>
      </c>
      <c r="G165" s="10"/>
      <c r="H165" s="10"/>
      <c r="I165" s="10" t="s">
        <v>794</v>
      </c>
      <c r="J165" s="10" t="s">
        <v>795</v>
      </c>
    </row>
    <row r="166" spans="1:10" ht="15" hidden="1" customHeight="1">
      <c r="A166" s="9">
        <v>162</v>
      </c>
      <c r="B166" s="10" t="s">
        <v>1136</v>
      </c>
      <c r="C166" s="10" t="s">
        <v>1137</v>
      </c>
      <c r="D166" s="10" t="s">
        <v>792</v>
      </c>
      <c r="E166" s="10" t="s">
        <v>1128</v>
      </c>
      <c r="F166" s="10" t="s">
        <v>793</v>
      </c>
      <c r="G166" s="10"/>
      <c r="H166" s="10"/>
      <c r="I166" s="10" t="s">
        <v>794</v>
      </c>
      <c r="J166" s="10" t="s">
        <v>795</v>
      </c>
    </row>
    <row r="167" spans="1:10" ht="15" hidden="1" customHeight="1">
      <c r="A167" s="9">
        <v>163</v>
      </c>
      <c r="B167" s="10" t="s">
        <v>1138</v>
      </c>
      <c r="C167" s="10" t="s">
        <v>1139</v>
      </c>
      <c r="D167" s="10" t="s">
        <v>792</v>
      </c>
      <c r="E167" s="10" t="s">
        <v>1128</v>
      </c>
      <c r="F167" s="10" t="s">
        <v>793</v>
      </c>
      <c r="G167" s="10"/>
      <c r="H167" s="10"/>
      <c r="I167" s="10" t="s">
        <v>794</v>
      </c>
      <c r="J167" s="10" t="s">
        <v>795</v>
      </c>
    </row>
    <row r="168" spans="1:10" ht="15" hidden="1" customHeight="1">
      <c r="A168" s="9">
        <v>164</v>
      </c>
      <c r="B168" s="10" t="s">
        <v>1140</v>
      </c>
      <c r="C168" s="10" t="s">
        <v>1141</v>
      </c>
      <c r="D168" s="10" t="s">
        <v>792</v>
      </c>
      <c r="E168" s="10" t="s">
        <v>1128</v>
      </c>
      <c r="F168" s="10" t="s">
        <v>793</v>
      </c>
      <c r="G168" s="10"/>
      <c r="H168" s="10"/>
      <c r="I168" s="10" t="s">
        <v>794</v>
      </c>
      <c r="J168" s="10" t="s">
        <v>795</v>
      </c>
    </row>
    <row r="169" spans="1:10" ht="15" hidden="1" customHeight="1">
      <c r="A169" s="9">
        <v>165</v>
      </c>
      <c r="B169" s="10" t="s">
        <v>1142</v>
      </c>
      <c r="C169" s="10" t="s">
        <v>1143</v>
      </c>
      <c r="D169" s="10" t="s">
        <v>792</v>
      </c>
      <c r="E169" s="10" t="s">
        <v>1128</v>
      </c>
      <c r="F169" s="10" t="s">
        <v>793</v>
      </c>
      <c r="G169" s="10"/>
      <c r="H169" s="10"/>
      <c r="I169" s="10" t="s">
        <v>794</v>
      </c>
      <c r="J169" s="10" t="s">
        <v>795</v>
      </c>
    </row>
    <row r="170" spans="1:10" ht="15" hidden="1" customHeight="1">
      <c r="A170" s="9">
        <v>166</v>
      </c>
      <c r="B170" s="10" t="s">
        <v>1144</v>
      </c>
      <c r="C170" s="10" t="s">
        <v>1145</v>
      </c>
      <c r="D170" s="10" t="s">
        <v>792</v>
      </c>
      <c r="E170" s="10" t="s">
        <v>1128</v>
      </c>
      <c r="F170" s="10" t="s">
        <v>793</v>
      </c>
      <c r="G170" s="10"/>
      <c r="H170" s="10"/>
      <c r="I170" s="10" t="s">
        <v>794</v>
      </c>
      <c r="J170" s="10" t="s">
        <v>795</v>
      </c>
    </row>
    <row r="171" spans="1:10" ht="15" hidden="1" customHeight="1">
      <c r="A171" s="9">
        <v>167</v>
      </c>
      <c r="B171" s="10" t="s">
        <v>1146</v>
      </c>
      <c r="C171" s="10" t="s">
        <v>1147</v>
      </c>
      <c r="D171" s="10" t="s">
        <v>792</v>
      </c>
      <c r="E171" s="10" t="s">
        <v>1133</v>
      </c>
      <c r="F171" s="10" t="s">
        <v>793</v>
      </c>
      <c r="G171" s="10"/>
      <c r="H171" s="10"/>
      <c r="I171" s="10" t="s">
        <v>794</v>
      </c>
      <c r="J171" s="10" t="s">
        <v>795</v>
      </c>
    </row>
    <row r="172" spans="1:10" ht="15" hidden="1" customHeight="1">
      <c r="A172" s="9">
        <v>168</v>
      </c>
      <c r="B172" s="10" t="s">
        <v>1148</v>
      </c>
      <c r="C172" s="10" t="s">
        <v>1149</v>
      </c>
      <c r="D172" s="10" t="s">
        <v>792</v>
      </c>
      <c r="E172" s="10" t="s">
        <v>1133</v>
      </c>
      <c r="F172" s="10" t="s">
        <v>793</v>
      </c>
      <c r="G172" s="10"/>
      <c r="H172" s="10"/>
      <c r="I172" s="10" t="s">
        <v>794</v>
      </c>
      <c r="J172" s="10" t="s">
        <v>795</v>
      </c>
    </row>
    <row r="173" spans="1:10" ht="15" hidden="1" customHeight="1">
      <c r="A173" s="9">
        <v>169</v>
      </c>
      <c r="B173" s="10" t="s">
        <v>1150</v>
      </c>
      <c r="C173" s="10" t="s">
        <v>1151</v>
      </c>
      <c r="D173" s="10" t="s">
        <v>792</v>
      </c>
      <c r="E173" s="10" t="s">
        <v>1133</v>
      </c>
      <c r="F173" s="10" t="s">
        <v>793</v>
      </c>
      <c r="G173" s="10"/>
      <c r="H173" s="10"/>
      <c r="I173" s="10" t="s">
        <v>794</v>
      </c>
      <c r="J173" s="10" t="s">
        <v>795</v>
      </c>
    </row>
    <row r="174" spans="1:10" ht="15" hidden="1" customHeight="1">
      <c r="A174" s="9">
        <v>170</v>
      </c>
      <c r="B174" s="10" t="s">
        <v>1152</v>
      </c>
      <c r="C174" s="10" t="s">
        <v>1153</v>
      </c>
      <c r="D174" s="10" t="s">
        <v>792</v>
      </c>
      <c r="E174" s="10" t="s">
        <v>1133</v>
      </c>
      <c r="F174" s="10" t="s">
        <v>793</v>
      </c>
      <c r="G174" s="10"/>
      <c r="H174" s="10"/>
      <c r="I174" s="10" t="s">
        <v>794</v>
      </c>
      <c r="J174" s="10" t="s">
        <v>795</v>
      </c>
    </row>
    <row r="175" spans="1:10" ht="15" hidden="1" customHeight="1">
      <c r="A175" s="9">
        <v>171</v>
      </c>
      <c r="B175" s="10" t="s">
        <v>1154</v>
      </c>
      <c r="C175" s="10" t="s">
        <v>1155</v>
      </c>
      <c r="D175" s="10" t="s">
        <v>792</v>
      </c>
      <c r="E175" s="10" t="s">
        <v>1133</v>
      </c>
      <c r="F175" s="10" t="s">
        <v>793</v>
      </c>
      <c r="G175" s="10"/>
      <c r="H175" s="10"/>
      <c r="I175" s="10" t="s">
        <v>794</v>
      </c>
      <c r="J175" s="10" t="s">
        <v>795</v>
      </c>
    </row>
    <row r="176" spans="1:10" ht="15" hidden="1" customHeight="1">
      <c r="A176" s="9">
        <v>172</v>
      </c>
      <c r="B176" s="10" t="s">
        <v>1156</v>
      </c>
      <c r="C176" s="10" t="s">
        <v>1157</v>
      </c>
      <c r="D176" s="10" t="s">
        <v>792</v>
      </c>
      <c r="E176" s="10" t="s">
        <v>1133</v>
      </c>
      <c r="F176" s="10" t="s">
        <v>793</v>
      </c>
      <c r="G176" s="10"/>
      <c r="H176" s="10"/>
      <c r="I176" s="10" t="s">
        <v>794</v>
      </c>
      <c r="J176" s="10" t="s">
        <v>795</v>
      </c>
    </row>
    <row r="177" spans="1:10" ht="15" hidden="1" customHeight="1">
      <c r="A177" s="9">
        <v>173</v>
      </c>
      <c r="B177" s="10" t="s">
        <v>1158</v>
      </c>
      <c r="C177" s="10" t="s">
        <v>1159</v>
      </c>
      <c r="D177" s="10" t="s">
        <v>792</v>
      </c>
      <c r="E177" s="10" t="s">
        <v>1133</v>
      </c>
      <c r="F177" s="10" t="s">
        <v>793</v>
      </c>
      <c r="G177" s="10"/>
      <c r="H177" s="10"/>
      <c r="I177" s="10" t="s">
        <v>794</v>
      </c>
      <c r="J177" s="10" t="s">
        <v>795</v>
      </c>
    </row>
    <row r="178" spans="1:10" ht="15" hidden="1" customHeight="1">
      <c r="A178" s="9">
        <v>174</v>
      </c>
      <c r="B178" s="10" t="s">
        <v>1160</v>
      </c>
      <c r="C178" s="10" t="s">
        <v>1161</v>
      </c>
      <c r="D178" s="10" t="s">
        <v>792</v>
      </c>
      <c r="E178" s="10" t="s">
        <v>791</v>
      </c>
      <c r="F178" s="10" t="s">
        <v>793</v>
      </c>
      <c r="G178" s="10"/>
      <c r="H178" s="10"/>
      <c r="I178" s="10" t="s">
        <v>794</v>
      </c>
      <c r="J178" s="10" t="s">
        <v>795</v>
      </c>
    </row>
    <row r="179" spans="1:10" ht="15" hidden="1" customHeight="1">
      <c r="A179" s="9">
        <v>175</v>
      </c>
      <c r="B179" s="10" t="s">
        <v>1162</v>
      </c>
      <c r="C179" s="10" t="s">
        <v>1163</v>
      </c>
      <c r="D179" s="10" t="s">
        <v>792</v>
      </c>
      <c r="E179" s="10" t="s">
        <v>797</v>
      </c>
      <c r="F179" s="10" t="s">
        <v>793</v>
      </c>
      <c r="G179" s="10"/>
      <c r="H179" s="10"/>
      <c r="I179" s="10" t="s">
        <v>794</v>
      </c>
      <c r="J179" s="10" t="s">
        <v>795</v>
      </c>
    </row>
    <row r="180" spans="1:10" ht="15" hidden="1" customHeight="1">
      <c r="A180" s="9">
        <v>176</v>
      </c>
      <c r="B180" s="10" t="s">
        <v>1164</v>
      </c>
      <c r="C180" s="10" t="s">
        <v>1165</v>
      </c>
      <c r="D180" s="10" t="s">
        <v>792</v>
      </c>
      <c r="E180" s="10" t="s">
        <v>791</v>
      </c>
      <c r="F180" s="10" t="s">
        <v>793</v>
      </c>
      <c r="G180" s="10"/>
      <c r="H180" s="10"/>
      <c r="I180" s="10" t="s">
        <v>794</v>
      </c>
      <c r="J180" s="10" t="s">
        <v>795</v>
      </c>
    </row>
    <row r="181" spans="1:10" ht="15" hidden="1" customHeight="1">
      <c r="A181" s="9">
        <v>177</v>
      </c>
      <c r="B181" s="10" t="s">
        <v>1166</v>
      </c>
      <c r="C181" s="10" t="s">
        <v>1167</v>
      </c>
      <c r="D181" s="10" t="s">
        <v>792</v>
      </c>
      <c r="E181" s="10" t="s">
        <v>1165</v>
      </c>
      <c r="F181" s="10" t="s">
        <v>793</v>
      </c>
      <c r="G181" s="10"/>
      <c r="H181" s="10"/>
      <c r="I181" s="10" t="s">
        <v>794</v>
      </c>
      <c r="J181" s="10" t="s">
        <v>795</v>
      </c>
    </row>
    <row r="182" spans="1:10" ht="15" hidden="1" customHeight="1">
      <c r="A182" s="9">
        <v>178</v>
      </c>
      <c r="B182" s="10" t="s">
        <v>1168</v>
      </c>
      <c r="C182" s="10" t="s">
        <v>1169</v>
      </c>
      <c r="D182" s="10" t="s">
        <v>792</v>
      </c>
      <c r="E182" s="10" t="s">
        <v>791</v>
      </c>
      <c r="F182" s="10" t="s">
        <v>793</v>
      </c>
      <c r="G182" s="10"/>
      <c r="H182" s="10"/>
      <c r="I182" s="10" t="s">
        <v>794</v>
      </c>
      <c r="J182" s="10" t="s">
        <v>795</v>
      </c>
    </row>
    <row r="183" spans="1:10" ht="15" hidden="1" customHeight="1">
      <c r="A183" s="9">
        <v>179</v>
      </c>
      <c r="B183" s="10" t="s">
        <v>1170</v>
      </c>
      <c r="C183" s="10" t="s">
        <v>1171</v>
      </c>
      <c r="D183" s="10" t="s">
        <v>792</v>
      </c>
      <c r="E183" s="10" t="s">
        <v>791</v>
      </c>
      <c r="F183" s="10" t="s">
        <v>793</v>
      </c>
      <c r="G183" s="10"/>
      <c r="H183" s="10"/>
      <c r="I183" s="10" t="s">
        <v>794</v>
      </c>
      <c r="J183" s="10" t="s">
        <v>795</v>
      </c>
    </row>
    <row r="184" spans="1:10" ht="15" hidden="1" customHeight="1">
      <c r="A184" s="9">
        <v>180</v>
      </c>
      <c r="B184" s="10" t="s">
        <v>1172</v>
      </c>
      <c r="C184" s="10" t="s">
        <v>1173</v>
      </c>
      <c r="D184" s="10" t="s">
        <v>792</v>
      </c>
      <c r="E184" s="10" t="s">
        <v>797</v>
      </c>
      <c r="F184" s="10" t="s">
        <v>793</v>
      </c>
      <c r="G184" s="10"/>
      <c r="H184" s="10"/>
      <c r="I184" s="10" t="s">
        <v>794</v>
      </c>
      <c r="J184" s="10" t="s">
        <v>795</v>
      </c>
    </row>
    <row r="185" spans="1:10" ht="15" hidden="1" customHeight="1">
      <c r="A185" s="9">
        <v>181</v>
      </c>
      <c r="B185" s="10" t="s">
        <v>1174</v>
      </c>
      <c r="C185" s="10" t="s">
        <v>1175</v>
      </c>
      <c r="D185" s="10" t="s">
        <v>792</v>
      </c>
      <c r="E185" s="10" t="s">
        <v>1173</v>
      </c>
      <c r="F185" s="10" t="s">
        <v>793</v>
      </c>
      <c r="G185" s="10"/>
      <c r="H185" s="10"/>
      <c r="I185" s="10" t="s">
        <v>794</v>
      </c>
      <c r="J185" s="10" t="s">
        <v>795</v>
      </c>
    </row>
    <row r="186" spans="1:10" ht="15" hidden="1" customHeight="1">
      <c r="A186" s="9">
        <v>182</v>
      </c>
      <c r="B186" s="10" t="s">
        <v>1176</v>
      </c>
      <c r="C186" s="10" t="s">
        <v>1177</v>
      </c>
      <c r="D186" s="10" t="s">
        <v>792</v>
      </c>
      <c r="E186" s="10" t="s">
        <v>791</v>
      </c>
      <c r="F186" s="10" t="s">
        <v>793</v>
      </c>
      <c r="G186" s="10"/>
      <c r="H186" s="10"/>
      <c r="I186" s="10" t="s">
        <v>794</v>
      </c>
      <c r="J186" s="10" t="s">
        <v>1004</v>
      </c>
    </row>
    <row r="187" spans="1:10" ht="15" hidden="1" customHeight="1">
      <c r="A187" s="9">
        <v>183</v>
      </c>
      <c r="B187" s="10" t="s">
        <v>1178</v>
      </c>
      <c r="C187" s="10" t="s">
        <v>1179</v>
      </c>
      <c r="D187" s="10" t="s">
        <v>792</v>
      </c>
      <c r="E187" s="10" t="s">
        <v>1177</v>
      </c>
      <c r="F187" s="10" t="s">
        <v>793</v>
      </c>
      <c r="G187" s="10"/>
      <c r="H187" s="10"/>
      <c r="I187" s="10" t="s">
        <v>794</v>
      </c>
      <c r="J187" s="10" t="s">
        <v>1004</v>
      </c>
    </row>
    <row r="188" spans="1:10" ht="15" hidden="1" customHeight="1">
      <c r="A188" s="9">
        <v>184</v>
      </c>
      <c r="B188" s="10" t="s">
        <v>1180</v>
      </c>
      <c r="C188" s="10" t="s">
        <v>1181</v>
      </c>
      <c r="D188" s="10" t="s">
        <v>792</v>
      </c>
      <c r="E188" s="10" t="s">
        <v>1177</v>
      </c>
      <c r="F188" s="10" t="s">
        <v>793</v>
      </c>
      <c r="G188" s="10"/>
      <c r="H188" s="10"/>
      <c r="I188" s="10" t="s">
        <v>794</v>
      </c>
      <c r="J188" s="10" t="s">
        <v>1004</v>
      </c>
    </row>
    <row r="189" spans="1:10" ht="15" hidden="1" customHeight="1">
      <c r="A189" s="9">
        <v>185</v>
      </c>
      <c r="B189" s="10" t="s">
        <v>1182</v>
      </c>
      <c r="C189" s="10" t="s">
        <v>1183</v>
      </c>
      <c r="D189" s="10" t="s">
        <v>792</v>
      </c>
      <c r="E189" s="10" t="s">
        <v>797</v>
      </c>
      <c r="F189" s="10" t="s">
        <v>793</v>
      </c>
      <c r="G189" s="10"/>
      <c r="H189" s="10"/>
      <c r="I189" s="10" t="s">
        <v>794</v>
      </c>
      <c r="J189" s="10" t="s">
        <v>795</v>
      </c>
    </row>
    <row r="190" spans="1:10" ht="15" hidden="1" customHeight="1">
      <c r="A190" s="9">
        <v>186</v>
      </c>
      <c r="B190" s="10" t="s">
        <v>1184</v>
      </c>
      <c r="C190" s="10" t="s">
        <v>1185</v>
      </c>
      <c r="D190" s="10" t="s">
        <v>792</v>
      </c>
      <c r="E190" s="10" t="s">
        <v>1183</v>
      </c>
      <c r="F190" s="10" t="s">
        <v>793</v>
      </c>
      <c r="G190" s="10"/>
      <c r="H190" s="10"/>
      <c r="I190" s="10" t="s">
        <v>794</v>
      </c>
      <c r="J190" s="10" t="s">
        <v>795</v>
      </c>
    </row>
    <row r="191" spans="1:10" ht="15" hidden="1" customHeight="1">
      <c r="A191" s="9">
        <v>187</v>
      </c>
      <c r="B191" s="10" t="s">
        <v>1186</v>
      </c>
      <c r="C191" s="10" t="s">
        <v>1187</v>
      </c>
      <c r="D191" s="10" t="s">
        <v>792</v>
      </c>
      <c r="E191" s="10" t="s">
        <v>1124</v>
      </c>
      <c r="F191" s="10" t="s">
        <v>794</v>
      </c>
      <c r="G191" s="10" t="s">
        <v>1188</v>
      </c>
      <c r="H191" s="10" t="s">
        <v>802</v>
      </c>
      <c r="I191" s="10" t="s">
        <v>794</v>
      </c>
      <c r="J191" s="10" t="s">
        <v>795</v>
      </c>
    </row>
    <row r="192" spans="1:10" ht="15" hidden="1" customHeight="1">
      <c r="A192" s="9">
        <v>188</v>
      </c>
      <c r="B192" s="10" t="s">
        <v>1189</v>
      </c>
      <c r="C192" s="10" t="s">
        <v>1190</v>
      </c>
      <c r="D192" s="10" t="s">
        <v>792</v>
      </c>
      <c r="E192" s="10" t="s">
        <v>1124</v>
      </c>
      <c r="F192" s="10" t="s">
        <v>794</v>
      </c>
      <c r="G192" s="10" t="s">
        <v>1188</v>
      </c>
      <c r="H192" s="10" t="s">
        <v>802</v>
      </c>
      <c r="I192" s="10" t="s">
        <v>794</v>
      </c>
      <c r="J192" s="10" t="s">
        <v>795</v>
      </c>
    </row>
    <row r="193" spans="1:10" ht="15" hidden="1" customHeight="1">
      <c r="A193" s="9">
        <v>189</v>
      </c>
      <c r="B193" s="10" t="s">
        <v>1191</v>
      </c>
      <c r="C193" s="10" t="s">
        <v>1192</v>
      </c>
      <c r="D193" s="10" t="s">
        <v>1193</v>
      </c>
      <c r="E193" s="10"/>
      <c r="F193" s="10" t="s">
        <v>793</v>
      </c>
      <c r="G193" s="10"/>
      <c r="H193" s="10"/>
      <c r="I193" s="10" t="s">
        <v>794</v>
      </c>
      <c r="J193" s="10" t="s">
        <v>795</v>
      </c>
    </row>
    <row r="194" spans="1:10" ht="15" hidden="1" customHeight="1">
      <c r="A194" s="9">
        <v>190</v>
      </c>
      <c r="B194" s="10" t="s">
        <v>1194</v>
      </c>
      <c r="C194" s="10" t="s">
        <v>1195</v>
      </c>
      <c r="D194" s="10" t="s">
        <v>1193</v>
      </c>
      <c r="E194" s="10" t="s">
        <v>1192</v>
      </c>
      <c r="F194" s="10" t="s">
        <v>793</v>
      </c>
      <c r="G194" s="10"/>
      <c r="H194" s="10"/>
      <c r="I194" s="10" t="s">
        <v>794</v>
      </c>
      <c r="J194" s="10" t="s">
        <v>795</v>
      </c>
    </row>
    <row r="195" spans="1:10" ht="15" hidden="1" customHeight="1">
      <c r="A195" s="9">
        <v>191</v>
      </c>
      <c r="B195" s="10" t="s">
        <v>1196</v>
      </c>
      <c r="C195" s="10" t="s">
        <v>1197</v>
      </c>
      <c r="D195" s="10" t="s">
        <v>1193</v>
      </c>
      <c r="E195" s="10" t="s">
        <v>1192</v>
      </c>
      <c r="F195" s="10" t="s">
        <v>793</v>
      </c>
      <c r="G195" s="10"/>
      <c r="H195" s="10"/>
      <c r="I195" s="10" t="s">
        <v>794</v>
      </c>
      <c r="J195" s="10" t="s">
        <v>1004</v>
      </c>
    </row>
    <row r="196" spans="1:10" ht="15" hidden="1" customHeight="1">
      <c r="A196" s="9">
        <v>192</v>
      </c>
      <c r="B196" s="10" t="s">
        <v>1198</v>
      </c>
      <c r="C196" s="10" t="s">
        <v>1199</v>
      </c>
      <c r="D196" s="10" t="s">
        <v>1193</v>
      </c>
      <c r="E196" s="10" t="s">
        <v>1197</v>
      </c>
      <c r="F196" s="10" t="s">
        <v>793</v>
      </c>
      <c r="G196" s="10"/>
      <c r="H196" s="10"/>
      <c r="I196" s="10" t="s">
        <v>794</v>
      </c>
      <c r="J196" s="10" t="s">
        <v>1004</v>
      </c>
    </row>
    <row r="197" spans="1:10" ht="15" hidden="1" customHeight="1">
      <c r="A197" s="9">
        <v>193</v>
      </c>
      <c r="B197" s="10" t="s">
        <v>1200</v>
      </c>
      <c r="C197" s="10" t="s">
        <v>1201</v>
      </c>
      <c r="D197" s="10" t="s">
        <v>1193</v>
      </c>
      <c r="E197" s="10" t="s">
        <v>1197</v>
      </c>
      <c r="F197" s="10" t="s">
        <v>793</v>
      </c>
      <c r="G197" s="10"/>
      <c r="H197" s="10"/>
      <c r="I197" s="10" t="s">
        <v>794</v>
      </c>
      <c r="J197" s="10" t="s">
        <v>1004</v>
      </c>
    </row>
    <row r="198" spans="1:10" ht="15" hidden="1" customHeight="1">
      <c r="A198" s="9">
        <v>194</v>
      </c>
      <c r="B198" s="10" t="s">
        <v>1202</v>
      </c>
      <c r="C198" s="10" t="s">
        <v>1203</v>
      </c>
      <c r="D198" s="10" t="s">
        <v>1193</v>
      </c>
      <c r="E198" s="10" t="s">
        <v>1197</v>
      </c>
      <c r="F198" s="10" t="s">
        <v>793</v>
      </c>
      <c r="G198" s="10"/>
      <c r="H198" s="10"/>
      <c r="I198" s="10" t="s">
        <v>794</v>
      </c>
      <c r="J198" s="10" t="s">
        <v>1004</v>
      </c>
    </row>
    <row r="199" spans="1:10" ht="15" hidden="1" customHeight="1">
      <c r="A199" s="9">
        <v>195</v>
      </c>
      <c r="B199" s="10" t="s">
        <v>1204</v>
      </c>
      <c r="C199" s="10" t="s">
        <v>1205</v>
      </c>
      <c r="D199" s="10" t="s">
        <v>1193</v>
      </c>
      <c r="E199" s="10" t="s">
        <v>1195</v>
      </c>
      <c r="F199" s="10" t="s">
        <v>793</v>
      </c>
      <c r="G199" s="10"/>
      <c r="H199" s="10"/>
      <c r="I199" s="10" t="s">
        <v>794</v>
      </c>
      <c r="J199" s="10" t="s">
        <v>795</v>
      </c>
    </row>
    <row r="200" spans="1:10" ht="15" hidden="1" customHeight="1">
      <c r="A200" s="9">
        <v>196</v>
      </c>
      <c r="B200" s="10" t="s">
        <v>1206</v>
      </c>
      <c r="C200" s="10" t="s">
        <v>1207</v>
      </c>
      <c r="D200" s="10" t="s">
        <v>1193</v>
      </c>
      <c r="E200" s="10" t="s">
        <v>1205</v>
      </c>
      <c r="F200" s="10" t="s">
        <v>793</v>
      </c>
      <c r="G200" s="10"/>
      <c r="H200" s="10"/>
      <c r="I200" s="10" t="s">
        <v>794</v>
      </c>
      <c r="J200" s="10" t="s">
        <v>795</v>
      </c>
    </row>
    <row r="201" spans="1:10" ht="15" hidden="1" customHeight="1">
      <c r="A201" s="9">
        <v>197</v>
      </c>
      <c r="B201" s="10" t="s">
        <v>1208</v>
      </c>
      <c r="C201" s="10" t="s">
        <v>1209</v>
      </c>
      <c r="D201" s="10" t="s">
        <v>1193</v>
      </c>
      <c r="E201" s="10" t="s">
        <v>1205</v>
      </c>
      <c r="F201" s="10" t="s">
        <v>794</v>
      </c>
      <c r="G201" s="10" t="s">
        <v>871</v>
      </c>
      <c r="H201" s="10" t="s">
        <v>802</v>
      </c>
      <c r="I201" s="10" t="s">
        <v>794</v>
      </c>
      <c r="J201" s="10" t="s">
        <v>795</v>
      </c>
    </row>
    <row r="202" spans="1:10" ht="15" hidden="1" customHeight="1">
      <c r="A202" s="9">
        <v>198</v>
      </c>
      <c r="B202" s="10" t="s">
        <v>1210</v>
      </c>
      <c r="C202" s="10" t="s">
        <v>1211</v>
      </c>
      <c r="D202" s="10" t="s">
        <v>1193</v>
      </c>
      <c r="E202" s="10" t="s">
        <v>1205</v>
      </c>
      <c r="F202" s="10" t="s">
        <v>793</v>
      </c>
      <c r="G202" s="10"/>
      <c r="H202" s="10"/>
      <c r="I202" s="10" t="s">
        <v>794</v>
      </c>
      <c r="J202" s="10" t="s">
        <v>795</v>
      </c>
    </row>
    <row r="203" spans="1:10" ht="15" hidden="1" customHeight="1">
      <c r="A203" s="9">
        <v>199</v>
      </c>
      <c r="B203" s="10" t="s">
        <v>1212</v>
      </c>
      <c r="C203" s="10" t="s">
        <v>1213</v>
      </c>
      <c r="D203" s="10" t="s">
        <v>1193</v>
      </c>
      <c r="E203" s="10" t="s">
        <v>1205</v>
      </c>
      <c r="F203" s="10" t="s">
        <v>793</v>
      </c>
      <c r="G203" s="10"/>
      <c r="H203" s="10"/>
      <c r="I203" s="10" t="s">
        <v>794</v>
      </c>
      <c r="J203" s="10" t="s">
        <v>795</v>
      </c>
    </row>
    <row r="204" spans="1:10" ht="15" hidden="1" customHeight="1">
      <c r="A204" s="9">
        <v>200</v>
      </c>
      <c r="B204" s="10" t="s">
        <v>1214</v>
      </c>
      <c r="C204" s="10" t="s">
        <v>1215</v>
      </c>
      <c r="D204" s="10" t="s">
        <v>1193</v>
      </c>
      <c r="E204" s="10" t="s">
        <v>1192</v>
      </c>
      <c r="F204" s="10" t="s">
        <v>793</v>
      </c>
      <c r="G204" s="10"/>
      <c r="H204" s="10"/>
      <c r="I204" s="10" t="s">
        <v>794</v>
      </c>
      <c r="J204" s="10" t="s">
        <v>795</v>
      </c>
    </row>
    <row r="205" spans="1:10" ht="15" hidden="1" customHeight="1">
      <c r="A205" s="9">
        <v>201</v>
      </c>
      <c r="B205" s="10" t="s">
        <v>1216</v>
      </c>
      <c r="C205" s="10" t="s">
        <v>1217</v>
      </c>
      <c r="D205" s="10" t="s">
        <v>1193</v>
      </c>
      <c r="E205" s="10" t="s">
        <v>1192</v>
      </c>
      <c r="F205" s="10" t="s">
        <v>793</v>
      </c>
      <c r="G205" s="10"/>
      <c r="H205" s="10"/>
      <c r="I205" s="10" t="s">
        <v>794</v>
      </c>
      <c r="J205" s="10" t="s">
        <v>795</v>
      </c>
    </row>
    <row r="206" spans="1:10" ht="15" hidden="1" customHeight="1">
      <c r="A206" s="9">
        <v>202</v>
      </c>
      <c r="B206" s="10" t="s">
        <v>1218</v>
      </c>
      <c r="C206" s="10" t="s">
        <v>1219</v>
      </c>
      <c r="D206" s="10" t="s">
        <v>1193</v>
      </c>
      <c r="E206" s="10" t="s">
        <v>1192</v>
      </c>
      <c r="F206" s="10" t="s">
        <v>793</v>
      </c>
      <c r="G206" s="10"/>
      <c r="H206" s="10"/>
      <c r="I206" s="10" t="s">
        <v>794</v>
      </c>
      <c r="J206" s="10" t="s">
        <v>795</v>
      </c>
    </row>
    <row r="207" spans="1:10" ht="15" hidden="1" customHeight="1">
      <c r="A207" s="9">
        <v>203</v>
      </c>
      <c r="B207" s="10" t="s">
        <v>1220</v>
      </c>
      <c r="C207" s="10" t="s">
        <v>1221</v>
      </c>
      <c r="D207" s="10" t="s">
        <v>792</v>
      </c>
      <c r="E207" s="10" t="s">
        <v>1130</v>
      </c>
      <c r="F207" s="10" t="s">
        <v>794</v>
      </c>
      <c r="G207" s="10" t="s">
        <v>1222</v>
      </c>
      <c r="H207" s="10" t="s">
        <v>802</v>
      </c>
      <c r="I207" s="10" t="s">
        <v>794</v>
      </c>
      <c r="J207" s="10" t="s">
        <v>119</v>
      </c>
    </row>
    <row r="208" spans="1:10" ht="15" hidden="1" customHeight="1">
      <c r="A208" s="9">
        <v>204</v>
      </c>
      <c r="B208" s="10" t="s">
        <v>1223</v>
      </c>
      <c r="C208" s="10" t="s">
        <v>1224</v>
      </c>
      <c r="D208" s="10" t="s">
        <v>792</v>
      </c>
      <c r="E208" s="10" t="s">
        <v>1130</v>
      </c>
      <c r="F208" s="10" t="s">
        <v>794</v>
      </c>
      <c r="G208" s="10" t="s">
        <v>1222</v>
      </c>
      <c r="H208" s="10" t="s">
        <v>802</v>
      </c>
      <c r="I208" s="10" t="s">
        <v>794</v>
      </c>
      <c r="J208" s="10" t="s">
        <v>119</v>
      </c>
    </row>
    <row r="209" spans="1:10" ht="15" hidden="1" customHeight="1">
      <c r="A209" s="9">
        <v>205</v>
      </c>
      <c r="B209" s="10" t="s">
        <v>1225</v>
      </c>
      <c r="C209" s="10" t="s">
        <v>1226</v>
      </c>
      <c r="D209" s="10" t="s">
        <v>792</v>
      </c>
      <c r="E209" s="10" t="s">
        <v>1130</v>
      </c>
      <c r="F209" s="10" t="s">
        <v>794</v>
      </c>
      <c r="G209" s="10" t="s">
        <v>1227</v>
      </c>
      <c r="H209" s="10" t="s">
        <v>802</v>
      </c>
      <c r="I209" s="10" t="s">
        <v>794</v>
      </c>
      <c r="J209" s="10" t="s">
        <v>795</v>
      </c>
    </row>
    <row r="210" spans="1:10" ht="15" hidden="1" customHeight="1">
      <c r="A210" s="9">
        <v>206</v>
      </c>
      <c r="B210" s="10" t="s">
        <v>1228</v>
      </c>
      <c r="C210" s="10" t="s">
        <v>1229</v>
      </c>
      <c r="D210" s="10" t="s">
        <v>792</v>
      </c>
      <c r="E210" s="10" t="s">
        <v>1130</v>
      </c>
      <c r="F210" s="10" t="s">
        <v>794</v>
      </c>
      <c r="G210" s="10" t="s">
        <v>1222</v>
      </c>
      <c r="H210" s="10" t="s">
        <v>802</v>
      </c>
      <c r="I210" s="10" t="s">
        <v>794</v>
      </c>
      <c r="J210" s="10" t="s">
        <v>795</v>
      </c>
    </row>
    <row r="211" spans="1:10" ht="15" hidden="1" customHeight="1">
      <c r="A211" s="9">
        <v>207</v>
      </c>
      <c r="B211" s="10" t="s">
        <v>1230</v>
      </c>
      <c r="C211" s="10" t="s">
        <v>1231</v>
      </c>
      <c r="D211" s="10" t="s">
        <v>792</v>
      </c>
      <c r="E211" s="10" t="s">
        <v>1130</v>
      </c>
      <c r="F211" s="10" t="s">
        <v>794</v>
      </c>
      <c r="G211" s="10" t="s">
        <v>1222</v>
      </c>
      <c r="H211" s="10" t="s">
        <v>802</v>
      </c>
      <c r="I211" s="10" t="s">
        <v>794</v>
      </c>
      <c r="J211" s="10" t="s">
        <v>795</v>
      </c>
    </row>
    <row r="212" spans="1:10" ht="15" hidden="1" customHeight="1">
      <c r="A212" s="9">
        <v>208</v>
      </c>
      <c r="B212" s="10" t="s">
        <v>1232</v>
      </c>
      <c r="C212" s="10" t="s">
        <v>1233</v>
      </c>
      <c r="D212" s="10" t="s">
        <v>792</v>
      </c>
      <c r="E212" s="10" t="s">
        <v>1135</v>
      </c>
      <c r="F212" s="10" t="s">
        <v>794</v>
      </c>
      <c r="G212" s="10" t="s">
        <v>1227</v>
      </c>
      <c r="H212" s="10" t="s">
        <v>802</v>
      </c>
      <c r="I212" s="10" t="s">
        <v>794</v>
      </c>
      <c r="J212" s="10" t="s">
        <v>119</v>
      </c>
    </row>
    <row r="213" spans="1:10" ht="15" hidden="1" customHeight="1">
      <c r="A213" s="9">
        <v>209</v>
      </c>
      <c r="B213" s="10" t="s">
        <v>1234</v>
      </c>
      <c r="C213" s="10" t="s">
        <v>1235</v>
      </c>
      <c r="D213" s="10" t="s">
        <v>792</v>
      </c>
      <c r="E213" s="10" t="s">
        <v>1135</v>
      </c>
      <c r="F213" s="10" t="s">
        <v>794</v>
      </c>
      <c r="G213" s="10" t="s">
        <v>1227</v>
      </c>
      <c r="H213" s="10" t="s">
        <v>802</v>
      </c>
      <c r="I213" s="10" t="s">
        <v>794</v>
      </c>
      <c r="J213" s="10" t="s">
        <v>795</v>
      </c>
    </row>
    <row r="214" spans="1:10" ht="15" hidden="1" customHeight="1">
      <c r="A214" s="9">
        <v>210</v>
      </c>
      <c r="B214" s="10" t="s">
        <v>1236</v>
      </c>
      <c r="C214" s="10" t="s">
        <v>1237</v>
      </c>
      <c r="D214" s="10" t="s">
        <v>792</v>
      </c>
      <c r="E214" s="10" t="s">
        <v>1135</v>
      </c>
      <c r="F214" s="10" t="s">
        <v>794</v>
      </c>
      <c r="G214" s="10" t="s">
        <v>1227</v>
      </c>
      <c r="H214" s="10" t="s">
        <v>802</v>
      </c>
      <c r="I214" s="10" t="s">
        <v>794</v>
      </c>
      <c r="J214" s="10" t="s">
        <v>119</v>
      </c>
    </row>
    <row r="215" spans="1:10" ht="15" hidden="1" customHeight="1">
      <c r="A215" s="9">
        <v>211</v>
      </c>
      <c r="B215" s="10" t="s">
        <v>1238</v>
      </c>
      <c r="C215" s="10" t="s">
        <v>1239</v>
      </c>
      <c r="D215" s="10" t="s">
        <v>792</v>
      </c>
      <c r="E215" s="10" t="s">
        <v>1135</v>
      </c>
      <c r="F215" s="10" t="s">
        <v>794</v>
      </c>
      <c r="G215" s="10" t="s">
        <v>1227</v>
      </c>
      <c r="H215" s="10" t="s">
        <v>802</v>
      </c>
      <c r="I215" s="10" t="s">
        <v>794</v>
      </c>
      <c r="J215" s="10" t="s">
        <v>795</v>
      </c>
    </row>
    <row r="216" spans="1:10" ht="15" hidden="1" customHeight="1">
      <c r="A216" s="9">
        <v>212</v>
      </c>
      <c r="B216" s="10" t="s">
        <v>1240</v>
      </c>
      <c r="C216" s="10" t="s">
        <v>1241</v>
      </c>
      <c r="D216" s="10" t="s">
        <v>792</v>
      </c>
      <c r="E216" s="10" t="s">
        <v>1135</v>
      </c>
      <c r="F216" s="10" t="s">
        <v>794</v>
      </c>
      <c r="G216" s="10" t="s">
        <v>1227</v>
      </c>
      <c r="H216" s="10" t="s">
        <v>802</v>
      </c>
      <c r="I216" s="10" t="s">
        <v>794</v>
      </c>
      <c r="J216" s="10" t="s">
        <v>795</v>
      </c>
    </row>
    <row r="217" spans="1:10" ht="15" hidden="1" customHeight="1">
      <c r="A217" s="9">
        <v>213</v>
      </c>
      <c r="B217" s="10" t="s">
        <v>1242</v>
      </c>
      <c r="C217" s="10" t="s">
        <v>1243</v>
      </c>
      <c r="D217" s="10" t="s">
        <v>792</v>
      </c>
      <c r="E217" s="10" t="s">
        <v>1135</v>
      </c>
      <c r="F217" s="10" t="s">
        <v>794</v>
      </c>
      <c r="G217" s="10" t="s">
        <v>1227</v>
      </c>
      <c r="H217" s="10" t="s">
        <v>802</v>
      </c>
      <c r="I217" s="10" t="s">
        <v>794</v>
      </c>
      <c r="J217" s="10" t="s">
        <v>795</v>
      </c>
    </row>
    <row r="218" spans="1:10" ht="15" hidden="1" customHeight="1">
      <c r="A218" s="9">
        <v>214</v>
      </c>
      <c r="B218" s="10" t="s">
        <v>1244</v>
      </c>
      <c r="C218" s="10" t="s">
        <v>1245</v>
      </c>
      <c r="D218" s="10" t="s">
        <v>792</v>
      </c>
      <c r="E218" s="10" t="s">
        <v>1137</v>
      </c>
      <c r="F218" s="10" t="s">
        <v>794</v>
      </c>
      <c r="G218" s="10" t="s">
        <v>1246</v>
      </c>
      <c r="H218" s="10" t="s">
        <v>802</v>
      </c>
      <c r="I218" s="10" t="s">
        <v>794</v>
      </c>
      <c r="J218" s="10" t="s">
        <v>119</v>
      </c>
    </row>
    <row r="219" spans="1:10" ht="15" hidden="1" customHeight="1">
      <c r="A219" s="9">
        <v>215</v>
      </c>
      <c r="B219" s="10" t="s">
        <v>1247</v>
      </c>
      <c r="C219" s="10" t="s">
        <v>1248</v>
      </c>
      <c r="D219" s="10" t="s">
        <v>792</v>
      </c>
      <c r="E219" s="10" t="s">
        <v>1137</v>
      </c>
      <c r="F219" s="10" t="s">
        <v>794</v>
      </c>
      <c r="G219" s="10" t="s">
        <v>1246</v>
      </c>
      <c r="H219" s="10" t="s">
        <v>802</v>
      </c>
      <c r="I219" s="10" t="s">
        <v>794</v>
      </c>
      <c r="J219" s="10" t="s">
        <v>119</v>
      </c>
    </row>
    <row r="220" spans="1:10" ht="15" hidden="1" customHeight="1">
      <c r="A220" s="9">
        <v>216</v>
      </c>
      <c r="B220" s="10" t="s">
        <v>1249</v>
      </c>
      <c r="C220" s="10" t="s">
        <v>1250</v>
      </c>
      <c r="D220" s="10" t="s">
        <v>792</v>
      </c>
      <c r="E220" s="10" t="s">
        <v>1137</v>
      </c>
      <c r="F220" s="10" t="s">
        <v>794</v>
      </c>
      <c r="G220" s="10" t="s">
        <v>1246</v>
      </c>
      <c r="H220" s="10" t="s">
        <v>802</v>
      </c>
      <c r="I220" s="10" t="s">
        <v>794</v>
      </c>
      <c r="J220" s="10" t="s">
        <v>119</v>
      </c>
    </row>
    <row r="221" spans="1:10" ht="15" hidden="1" customHeight="1">
      <c r="A221" s="9">
        <v>217</v>
      </c>
      <c r="B221" s="10" t="s">
        <v>1251</v>
      </c>
      <c r="C221" s="10" t="s">
        <v>1252</v>
      </c>
      <c r="D221" s="10" t="s">
        <v>792</v>
      </c>
      <c r="E221" s="10" t="s">
        <v>1137</v>
      </c>
      <c r="F221" s="10" t="s">
        <v>794</v>
      </c>
      <c r="G221" s="10" t="s">
        <v>1246</v>
      </c>
      <c r="H221" s="10" t="s">
        <v>802</v>
      </c>
      <c r="I221" s="10" t="s">
        <v>794</v>
      </c>
      <c r="J221" s="10" t="s">
        <v>795</v>
      </c>
    </row>
    <row r="222" spans="1:10" ht="15" hidden="1" customHeight="1">
      <c r="A222" s="9">
        <v>218</v>
      </c>
      <c r="B222" s="10" t="s">
        <v>1253</v>
      </c>
      <c r="C222" s="10" t="s">
        <v>1254</v>
      </c>
      <c r="D222" s="10" t="s">
        <v>792</v>
      </c>
      <c r="E222" s="10" t="s">
        <v>1137</v>
      </c>
      <c r="F222" s="10" t="s">
        <v>794</v>
      </c>
      <c r="G222" s="10" t="s">
        <v>1246</v>
      </c>
      <c r="H222" s="10" t="s">
        <v>802</v>
      </c>
      <c r="I222" s="10" t="s">
        <v>794</v>
      </c>
      <c r="J222" s="10" t="s">
        <v>119</v>
      </c>
    </row>
    <row r="223" spans="1:10" ht="15" hidden="1" customHeight="1">
      <c r="A223" s="9">
        <v>219</v>
      </c>
      <c r="B223" s="10" t="s">
        <v>1255</v>
      </c>
      <c r="C223" s="10" t="s">
        <v>1256</v>
      </c>
      <c r="D223" s="10" t="s">
        <v>792</v>
      </c>
      <c r="E223" s="10" t="s">
        <v>1137</v>
      </c>
      <c r="F223" s="10" t="s">
        <v>794</v>
      </c>
      <c r="G223" s="10" t="s">
        <v>1246</v>
      </c>
      <c r="H223" s="10" t="s">
        <v>802</v>
      </c>
      <c r="I223" s="10" t="s">
        <v>794</v>
      </c>
      <c r="J223" s="10" t="s">
        <v>119</v>
      </c>
    </row>
    <row r="224" spans="1:10" ht="15" hidden="1" customHeight="1">
      <c r="A224" s="9">
        <v>220</v>
      </c>
      <c r="B224" s="10" t="s">
        <v>1257</v>
      </c>
      <c r="C224" s="10" t="s">
        <v>1258</v>
      </c>
      <c r="D224" s="10" t="s">
        <v>792</v>
      </c>
      <c r="E224" s="10" t="s">
        <v>1137</v>
      </c>
      <c r="F224" s="10" t="s">
        <v>794</v>
      </c>
      <c r="G224" s="10" t="s">
        <v>1246</v>
      </c>
      <c r="H224" s="10" t="s">
        <v>802</v>
      </c>
      <c r="I224" s="10" t="s">
        <v>794</v>
      </c>
      <c r="J224" s="10" t="s">
        <v>795</v>
      </c>
    </row>
    <row r="225" spans="1:10" ht="15" hidden="1" customHeight="1">
      <c r="A225" s="9">
        <v>221</v>
      </c>
      <c r="B225" s="10" t="s">
        <v>1259</v>
      </c>
      <c r="C225" s="10" t="s">
        <v>1260</v>
      </c>
      <c r="D225" s="10" t="s">
        <v>792</v>
      </c>
      <c r="E225" s="10" t="s">
        <v>1137</v>
      </c>
      <c r="F225" s="10" t="s">
        <v>794</v>
      </c>
      <c r="G225" s="10" t="s">
        <v>1246</v>
      </c>
      <c r="H225" s="10" t="s">
        <v>802</v>
      </c>
      <c r="I225" s="10" t="s">
        <v>794</v>
      </c>
      <c r="J225" s="10" t="s">
        <v>795</v>
      </c>
    </row>
    <row r="226" spans="1:10" ht="15" hidden="1" customHeight="1">
      <c r="A226" s="9">
        <v>222</v>
      </c>
      <c r="B226" s="10" t="s">
        <v>1261</v>
      </c>
      <c r="C226" s="10" t="s">
        <v>1262</v>
      </c>
      <c r="D226" s="10" t="s">
        <v>792</v>
      </c>
      <c r="E226" s="10" t="s">
        <v>1137</v>
      </c>
      <c r="F226" s="10" t="s">
        <v>794</v>
      </c>
      <c r="G226" s="10" t="s">
        <v>1246</v>
      </c>
      <c r="H226" s="10" t="s">
        <v>802</v>
      </c>
      <c r="I226" s="10" t="s">
        <v>794</v>
      </c>
      <c r="J226" s="10" t="s">
        <v>795</v>
      </c>
    </row>
    <row r="227" spans="1:10" ht="15" hidden="1" customHeight="1">
      <c r="A227" s="9">
        <v>223</v>
      </c>
      <c r="B227" s="10" t="s">
        <v>1263</v>
      </c>
      <c r="C227" s="10" t="s">
        <v>1264</v>
      </c>
      <c r="D227" s="10" t="s">
        <v>792</v>
      </c>
      <c r="E227" s="10" t="s">
        <v>1137</v>
      </c>
      <c r="F227" s="10" t="s">
        <v>794</v>
      </c>
      <c r="G227" s="10" t="s">
        <v>1246</v>
      </c>
      <c r="H227" s="10" t="s">
        <v>802</v>
      </c>
      <c r="I227" s="10" t="s">
        <v>794</v>
      </c>
      <c r="J227" s="10" t="s">
        <v>795</v>
      </c>
    </row>
    <row r="228" spans="1:10" ht="15" hidden="1" customHeight="1">
      <c r="A228" s="9">
        <v>224</v>
      </c>
      <c r="B228" s="10" t="s">
        <v>1265</v>
      </c>
      <c r="C228" s="10" t="s">
        <v>1266</v>
      </c>
      <c r="D228" s="10" t="s">
        <v>792</v>
      </c>
      <c r="E228" s="10" t="s">
        <v>1139</v>
      </c>
      <c r="F228" s="10" t="s">
        <v>794</v>
      </c>
      <c r="G228" s="10" t="s">
        <v>1267</v>
      </c>
      <c r="H228" s="10" t="s">
        <v>802</v>
      </c>
      <c r="I228" s="10" t="s">
        <v>794</v>
      </c>
      <c r="J228" s="10" t="s">
        <v>119</v>
      </c>
    </row>
    <row r="229" spans="1:10" ht="15" hidden="1" customHeight="1">
      <c r="A229" s="9">
        <v>225</v>
      </c>
      <c r="B229" s="10" t="s">
        <v>1268</v>
      </c>
      <c r="C229" s="10" t="s">
        <v>1269</v>
      </c>
      <c r="D229" s="10" t="s">
        <v>792</v>
      </c>
      <c r="E229" s="10" t="s">
        <v>1139</v>
      </c>
      <c r="F229" s="10" t="s">
        <v>794</v>
      </c>
      <c r="G229" s="10" t="s">
        <v>1267</v>
      </c>
      <c r="H229" s="10" t="s">
        <v>802</v>
      </c>
      <c r="I229" s="10" t="s">
        <v>794</v>
      </c>
      <c r="J229" s="10" t="s">
        <v>795</v>
      </c>
    </row>
    <row r="230" spans="1:10" ht="15" hidden="1" customHeight="1">
      <c r="A230" s="9">
        <v>226</v>
      </c>
      <c r="B230" s="10" t="s">
        <v>1270</v>
      </c>
      <c r="C230" s="10" t="s">
        <v>1271</v>
      </c>
      <c r="D230" s="10" t="s">
        <v>792</v>
      </c>
      <c r="E230" s="10" t="s">
        <v>1139</v>
      </c>
      <c r="F230" s="10" t="s">
        <v>794</v>
      </c>
      <c r="G230" s="10" t="s">
        <v>1267</v>
      </c>
      <c r="H230" s="10" t="s">
        <v>802</v>
      </c>
      <c r="I230" s="10" t="s">
        <v>794</v>
      </c>
      <c r="J230" s="10" t="s">
        <v>119</v>
      </c>
    </row>
    <row r="231" spans="1:10" ht="15" hidden="1" customHeight="1">
      <c r="A231" s="9">
        <v>227</v>
      </c>
      <c r="B231" s="10" t="s">
        <v>1272</v>
      </c>
      <c r="C231" s="10" t="s">
        <v>1273</v>
      </c>
      <c r="D231" s="10" t="s">
        <v>792</v>
      </c>
      <c r="E231" s="10" t="s">
        <v>1139</v>
      </c>
      <c r="F231" s="10" t="s">
        <v>794</v>
      </c>
      <c r="G231" s="10" t="s">
        <v>1267</v>
      </c>
      <c r="H231" s="10" t="s">
        <v>802</v>
      </c>
      <c r="I231" s="10" t="s">
        <v>794</v>
      </c>
      <c r="J231" s="10" t="s">
        <v>795</v>
      </c>
    </row>
    <row r="232" spans="1:10" ht="15" hidden="1" customHeight="1">
      <c r="A232" s="9">
        <v>228</v>
      </c>
      <c r="B232" s="10" t="s">
        <v>1274</v>
      </c>
      <c r="C232" s="10" t="s">
        <v>1275</v>
      </c>
      <c r="D232" s="10" t="s">
        <v>792</v>
      </c>
      <c r="E232" s="10" t="s">
        <v>1141</v>
      </c>
      <c r="F232" s="10" t="s">
        <v>794</v>
      </c>
      <c r="G232" s="10" t="s">
        <v>1267</v>
      </c>
      <c r="H232" s="10" t="s">
        <v>802</v>
      </c>
      <c r="I232" s="10" t="s">
        <v>794</v>
      </c>
      <c r="J232" s="10" t="s">
        <v>119</v>
      </c>
    </row>
    <row r="233" spans="1:10" ht="15" hidden="1" customHeight="1">
      <c r="A233" s="9">
        <v>229</v>
      </c>
      <c r="B233" s="10" t="s">
        <v>1276</v>
      </c>
      <c r="C233" s="10" t="s">
        <v>1277</v>
      </c>
      <c r="D233" s="10" t="s">
        <v>792</v>
      </c>
      <c r="E233" s="10" t="s">
        <v>1141</v>
      </c>
      <c r="F233" s="10" t="s">
        <v>794</v>
      </c>
      <c r="G233" s="10" t="s">
        <v>1267</v>
      </c>
      <c r="H233" s="10" t="s">
        <v>802</v>
      </c>
      <c r="I233" s="10" t="s">
        <v>794</v>
      </c>
      <c r="J233" s="10" t="s">
        <v>795</v>
      </c>
    </row>
    <row r="234" spans="1:10" ht="15" hidden="1" customHeight="1">
      <c r="A234" s="9">
        <v>230</v>
      </c>
      <c r="B234" s="10" t="s">
        <v>1278</v>
      </c>
      <c r="C234" s="10" t="s">
        <v>1279</v>
      </c>
      <c r="D234" s="10" t="s">
        <v>792</v>
      </c>
      <c r="E234" s="10" t="s">
        <v>1141</v>
      </c>
      <c r="F234" s="10" t="s">
        <v>794</v>
      </c>
      <c r="G234" s="10" t="s">
        <v>1267</v>
      </c>
      <c r="H234" s="10" t="s">
        <v>802</v>
      </c>
      <c r="I234" s="10" t="s">
        <v>794</v>
      </c>
      <c r="J234" s="10" t="s">
        <v>795</v>
      </c>
    </row>
    <row r="235" spans="1:10" ht="15" hidden="1" customHeight="1">
      <c r="A235" s="9">
        <v>231</v>
      </c>
      <c r="B235" s="10" t="s">
        <v>1280</v>
      </c>
      <c r="C235" s="10" t="s">
        <v>1281</v>
      </c>
      <c r="D235" s="10" t="s">
        <v>792</v>
      </c>
      <c r="E235" s="10" t="s">
        <v>1141</v>
      </c>
      <c r="F235" s="10" t="s">
        <v>794</v>
      </c>
      <c r="G235" s="10" t="s">
        <v>1267</v>
      </c>
      <c r="H235" s="10" t="s">
        <v>802</v>
      </c>
      <c r="I235" s="10" t="s">
        <v>794</v>
      </c>
      <c r="J235" s="10" t="s">
        <v>795</v>
      </c>
    </row>
    <row r="236" spans="1:10" ht="15" hidden="1" customHeight="1">
      <c r="A236" s="9">
        <v>232</v>
      </c>
      <c r="B236" s="10" t="s">
        <v>1282</v>
      </c>
      <c r="C236" s="10" t="s">
        <v>1283</v>
      </c>
      <c r="D236" s="10" t="s">
        <v>792</v>
      </c>
      <c r="E236" s="10" t="s">
        <v>1143</v>
      </c>
      <c r="F236" s="10" t="s">
        <v>794</v>
      </c>
      <c r="G236" s="10" t="s">
        <v>1284</v>
      </c>
      <c r="H236" s="10" t="s">
        <v>802</v>
      </c>
      <c r="I236" s="10" t="s">
        <v>794</v>
      </c>
      <c r="J236" s="10" t="s">
        <v>119</v>
      </c>
    </row>
    <row r="237" spans="1:10" ht="15" hidden="1" customHeight="1">
      <c r="A237" s="9">
        <v>233</v>
      </c>
      <c r="B237" s="10" t="s">
        <v>1285</v>
      </c>
      <c r="C237" s="10" t="s">
        <v>1286</v>
      </c>
      <c r="D237" s="10" t="s">
        <v>792</v>
      </c>
      <c r="E237" s="10" t="s">
        <v>1143</v>
      </c>
      <c r="F237" s="10" t="s">
        <v>794</v>
      </c>
      <c r="G237" s="10" t="s">
        <v>1284</v>
      </c>
      <c r="H237" s="10" t="s">
        <v>802</v>
      </c>
      <c r="I237" s="10" t="s">
        <v>794</v>
      </c>
      <c r="J237" s="10" t="s">
        <v>795</v>
      </c>
    </row>
    <row r="238" spans="1:10" ht="15" hidden="1" customHeight="1">
      <c r="A238" s="9">
        <v>234</v>
      </c>
      <c r="B238" s="10" t="s">
        <v>1287</v>
      </c>
      <c r="C238" s="10" t="s">
        <v>1288</v>
      </c>
      <c r="D238" s="10" t="s">
        <v>792</v>
      </c>
      <c r="E238" s="10" t="s">
        <v>1143</v>
      </c>
      <c r="F238" s="10" t="s">
        <v>794</v>
      </c>
      <c r="G238" s="10" t="s">
        <v>1284</v>
      </c>
      <c r="H238" s="10" t="s">
        <v>802</v>
      </c>
      <c r="I238" s="10" t="s">
        <v>794</v>
      </c>
      <c r="J238" s="10" t="s">
        <v>795</v>
      </c>
    </row>
    <row r="239" spans="1:10" ht="15" hidden="1" customHeight="1">
      <c r="A239" s="9">
        <v>235</v>
      </c>
      <c r="B239" s="10" t="s">
        <v>1289</v>
      </c>
      <c r="C239" s="10" t="s">
        <v>1290</v>
      </c>
      <c r="D239" s="10" t="s">
        <v>792</v>
      </c>
      <c r="E239" s="10" t="s">
        <v>1143</v>
      </c>
      <c r="F239" s="10" t="s">
        <v>794</v>
      </c>
      <c r="G239" s="10" t="s">
        <v>1284</v>
      </c>
      <c r="H239" s="10" t="s">
        <v>802</v>
      </c>
      <c r="I239" s="10" t="s">
        <v>794</v>
      </c>
      <c r="J239" s="10" t="s">
        <v>795</v>
      </c>
    </row>
    <row r="240" spans="1:10" ht="15" hidden="1" customHeight="1">
      <c r="A240" s="9">
        <v>236</v>
      </c>
      <c r="B240" s="10" t="s">
        <v>1291</v>
      </c>
      <c r="C240" s="10" t="s">
        <v>1292</v>
      </c>
      <c r="D240" s="10" t="s">
        <v>792</v>
      </c>
      <c r="E240" s="10" t="s">
        <v>1145</v>
      </c>
      <c r="F240" s="10" t="s">
        <v>794</v>
      </c>
      <c r="G240" s="10" t="s">
        <v>1293</v>
      </c>
      <c r="H240" s="10" t="s">
        <v>802</v>
      </c>
      <c r="I240" s="10" t="s">
        <v>794</v>
      </c>
      <c r="J240" s="10" t="s">
        <v>119</v>
      </c>
    </row>
    <row r="241" spans="1:10" ht="15" hidden="1" customHeight="1">
      <c r="A241" s="9">
        <v>237</v>
      </c>
      <c r="B241" s="10" t="s">
        <v>1294</v>
      </c>
      <c r="C241" s="10" t="s">
        <v>1295</v>
      </c>
      <c r="D241" s="10" t="s">
        <v>792</v>
      </c>
      <c r="E241" s="10" t="s">
        <v>1145</v>
      </c>
      <c r="F241" s="10" t="s">
        <v>794</v>
      </c>
      <c r="G241" s="10" t="s">
        <v>1293</v>
      </c>
      <c r="H241" s="10" t="s">
        <v>802</v>
      </c>
      <c r="I241" s="10" t="s">
        <v>794</v>
      </c>
      <c r="J241" s="10" t="s">
        <v>119</v>
      </c>
    </row>
    <row r="242" spans="1:10" ht="15" hidden="1" customHeight="1">
      <c r="A242" s="9">
        <v>238</v>
      </c>
      <c r="B242" s="10" t="s">
        <v>1296</v>
      </c>
      <c r="C242" s="10" t="s">
        <v>1297</v>
      </c>
      <c r="D242" s="10" t="s">
        <v>792</v>
      </c>
      <c r="E242" s="10" t="s">
        <v>1145</v>
      </c>
      <c r="F242" s="10" t="s">
        <v>794</v>
      </c>
      <c r="G242" s="10" t="s">
        <v>1293</v>
      </c>
      <c r="H242" s="10" t="s">
        <v>802</v>
      </c>
      <c r="I242" s="10" t="s">
        <v>794</v>
      </c>
      <c r="J242" s="10" t="s">
        <v>119</v>
      </c>
    </row>
    <row r="243" spans="1:10" ht="15" hidden="1" customHeight="1">
      <c r="A243" s="9">
        <v>239</v>
      </c>
      <c r="B243" s="10" t="s">
        <v>1298</v>
      </c>
      <c r="C243" s="10" t="s">
        <v>1299</v>
      </c>
      <c r="D243" s="10" t="s">
        <v>792</v>
      </c>
      <c r="E243" s="10" t="s">
        <v>1145</v>
      </c>
      <c r="F243" s="10" t="s">
        <v>794</v>
      </c>
      <c r="G243" s="10" t="s">
        <v>1293</v>
      </c>
      <c r="H243" s="10" t="s">
        <v>802</v>
      </c>
      <c r="I243" s="10" t="s">
        <v>794</v>
      </c>
      <c r="J243" s="10" t="s">
        <v>119</v>
      </c>
    </row>
    <row r="244" spans="1:10" ht="15" hidden="1" customHeight="1">
      <c r="A244" s="9">
        <v>240</v>
      </c>
      <c r="B244" s="10" t="s">
        <v>1300</v>
      </c>
      <c r="C244" s="10" t="s">
        <v>1301</v>
      </c>
      <c r="D244" s="10" t="s">
        <v>792</v>
      </c>
      <c r="E244" s="10" t="s">
        <v>1145</v>
      </c>
      <c r="F244" s="10" t="s">
        <v>794</v>
      </c>
      <c r="G244" s="10" t="s">
        <v>1293</v>
      </c>
      <c r="H244" s="10" t="s">
        <v>802</v>
      </c>
      <c r="I244" s="10" t="s">
        <v>794</v>
      </c>
      <c r="J244" s="10" t="s">
        <v>119</v>
      </c>
    </row>
    <row r="245" spans="1:10" ht="15" hidden="1" customHeight="1">
      <c r="A245" s="9">
        <v>241</v>
      </c>
      <c r="B245" s="10" t="s">
        <v>1302</v>
      </c>
      <c r="C245" s="10" t="s">
        <v>1303</v>
      </c>
      <c r="D245" s="10" t="s">
        <v>792</v>
      </c>
      <c r="E245" s="10" t="s">
        <v>1145</v>
      </c>
      <c r="F245" s="10" t="s">
        <v>794</v>
      </c>
      <c r="G245" s="10" t="s">
        <v>1293</v>
      </c>
      <c r="H245" s="10" t="s">
        <v>802</v>
      </c>
      <c r="I245" s="10" t="s">
        <v>794</v>
      </c>
      <c r="J245" s="10" t="s">
        <v>119</v>
      </c>
    </row>
    <row r="246" spans="1:10" ht="15" hidden="1" customHeight="1">
      <c r="A246" s="9">
        <v>242</v>
      </c>
      <c r="B246" s="10" t="s">
        <v>1304</v>
      </c>
      <c r="C246" s="10" t="s">
        <v>1305</v>
      </c>
      <c r="D246" s="10" t="s">
        <v>792</v>
      </c>
      <c r="E246" s="10" t="s">
        <v>1145</v>
      </c>
      <c r="F246" s="10" t="s">
        <v>794</v>
      </c>
      <c r="G246" s="10" t="s">
        <v>1293</v>
      </c>
      <c r="H246" s="10" t="s">
        <v>802</v>
      </c>
      <c r="I246" s="10" t="s">
        <v>794</v>
      </c>
      <c r="J246" s="10" t="s">
        <v>119</v>
      </c>
    </row>
    <row r="247" spans="1:10" ht="15" hidden="1" customHeight="1">
      <c r="A247" s="9">
        <v>243</v>
      </c>
      <c r="B247" s="10" t="s">
        <v>1306</v>
      </c>
      <c r="C247" s="10" t="s">
        <v>1307</v>
      </c>
      <c r="D247" s="10" t="s">
        <v>792</v>
      </c>
      <c r="E247" s="10" t="s">
        <v>1145</v>
      </c>
      <c r="F247" s="10" t="s">
        <v>794</v>
      </c>
      <c r="G247" s="10" t="s">
        <v>1293</v>
      </c>
      <c r="H247" s="10" t="s">
        <v>802</v>
      </c>
      <c r="I247" s="10" t="s">
        <v>794</v>
      </c>
      <c r="J247" s="10" t="s">
        <v>119</v>
      </c>
    </row>
    <row r="248" spans="1:10" ht="15" hidden="1" customHeight="1">
      <c r="A248" s="9">
        <v>244</v>
      </c>
      <c r="B248" s="10" t="s">
        <v>1308</v>
      </c>
      <c r="C248" s="10" t="s">
        <v>1309</v>
      </c>
      <c r="D248" s="10" t="s">
        <v>792</v>
      </c>
      <c r="E248" s="10" t="s">
        <v>1145</v>
      </c>
      <c r="F248" s="10" t="s">
        <v>794</v>
      </c>
      <c r="G248" s="10" t="s">
        <v>1293</v>
      </c>
      <c r="H248" s="10" t="s">
        <v>802</v>
      </c>
      <c r="I248" s="10" t="s">
        <v>794</v>
      </c>
      <c r="J248" s="10" t="s">
        <v>119</v>
      </c>
    </row>
    <row r="249" spans="1:10" ht="15" hidden="1" customHeight="1">
      <c r="A249" s="9">
        <v>245</v>
      </c>
      <c r="B249" s="10" t="s">
        <v>1310</v>
      </c>
      <c r="C249" s="10" t="s">
        <v>1311</v>
      </c>
      <c r="D249" s="10" t="s">
        <v>792</v>
      </c>
      <c r="E249" s="10" t="s">
        <v>1145</v>
      </c>
      <c r="F249" s="10" t="s">
        <v>794</v>
      </c>
      <c r="G249" s="10" t="s">
        <v>1293</v>
      </c>
      <c r="H249" s="10" t="s">
        <v>802</v>
      </c>
      <c r="I249" s="10" t="s">
        <v>794</v>
      </c>
      <c r="J249" s="10" t="s">
        <v>119</v>
      </c>
    </row>
    <row r="250" spans="1:10" ht="15" hidden="1" customHeight="1">
      <c r="A250" s="9">
        <v>246</v>
      </c>
      <c r="B250" s="10" t="s">
        <v>1312</v>
      </c>
      <c r="C250" s="10" t="s">
        <v>1313</v>
      </c>
      <c r="D250" s="10" t="s">
        <v>792</v>
      </c>
      <c r="E250" s="10" t="s">
        <v>1145</v>
      </c>
      <c r="F250" s="10" t="s">
        <v>794</v>
      </c>
      <c r="G250" s="10" t="s">
        <v>1293</v>
      </c>
      <c r="H250" s="10" t="s">
        <v>802</v>
      </c>
      <c r="I250" s="10" t="s">
        <v>794</v>
      </c>
      <c r="J250" s="10" t="s">
        <v>119</v>
      </c>
    </row>
    <row r="251" spans="1:10" ht="15" hidden="1" customHeight="1">
      <c r="A251" s="9">
        <v>247</v>
      </c>
      <c r="B251" s="10" t="s">
        <v>1314</v>
      </c>
      <c r="C251" s="10" t="s">
        <v>1315</v>
      </c>
      <c r="D251" s="10" t="s">
        <v>792</v>
      </c>
      <c r="E251" s="10" t="s">
        <v>1145</v>
      </c>
      <c r="F251" s="10" t="s">
        <v>794</v>
      </c>
      <c r="G251" s="10" t="s">
        <v>1293</v>
      </c>
      <c r="H251" s="10" t="s">
        <v>802</v>
      </c>
      <c r="I251" s="10" t="s">
        <v>794</v>
      </c>
      <c r="J251" s="10" t="s">
        <v>119</v>
      </c>
    </row>
    <row r="252" spans="1:10" ht="15" hidden="1" customHeight="1">
      <c r="A252" s="9">
        <v>248</v>
      </c>
      <c r="B252" s="10" t="s">
        <v>1316</v>
      </c>
      <c r="C252" s="10" t="s">
        <v>1317</v>
      </c>
      <c r="D252" s="10" t="s">
        <v>792</v>
      </c>
      <c r="E252" s="10" t="s">
        <v>1145</v>
      </c>
      <c r="F252" s="10" t="s">
        <v>794</v>
      </c>
      <c r="G252" s="10" t="s">
        <v>1293</v>
      </c>
      <c r="H252" s="10" t="s">
        <v>802</v>
      </c>
      <c r="I252" s="10" t="s">
        <v>794</v>
      </c>
      <c r="J252" s="10" t="s">
        <v>119</v>
      </c>
    </row>
    <row r="253" spans="1:10" ht="15" hidden="1" customHeight="1">
      <c r="A253" s="9">
        <v>249</v>
      </c>
      <c r="B253" s="10" t="s">
        <v>1318</v>
      </c>
      <c r="C253" s="10" t="s">
        <v>1319</v>
      </c>
      <c r="D253" s="10" t="s">
        <v>792</v>
      </c>
      <c r="E253" s="10" t="s">
        <v>1145</v>
      </c>
      <c r="F253" s="10" t="s">
        <v>794</v>
      </c>
      <c r="G253" s="10" t="s">
        <v>1293</v>
      </c>
      <c r="H253" s="10" t="s">
        <v>802</v>
      </c>
      <c r="I253" s="10" t="s">
        <v>794</v>
      </c>
      <c r="J253" s="10" t="s">
        <v>119</v>
      </c>
    </row>
    <row r="254" spans="1:10" ht="15" hidden="1" customHeight="1">
      <c r="A254" s="9">
        <v>250</v>
      </c>
      <c r="B254" s="10" t="s">
        <v>1320</v>
      </c>
      <c r="C254" s="10" t="s">
        <v>1321</v>
      </c>
      <c r="D254" s="10" t="s">
        <v>792</v>
      </c>
      <c r="E254" s="10" t="s">
        <v>1145</v>
      </c>
      <c r="F254" s="10" t="s">
        <v>794</v>
      </c>
      <c r="G254" s="10" t="s">
        <v>1293</v>
      </c>
      <c r="H254" s="10" t="s">
        <v>802</v>
      </c>
      <c r="I254" s="10" t="s">
        <v>794</v>
      </c>
      <c r="J254" s="10" t="s">
        <v>119</v>
      </c>
    </row>
    <row r="255" spans="1:10" ht="15" hidden="1" customHeight="1">
      <c r="A255" s="9">
        <v>251</v>
      </c>
      <c r="B255" s="10" t="s">
        <v>1322</v>
      </c>
      <c r="C255" s="10" t="s">
        <v>1323</v>
      </c>
      <c r="D255" s="10" t="s">
        <v>792</v>
      </c>
      <c r="E255" s="10" t="s">
        <v>1145</v>
      </c>
      <c r="F255" s="10" t="s">
        <v>794</v>
      </c>
      <c r="G255" s="10" t="s">
        <v>1293</v>
      </c>
      <c r="H255" s="10" t="s">
        <v>802</v>
      </c>
      <c r="I255" s="10" t="s">
        <v>794</v>
      </c>
      <c r="J255" s="10" t="s">
        <v>119</v>
      </c>
    </row>
    <row r="256" spans="1:10" ht="15" hidden="1" customHeight="1">
      <c r="A256" s="9">
        <v>252</v>
      </c>
      <c r="B256" s="10" t="s">
        <v>1324</v>
      </c>
      <c r="C256" s="10" t="s">
        <v>1325</v>
      </c>
      <c r="D256" s="10" t="s">
        <v>792</v>
      </c>
      <c r="E256" s="10" t="s">
        <v>1145</v>
      </c>
      <c r="F256" s="10" t="s">
        <v>794</v>
      </c>
      <c r="G256" s="10" t="s">
        <v>1293</v>
      </c>
      <c r="H256" s="10" t="s">
        <v>802</v>
      </c>
      <c r="I256" s="10" t="s">
        <v>794</v>
      </c>
      <c r="J256" s="10" t="s">
        <v>119</v>
      </c>
    </row>
    <row r="257" spans="1:10" ht="15" hidden="1" customHeight="1">
      <c r="A257" s="9">
        <v>253</v>
      </c>
      <c r="B257" s="10" t="s">
        <v>1326</v>
      </c>
      <c r="C257" s="10" t="s">
        <v>1327</v>
      </c>
      <c r="D257" s="10" t="s">
        <v>792</v>
      </c>
      <c r="E257" s="10" t="s">
        <v>1145</v>
      </c>
      <c r="F257" s="10" t="s">
        <v>794</v>
      </c>
      <c r="G257" s="10" t="s">
        <v>1293</v>
      </c>
      <c r="H257" s="10" t="s">
        <v>802</v>
      </c>
      <c r="I257" s="10" t="s">
        <v>794</v>
      </c>
      <c r="J257" s="10" t="s">
        <v>119</v>
      </c>
    </row>
    <row r="258" spans="1:10" ht="15" hidden="1" customHeight="1">
      <c r="A258" s="9">
        <v>254</v>
      </c>
      <c r="B258" s="10" t="s">
        <v>1328</v>
      </c>
      <c r="C258" s="10" t="s">
        <v>1329</v>
      </c>
      <c r="D258" s="10" t="s">
        <v>792</v>
      </c>
      <c r="E258" s="10" t="s">
        <v>1145</v>
      </c>
      <c r="F258" s="10" t="s">
        <v>794</v>
      </c>
      <c r="G258" s="10" t="s">
        <v>1293</v>
      </c>
      <c r="H258" s="10" t="s">
        <v>802</v>
      </c>
      <c r="I258" s="10" t="s">
        <v>794</v>
      </c>
      <c r="J258" s="10" t="s">
        <v>119</v>
      </c>
    </row>
    <row r="259" spans="1:10" ht="15" hidden="1" customHeight="1">
      <c r="A259" s="9">
        <v>255</v>
      </c>
      <c r="B259" s="10" t="s">
        <v>1330</v>
      </c>
      <c r="C259" s="10" t="s">
        <v>1331</v>
      </c>
      <c r="D259" s="10" t="s">
        <v>792</v>
      </c>
      <c r="E259" s="10" t="s">
        <v>1145</v>
      </c>
      <c r="F259" s="10" t="s">
        <v>794</v>
      </c>
      <c r="G259" s="10" t="s">
        <v>1293</v>
      </c>
      <c r="H259" s="10" t="s">
        <v>802</v>
      </c>
      <c r="I259" s="10" t="s">
        <v>794</v>
      </c>
      <c r="J259" s="10" t="s">
        <v>119</v>
      </c>
    </row>
    <row r="260" spans="1:10" ht="15" hidden="1" customHeight="1">
      <c r="A260" s="9">
        <v>256</v>
      </c>
      <c r="B260" s="10" t="s">
        <v>1332</v>
      </c>
      <c r="C260" s="10" t="s">
        <v>1333</v>
      </c>
      <c r="D260" s="10" t="s">
        <v>792</v>
      </c>
      <c r="E260" s="10" t="s">
        <v>1145</v>
      </c>
      <c r="F260" s="10" t="s">
        <v>794</v>
      </c>
      <c r="G260" s="10" t="s">
        <v>1293</v>
      </c>
      <c r="H260" s="10" t="s">
        <v>802</v>
      </c>
      <c r="I260" s="10" t="s">
        <v>794</v>
      </c>
      <c r="J260" s="10" t="s">
        <v>119</v>
      </c>
    </row>
    <row r="261" spans="1:10" ht="15" hidden="1" customHeight="1">
      <c r="A261" s="9">
        <v>257</v>
      </c>
      <c r="B261" s="10" t="s">
        <v>1334</v>
      </c>
      <c r="C261" s="10" t="s">
        <v>1335</v>
      </c>
      <c r="D261" s="10" t="s">
        <v>792</v>
      </c>
      <c r="E261" s="10" t="s">
        <v>1145</v>
      </c>
      <c r="F261" s="10" t="s">
        <v>794</v>
      </c>
      <c r="G261" s="10" t="s">
        <v>1293</v>
      </c>
      <c r="H261" s="10" t="s">
        <v>802</v>
      </c>
      <c r="I261" s="10" t="s">
        <v>794</v>
      </c>
      <c r="J261" s="10" t="s">
        <v>119</v>
      </c>
    </row>
    <row r="262" spans="1:10" ht="15" hidden="1" customHeight="1">
      <c r="A262" s="9">
        <v>258</v>
      </c>
      <c r="B262" s="10" t="s">
        <v>1336</v>
      </c>
      <c r="C262" s="10" t="s">
        <v>1337</v>
      </c>
      <c r="D262" s="10" t="s">
        <v>792</v>
      </c>
      <c r="E262" s="10" t="s">
        <v>1145</v>
      </c>
      <c r="F262" s="10" t="s">
        <v>794</v>
      </c>
      <c r="G262" s="10" t="s">
        <v>1293</v>
      </c>
      <c r="H262" s="10" t="s">
        <v>802</v>
      </c>
      <c r="I262" s="10" t="s">
        <v>794</v>
      </c>
      <c r="J262" s="10" t="s">
        <v>119</v>
      </c>
    </row>
    <row r="263" spans="1:10" ht="15" hidden="1" customHeight="1">
      <c r="A263" s="9">
        <v>259</v>
      </c>
      <c r="B263" s="10" t="s">
        <v>1338</v>
      </c>
      <c r="C263" s="10" t="s">
        <v>1339</v>
      </c>
      <c r="D263" s="10" t="s">
        <v>792</v>
      </c>
      <c r="E263" s="10" t="s">
        <v>1145</v>
      </c>
      <c r="F263" s="10" t="s">
        <v>794</v>
      </c>
      <c r="G263" s="10" t="s">
        <v>1293</v>
      </c>
      <c r="H263" s="10" t="s">
        <v>802</v>
      </c>
      <c r="I263" s="10" t="s">
        <v>794</v>
      </c>
      <c r="J263" s="10" t="s">
        <v>119</v>
      </c>
    </row>
    <row r="264" spans="1:10" ht="15" hidden="1" customHeight="1">
      <c r="A264" s="9">
        <v>260</v>
      </c>
      <c r="B264" s="10" t="s">
        <v>1340</v>
      </c>
      <c r="C264" s="10" t="s">
        <v>1341</v>
      </c>
      <c r="D264" s="10" t="s">
        <v>792</v>
      </c>
      <c r="E264" s="10" t="s">
        <v>1145</v>
      </c>
      <c r="F264" s="10" t="s">
        <v>794</v>
      </c>
      <c r="G264" s="10" t="s">
        <v>1293</v>
      </c>
      <c r="H264" s="10" t="s">
        <v>802</v>
      </c>
      <c r="I264" s="10" t="s">
        <v>794</v>
      </c>
      <c r="J264" s="10" t="s">
        <v>119</v>
      </c>
    </row>
    <row r="265" spans="1:10" ht="15" hidden="1" customHeight="1">
      <c r="A265" s="9">
        <v>261</v>
      </c>
      <c r="B265" s="10" t="s">
        <v>1342</v>
      </c>
      <c r="C265" s="10" t="s">
        <v>1343</v>
      </c>
      <c r="D265" s="10" t="s">
        <v>792</v>
      </c>
      <c r="E265" s="10" t="s">
        <v>1145</v>
      </c>
      <c r="F265" s="10" t="s">
        <v>794</v>
      </c>
      <c r="G265" s="10" t="s">
        <v>1293</v>
      </c>
      <c r="H265" s="10" t="s">
        <v>802</v>
      </c>
      <c r="I265" s="10" t="s">
        <v>794</v>
      </c>
      <c r="J265" s="10" t="s">
        <v>119</v>
      </c>
    </row>
    <row r="266" spans="1:10" ht="15" hidden="1" customHeight="1">
      <c r="A266" s="9">
        <v>262</v>
      </c>
      <c r="B266" s="10" t="s">
        <v>1344</v>
      </c>
      <c r="C266" s="10" t="s">
        <v>1345</v>
      </c>
      <c r="D266" s="10" t="s">
        <v>792</v>
      </c>
      <c r="E266" s="10" t="s">
        <v>1145</v>
      </c>
      <c r="F266" s="10" t="s">
        <v>794</v>
      </c>
      <c r="G266" s="10" t="s">
        <v>1293</v>
      </c>
      <c r="H266" s="10" t="s">
        <v>802</v>
      </c>
      <c r="I266" s="10" t="s">
        <v>794</v>
      </c>
      <c r="J266" s="10" t="s">
        <v>119</v>
      </c>
    </row>
    <row r="267" spans="1:10" ht="15" hidden="1" customHeight="1">
      <c r="A267" s="9">
        <v>263</v>
      </c>
      <c r="B267" s="10" t="s">
        <v>1346</v>
      </c>
      <c r="C267" s="10" t="s">
        <v>1347</v>
      </c>
      <c r="D267" s="10" t="s">
        <v>792</v>
      </c>
      <c r="E267" s="10" t="s">
        <v>1145</v>
      </c>
      <c r="F267" s="10" t="s">
        <v>794</v>
      </c>
      <c r="G267" s="10" t="s">
        <v>1293</v>
      </c>
      <c r="H267" s="10" t="s">
        <v>802</v>
      </c>
      <c r="I267" s="10" t="s">
        <v>794</v>
      </c>
      <c r="J267" s="10" t="s">
        <v>119</v>
      </c>
    </row>
    <row r="268" spans="1:10" ht="15" hidden="1" customHeight="1">
      <c r="A268" s="9">
        <v>264</v>
      </c>
      <c r="B268" s="10" t="s">
        <v>1348</v>
      </c>
      <c r="C268" s="10" t="s">
        <v>1349</v>
      </c>
      <c r="D268" s="10" t="s">
        <v>792</v>
      </c>
      <c r="E268" s="10" t="s">
        <v>1145</v>
      </c>
      <c r="F268" s="10" t="s">
        <v>794</v>
      </c>
      <c r="G268" s="10" t="s">
        <v>1293</v>
      </c>
      <c r="H268" s="10" t="s">
        <v>802</v>
      </c>
      <c r="I268" s="10" t="s">
        <v>794</v>
      </c>
      <c r="J268" s="10" t="s">
        <v>119</v>
      </c>
    </row>
    <row r="269" spans="1:10" ht="15" hidden="1" customHeight="1">
      <c r="A269" s="9">
        <v>265</v>
      </c>
      <c r="B269" s="10" t="s">
        <v>1350</v>
      </c>
      <c r="C269" s="10" t="s">
        <v>1351</v>
      </c>
      <c r="D269" s="10" t="s">
        <v>792</v>
      </c>
      <c r="E269" s="10" t="s">
        <v>1145</v>
      </c>
      <c r="F269" s="10" t="s">
        <v>794</v>
      </c>
      <c r="G269" s="10" t="s">
        <v>1293</v>
      </c>
      <c r="H269" s="10" t="s">
        <v>802</v>
      </c>
      <c r="I269" s="10" t="s">
        <v>794</v>
      </c>
      <c r="J269" s="10" t="s">
        <v>119</v>
      </c>
    </row>
    <row r="270" spans="1:10" ht="15" hidden="1" customHeight="1">
      <c r="A270" s="9">
        <v>266</v>
      </c>
      <c r="B270" s="10" t="s">
        <v>1352</v>
      </c>
      <c r="C270" s="10" t="s">
        <v>1353</v>
      </c>
      <c r="D270" s="10" t="s">
        <v>792</v>
      </c>
      <c r="E270" s="10" t="s">
        <v>1145</v>
      </c>
      <c r="F270" s="10" t="s">
        <v>794</v>
      </c>
      <c r="G270" s="10" t="s">
        <v>1293</v>
      </c>
      <c r="H270" s="10" t="s">
        <v>802</v>
      </c>
      <c r="I270" s="10" t="s">
        <v>794</v>
      </c>
      <c r="J270" s="10" t="s">
        <v>119</v>
      </c>
    </row>
    <row r="271" spans="1:10" ht="15" hidden="1" customHeight="1">
      <c r="A271" s="9">
        <v>267</v>
      </c>
      <c r="B271" s="10" t="s">
        <v>1354</v>
      </c>
      <c r="C271" s="10" t="s">
        <v>1355</v>
      </c>
      <c r="D271" s="10" t="s">
        <v>792</v>
      </c>
      <c r="E271" s="10" t="s">
        <v>1145</v>
      </c>
      <c r="F271" s="10" t="s">
        <v>794</v>
      </c>
      <c r="G271" s="10" t="s">
        <v>1293</v>
      </c>
      <c r="H271" s="10" t="s">
        <v>802</v>
      </c>
      <c r="I271" s="10" t="s">
        <v>794</v>
      </c>
      <c r="J271" s="10" t="s">
        <v>119</v>
      </c>
    </row>
    <row r="272" spans="1:10" ht="15" hidden="1" customHeight="1">
      <c r="A272" s="9">
        <v>268</v>
      </c>
      <c r="B272" s="10" t="s">
        <v>1356</v>
      </c>
      <c r="C272" s="10" t="s">
        <v>1357</v>
      </c>
      <c r="D272" s="10" t="s">
        <v>792</v>
      </c>
      <c r="E272" s="10" t="s">
        <v>1145</v>
      </c>
      <c r="F272" s="10" t="s">
        <v>794</v>
      </c>
      <c r="G272" s="10" t="s">
        <v>1293</v>
      </c>
      <c r="H272" s="10" t="s">
        <v>802</v>
      </c>
      <c r="I272" s="10" t="s">
        <v>794</v>
      </c>
      <c r="J272" s="10" t="s">
        <v>119</v>
      </c>
    </row>
    <row r="273" spans="1:10" ht="15" hidden="1" customHeight="1">
      <c r="A273" s="9">
        <v>269</v>
      </c>
      <c r="B273" s="10" t="s">
        <v>1358</v>
      </c>
      <c r="C273" s="10" t="s">
        <v>1359</v>
      </c>
      <c r="D273" s="10" t="s">
        <v>792</v>
      </c>
      <c r="E273" s="10" t="s">
        <v>1145</v>
      </c>
      <c r="F273" s="10" t="s">
        <v>794</v>
      </c>
      <c r="G273" s="10" t="s">
        <v>1293</v>
      </c>
      <c r="H273" s="10" t="s">
        <v>802</v>
      </c>
      <c r="I273" s="10" t="s">
        <v>794</v>
      </c>
      <c r="J273" s="10" t="s">
        <v>795</v>
      </c>
    </row>
    <row r="274" spans="1:10" ht="15" hidden="1" customHeight="1">
      <c r="A274" s="9">
        <v>270</v>
      </c>
      <c r="B274" s="10" t="s">
        <v>1360</v>
      </c>
      <c r="C274" s="10" t="s">
        <v>1361</v>
      </c>
      <c r="D274" s="10" t="s">
        <v>792</v>
      </c>
      <c r="E274" s="10" t="s">
        <v>1161</v>
      </c>
      <c r="F274" s="10" t="s">
        <v>794</v>
      </c>
      <c r="G274" s="10" t="s">
        <v>1362</v>
      </c>
      <c r="H274" s="10" t="s">
        <v>802</v>
      </c>
      <c r="I274" s="10" t="s">
        <v>794</v>
      </c>
      <c r="J274" s="10" t="s">
        <v>119</v>
      </c>
    </row>
    <row r="275" spans="1:10" ht="15" hidden="1" customHeight="1">
      <c r="A275" s="9">
        <v>271</v>
      </c>
      <c r="B275" s="10" t="s">
        <v>1363</v>
      </c>
      <c r="C275" s="10" t="s">
        <v>1364</v>
      </c>
      <c r="D275" s="10" t="s">
        <v>792</v>
      </c>
      <c r="E275" s="10" t="s">
        <v>1161</v>
      </c>
      <c r="F275" s="10" t="s">
        <v>794</v>
      </c>
      <c r="G275" s="10" t="s">
        <v>1362</v>
      </c>
      <c r="H275" s="10" t="s">
        <v>802</v>
      </c>
      <c r="I275" s="10" t="s">
        <v>794</v>
      </c>
      <c r="J275" s="10" t="s">
        <v>119</v>
      </c>
    </row>
    <row r="276" spans="1:10" ht="15" hidden="1" customHeight="1">
      <c r="A276" s="9">
        <v>272</v>
      </c>
      <c r="B276" s="10" t="s">
        <v>1365</v>
      </c>
      <c r="C276" s="10" t="s">
        <v>1366</v>
      </c>
      <c r="D276" s="10" t="s">
        <v>792</v>
      </c>
      <c r="E276" s="10" t="s">
        <v>1161</v>
      </c>
      <c r="F276" s="10" t="s">
        <v>794</v>
      </c>
      <c r="G276" s="10" t="s">
        <v>1362</v>
      </c>
      <c r="H276" s="10" t="s">
        <v>802</v>
      </c>
      <c r="I276" s="10" t="s">
        <v>794</v>
      </c>
      <c r="J276" s="10" t="s">
        <v>119</v>
      </c>
    </row>
    <row r="277" spans="1:10" ht="15" hidden="1" customHeight="1">
      <c r="A277" s="9">
        <v>273</v>
      </c>
      <c r="B277" s="10" t="s">
        <v>1367</v>
      </c>
      <c r="C277" s="10" t="s">
        <v>1368</v>
      </c>
      <c r="D277" s="10" t="s">
        <v>792</v>
      </c>
      <c r="E277" s="10" t="s">
        <v>1161</v>
      </c>
      <c r="F277" s="10" t="s">
        <v>794</v>
      </c>
      <c r="G277" s="10" t="s">
        <v>1362</v>
      </c>
      <c r="H277" s="10" t="s">
        <v>802</v>
      </c>
      <c r="I277" s="10" t="s">
        <v>794</v>
      </c>
      <c r="J277" s="10" t="s">
        <v>795</v>
      </c>
    </row>
    <row r="278" spans="1:10" ht="15" hidden="1" customHeight="1">
      <c r="A278" s="9">
        <v>274</v>
      </c>
      <c r="B278" s="10" t="s">
        <v>1369</v>
      </c>
      <c r="C278" s="10" t="s">
        <v>1370</v>
      </c>
      <c r="D278" s="10" t="s">
        <v>792</v>
      </c>
      <c r="E278" s="10" t="s">
        <v>1161</v>
      </c>
      <c r="F278" s="10" t="s">
        <v>794</v>
      </c>
      <c r="G278" s="10" t="s">
        <v>1362</v>
      </c>
      <c r="H278" s="10" t="s">
        <v>802</v>
      </c>
      <c r="I278" s="10" t="s">
        <v>794</v>
      </c>
      <c r="J278" s="10" t="s">
        <v>795</v>
      </c>
    </row>
    <row r="279" spans="1:10" ht="15" hidden="1" customHeight="1">
      <c r="A279" s="9">
        <v>275</v>
      </c>
      <c r="B279" s="10" t="s">
        <v>1371</v>
      </c>
      <c r="C279" s="10" t="s">
        <v>1372</v>
      </c>
      <c r="D279" s="10" t="s">
        <v>792</v>
      </c>
      <c r="E279" s="10" t="s">
        <v>1161</v>
      </c>
      <c r="F279" s="10" t="s">
        <v>794</v>
      </c>
      <c r="G279" s="10" t="s">
        <v>1362</v>
      </c>
      <c r="H279" s="10" t="s">
        <v>802</v>
      </c>
      <c r="I279" s="10" t="s">
        <v>794</v>
      </c>
      <c r="J279" s="10" t="s">
        <v>795</v>
      </c>
    </row>
    <row r="280" spans="1:10" ht="15" hidden="1" customHeight="1">
      <c r="A280" s="9">
        <v>276</v>
      </c>
      <c r="B280" s="10" t="s">
        <v>1373</v>
      </c>
      <c r="C280" s="10" t="s">
        <v>1374</v>
      </c>
      <c r="D280" s="10" t="s">
        <v>792</v>
      </c>
      <c r="E280" s="10" t="s">
        <v>1167</v>
      </c>
      <c r="F280" s="10" t="s">
        <v>794</v>
      </c>
      <c r="G280" s="10" t="s">
        <v>801</v>
      </c>
      <c r="H280" s="10" t="s">
        <v>802</v>
      </c>
      <c r="I280" s="10" t="s">
        <v>794</v>
      </c>
      <c r="J280" s="10" t="s">
        <v>119</v>
      </c>
    </row>
    <row r="281" spans="1:10" ht="15" hidden="1" customHeight="1">
      <c r="A281" s="9">
        <v>277</v>
      </c>
      <c r="B281" s="10" t="s">
        <v>1375</v>
      </c>
      <c r="C281" s="10" t="s">
        <v>1376</v>
      </c>
      <c r="D281" s="10" t="s">
        <v>792</v>
      </c>
      <c r="E281" s="10" t="s">
        <v>1167</v>
      </c>
      <c r="F281" s="10" t="s">
        <v>794</v>
      </c>
      <c r="G281" s="10" t="s">
        <v>801</v>
      </c>
      <c r="H281" s="10" t="s">
        <v>802</v>
      </c>
      <c r="I281" s="10" t="s">
        <v>794</v>
      </c>
      <c r="J281" s="10" t="s">
        <v>119</v>
      </c>
    </row>
    <row r="282" spans="1:10" ht="15" hidden="1" customHeight="1">
      <c r="A282" s="9">
        <v>278</v>
      </c>
      <c r="B282" s="10" t="s">
        <v>1377</v>
      </c>
      <c r="C282" s="10" t="s">
        <v>1378</v>
      </c>
      <c r="D282" s="10" t="s">
        <v>792</v>
      </c>
      <c r="E282" s="10" t="s">
        <v>1167</v>
      </c>
      <c r="F282" s="10" t="s">
        <v>794</v>
      </c>
      <c r="G282" s="10" t="s">
        <v>801</v>
      </c>
      <c r="H282" s="10" t="s">
        <v>802</v>
      </c>
      <c r="I282" s="10" t="s">
        <v>794</v>
      </c>
      <c r="J282" s="10" t="s">
        <v>119</v>
      </c>
    </row>
    <row r="283" spans="1:10" ht="15" hidden="1" customHeight="1">
      <c r="A283" s="9">
        <v>279</v>
      </c>
      <c r="B283" s="10" t="s">
        <v>1379</v>
      </c>
      <c r="C283" s="10" t="s">
        <v>1380</v>
      </c>
      <c r="D283" s="10" t="s">
        <v>792</v>
      </c>
      <c r="E283" s="10" t="s">
        <v>1167</v>
      </c>
      <c r="F283" s="10" t="s">
        <v>794</v>
      </c>
      <c r="G283" s="10" t="s">
        <v>801</v>
      </c>
      <c r="H283" s="10" t="s">
        <v>802</v>
      </c>
      <c r="I283" s="10" t="s">
        <v>794</v>
      </c>
      <c r="J283" s="10" t="s">
        <v>119</v>
      </c>
    </row>
    <row r="284" spans="1:10" ht="15" hidden="1" customHeight="1">
      <c r="A284" s="9">
        <v>280</v>
      </c>
      <c r="B284" s="10" t="s">
        <v>1381</v>
      </c>
      <c r="C284" s="10" t="s">
        <v>1382</v>
      </c>
      <c r="D284" s="10" t="s">
        <v>792</v>
      </c>
      <c r="E284" s="10" t="s">
        <v>1167</v>
      </c>
      <c r="F284" s="10" t="s">
        <v>794</v>
      </c>
      <c r="G284" s="10" t="s">
        <v>801</v>
      </c>
      <c r="H284" s="10" t="s">
        <v>802</v>
      </c>
      <c r="I284" s="10" t="s">
        <v>794</v>
      </c>
      <c r="J284" s="10" t="s">
        <v>119</v>
      </c>
    </row>
    <row r="285" spans="1:10" ht="15" hidden="1" customHeight="1">
      <c r="A285" s="9">
        <v>281</v>
      </c>
      <c r="B285" s="10" t="s">
        <v>1383</v>
      </c>
      <c r="C285" s="10" t="s">
        <v>1384</v>
      </c>
      <c r="D285" s="10" t="s">
        <v>792</v>
      </c>
      <c r="E285" s="10" t="s">
        <v>1167</v>
      </c>
      <c r="F285" s="10" t="s">
        <v>794</v>
      </c>
      <c r="G285" s="10" t="s">
        <v>801</v>
      </c>
      <c r="H285" s="10" t="s">
        <v>802</v>
      </c>
      <c r="I285" s="10" t="s">
        <v>794</v>
      </c>
      <c r="J285" s="10" t="s">
        <v>119</v>
      </c>
    </row>
    <row r="286" spans="1:10" ht="15" hidden="1" customHeight="1">
      <c r="A286" s="9">
        <v>282</v>
      </c>
      <c r="B286" s="10" t="s">
        <v>1385</v>
      </c>
      <c r="C286" s="10" t="s">
        <v>1386</v>
      </c>
      <c r="D286" s="10" t="s">
        <v>792</v>
      </c>
      <c r="E286" s="10" t="s">
        <v>1167</v>
      </c>
      <c r="F286" s="10" t="s">
        <v>794</v>
      </c>
      <c r="G286" s="10" t="s">
        <v>801</v>
      </c>
      <c r="H286" s="10" t="s">
        <v>802</v>
      </c>
      <c r="I286" s="10" t="s">
        <v>794</v>
      </c>
      <c r="J286" s="10" t="s">
        <v>119</v>
      </c>
    </row>
    <row r="287" spans="1:10" ht="15" hidden="1" customHeight="1">
      <c r="A287" s="9">
        <v>283</v>
      </c>
      <c r="B287" s="10" t="s">
        <v>1387</v>
      </c>
      <c r="C287" s="10" t="s">
        <v>1388</v>
      </c>
      <c r="D287" s="10" t="s">
        <v>792</v>
      </c>
      <c r="E287" s="10" t="s">
        <v>1167</v>
      </c>
      <c r="F287" s="10" t="s">
        <v>794</v>
      </c>
      <c r="G287" s="10" t="s">
        <v>801</v>
      </c>
      <c r="H287" s="10" t="s">
        <v>802</v>
      </c>
      <c r="I287" s="10" t="s">
        <v>794</v>
      </c>
      <c r="J287" s="10" t="s">
        <v>1389</v>
      </c>
    </row>
    <row r="288" spans="1:10" ht="15" hidden="1" customHeight="1">
      <c r="A288" s="9">
        <v>284</v>
      </c>
      <c r="B288" s="10" t="s">
        <v>1390</v>
      </c>
      <c r="C288" s="10" t="s">
        <v>1391</v>
      </c>
      <c r="D288" s="10" t="s">
        <v>792</v>
      </c>
      <c r="E288" s="10" t="s">
        <v>1167</v>
      </c>
      <c r="F288" s="10" t="s">
        <v>794</v>
      </c>
      <c r="G288" s="10" t="s">
        <v>801</v>
      </c>
      <c r="H288" s="10" t="s">
        <v>802</v>
      </c>
      <c r="I288" s="10" t="s">
        <v>794</v>
      </c>
      <c r="J288" s="10" t="s">
        <v>119</v>
      </c>
    </row>
    <row r="289" spans="1:10" ht="15" hidden="1" customHeight="1">
      <c r="A289" s="9">
        <v>285</v>
      </c>
      <c r="B289" s="10" t="s">
        <v>1392</v>
      </c>
      <c r="C289" s="10" t="s">
        <v>1393</v>
      </c>
      <c r="D289" s="10" t="s">
        <v>792</v>
      </c>
      <c r="E289" s="10" t="s">
        <v>1167</v>
      </c>
      <c r="F289" s="10" t="s">
        <v>794</v>
      </c>
      <c r="G289" s="10" t="s">
        <v>801</v>
      </c>
      <c r="H289" s="10" t="s">
        <v>802</v>
      </c>
      <c r="I289" s="10" t="s">
        <v>794</v>
      </c>
      <c r="J289" s="10" t="s">
        <v>795</v>
      </c>
    </row>
    <row r="290" spans="1:10" ht="15" hidden="1" customHeight="1">
      <c r="A290" s="9">
        <v>286</v>
      </c>
      <c r="B290" s="10" t="s">
        <v>1394</v>
      </c>
      <c r="C290" s="10" t="s">
        <v>1395</v>
      </c>
      <c r="D290" s="10" t="s">
        <v>792</v>
      </c>
      <c r="E290" s="10" t="s">
        <v>1169</v>
      </c>
      <c r="F290" s="10" t="s">
        <v>794</v>
      </c>
      <c r="G290" s="10" t="s">
        <v>801</v>
      </c>
      <c r="H290" s="10" t="s">
        <v>802</v>
      </c>
      <c r="I290" s="10" t="s">
        <v>794</v>
      </c>
      <c r="J290" s="10" t="s">
        <v>795</v>
      </c>
    </row>
    <row r="291" spans="1:10" ht="15" hidden="1" customHeight="1">
      <c r="A291" s="9">
        <v>287</v>
      </c>
      <c r="B291" s="10" t="s">
        <v>1396</v>
      </c>
      <c r="C291" s="10" t="s">
        <v>1397</v>
      </c>
      <c r="D291" s="10" t="s">
        <v>792</v>
      </c>
      <c r="E291" s="10" t="s">
        <v>1169</v>
      </c>
      <c r="F291" s="10" t="s">
        <v>794</v>
      </c>
      <c r="G291" s="10" t="s">
        <v>1024</v>
      </c>
      <c r="H291" s="10" t="s">
        <v>802</v>
      </c>
      <c r="I291" s="10" t="s">
        <v>794</v>
      </c>
      <c r="J291" s="10" t="s">
        <v>795</v>
      </c>
    </row>
    <row r="292" spans="1:10" ht="15" hidden="1" customHeight="1">
      <c r="A292" s="9">
        <v>288</v>
      </c>
      <c r="B292" s="10" t="s">
        <v>1398</v>
      </c>
      <c r="C292" s="10" t="s">
        <v>1399</v>
      </c>
      <c r="D292" s="10" t="s">
        <v>792</v>
      </c>
      <c r="E292" s="10" t="s">
        <v>1169</v>
      </c>
      <c r="F292" s="10" t="s">
        <v>794</v>
      </c>
      <c r="G292" s="10" t="s">
        <v>1024</v>
      </c>
      <c r="H292" s="10" t="s">
        <v>802</v>
      </c>
      <c r="I292" s="10" t="s">
        <v>794</v>
      </c>
      <c r="J292" s="10" t="s">
        <v>795</v>
      </c>
    </row>
    <row r="293" spans="1:10" ht="15" hidden="1" customHeight="1">
      <c r="A293" s="9">
        <v>289</v>
      </c>
      <c r="B293" s="10" t="s">
        <v>1400</v>
      </c>
      <c r="C293" s="10" t="s">
        <v>1401</v>
      </c>
      <c r="D293" s="10" t="s">
        <v>792</v>
      </c>
      <c r="E293" s="10" t="s">
        <v>1169</v>
      </c>
      <c r="F293" s="10" t="s">
        <v>794</v>
      </c>
      <c r="G293" s="10" t="s">
        <v>1024</v>
      </c>
      <c r="H293" s="10" t="s">
        <v>802</v>
      </c>
      <c r="I293" s="10" t="s">
        <v>794</v>
      </c>
      <c r="J293" s="10" t="s">
        <v>795</v>
      </c>
    </row>
    <row r="294" spans="1:10" ht="15" hidden="1" customHeight="1">
      <c r="A294" s="9">
        <v>290</v>
      </c>
      <c r="B294" s="10" t="s">
        <v>1402</v>
      </c>
      <c r="C294" s="10" t="s">
        <v>1403</v>
      </c>
      <c r="D294" s="10" t="s">
        <v>792</v>
      </c>
      <c r="E294" s="10" t="s">
        <v>1169</v>
      </c>
      <c r="F294" s="10" t="s">
        <v>794</v>
      </c>
      <c r="G294" s="10" t="s">
        <v>1024</v>
      </c>
      <c r="H294" s="10" t="s">
        <v>802</v>
      </c>
      <c r="I294" s="10" t="s">
        <v>794</v>
      </c>
      <c r="J294" s="10" t="s">
        <v>795</v>
      </c>
    </row>
    <row r="295" spans="1:10" ht="15" hidden="1" customHeight="1">
      <c r="A295" s="9">
        <v>291</v>
      </c>
      <c r="B295" s="10" t="s">
        <v>1404</v>
      </c>
      <c r="C295" s="10" t="s">
        <v>1405</v>
      </c>
      <c r="D295" s="10" t="s">
        <v>792</v>
      </c>
      <c r="E295" s="10" t="s">
        <v>1169</v>
      </c>
      <c r="F295" s="10" t="s">
        <v>794</v>
      </c>
      <c r="G295" s="10" t="s">
        <v>801</v>
      </c>
      <c r="H295" s="10" t="s">
        <v>802</v>
      </c>
      <c r="I295" s="10" t="s">
        <v>794</v>
      </c>
      <c r="J295" s="10" t="s">
        <v>795</v>
      </c>
    </row>
    <row r="296" spans="1:10" ht="15" hidden="1" customHeight="1">
      <c r="A296" s="9">
        <v>292</v>
      </c>
      <c r="B296" s="10" t="s">
        <v>1406</v>
      </c>
      <c r="C296" s="10" t="s">
        <v>1407</v>
      </c>
      <c r="D296" s="10" t="s">
        <v>792</v>
      </c>
      <c r="E296" s="10" t="s">
        <v>1169</v>
      </c>
      <c r="F296" s="10" t="s">
        <v>794</v>
      </c>
      <c r="G296" s="10" t="s">
        <v>801</v>
      </c>
      <c r="H296" s="10" t="s">
        <v>802</v>
      </c>
      <c r="I296" s="10" t="s">
        <v>794</v>
      </c>
      <c r="J296" s="10" t="s">
        <v>795</v>
      </c>
    </row>
    <row r="297" spans="1:10" ht="15" hidden="1" customHeight="1">
      <c r="A297" s="9">
        <v>293</v>
      </c>
      <c r="B297" s="10" t="s">
        <v>1408</v>
      </c>
      <c r="C297" s="10" t="s">
        <v>1409</v>
      </c>
      <c r="D297" s="10" t="s">
        <v>792</v>
      </c>
      <c r="E297" s="10" t="s">
        <v>1171</v>
      </c>
      <c r="F297" s="10" t="s">
        <v>794</v>
      </c>
      <c r="G297" s="10" t="s">
        <v>1410</v>
      </c>
      <c r="H297" s="10" t="s">
        <v>802</v>
      </c>
      <c r="I297" s="10" t="s">
        <v>794</v>
      </c>
      <c r="J297" s="10" t="s">
        <v>795</v>
      </c>
    </row>
    <row r="298" spans="1:10" ht="15" hidden="1" customHeight="1">
      <c r="A298" s="9">
        <v>294</v>
      </c>
      <c r="B298" s="10" t="s">
        <v>1411</v>
      </c>
      <c r="C298" s="10" t="s">
        <v>1412</v>
      </c>
      <c r="D298" s="10" t="s">
        <v>792</v>
      </c>
      <c r="E298" s="10" t="s">
        <v>1179</v>
      </c>
      <c r="F298" s="10" t="s">
        <v>794</v>
      </c>
      <c r="G298" s="10" t="s">
        <v>1024</v>
      </c>
      <c r="H298" s="10" t="s">
        <v>802</v>
      </c>
      <c r="I298" s="10" t="s">
        <v>794</v>
      </c>
      <c r="J298" s="10" t="s">
        <v>1004</v>
      </c>
    </row>
    <row r="299" spans="1:10" ht="15" hidden="1" customHeight="1">
      <c r="A299" s="9">
        <v>295</v>
      </c>
      <c r="B299" s="10" t="s">
        <v>1413</v>
      </c>
      <c r="C299" s="10" t="s">
        <v>1414</v>
      </c>
      <c r="D299" s="10" t="s">
        <v>792</v>
      </c>
      <c r="E299" s="10" t="s">
        <v>1179</v>
      </c>
      <c r="F299" s="10" t="s">
        <v>794</v>
      </c>
      <c r="G299" s="10" t="s">
        <v>1024</v>
      </c>
      <c r="H299" s="10" t="s">
        <v>802</v>
      </c>
      <c r="I299" s="10" t="s">
        <v>794</v>
      </c>
      <c r="J299" s="10" t="s">
        <v>774</v>
      </c>
    </row>
    <row r="300" spans="1:10" ht="15" hidden="1" customHeight="1">
      <c r="A300" s="9">
        <v>296</v>
      </c>
      <c r="B300" s="10" t="s">
        <v>1415</v>
      </c>
      <c r="C300" s="10" t="s">
        <v>1416</v>
      </c>
      <c r="D300" s="10" t="s">
        <v>792</v>
      </c>
      <c r="E300" s="10" t="s">
        <v>1179</v>
      </c>
      <c r="F300" s="10" t="s">
        <v>794</v>
      </c>
      <c r="G300" s="10" t="s">
        <v>1024</v>
      </c>
      <c r="H300" s="10" t="s">
        <v>802</v>
      </c>
      <c r="I300" s="10" t="s">
        <v>794</v>
      </c>
      <c r="J300" s="10" t="s">
        <v>1004</v>
      </c>
    </row>
    <row r="301" spans="1:10" ht="15" hidden="1" customHeight="1">
      <c r="A301" s="9">
        <v>297</v>
      </c>
      <c r="B301" s="10" t="s">
        <v>1417</v>
      </c>
      <c r="C301" s="10" t="s">
        <v>1418</v>
      </c>
      <c r="D301" s="10" t="s">
        <v>1419</v>
      </c>
      <c r="E301" s="10"/>
      <c r="F301" s="10" t="s">
        <v>793</v>
      </c>
      <c r="G301" s="10"/>
      <c r="H301" s="10"/>
      <c r="I301" s="10" t="s">
        <v>794</v>
      </c>
      <c r="J301" s="10" t="s">
        <v>795</v>
      </c>
    </row>
    <row r="302" spans="1:10" ht="15" hidden="1" customHeight="1">
      <c r="A302" s="9">
        <v>298</v>
      </c>
      <c r="B302" s="10" t="s">
        <v>1420</v>
      </c>
      <c r="C302" s="10" t="s">
        <v>1421</v>
      </c>
      <c r="D302" s="10" t="s">
        <v>792</v>
      </c>
      <c r="E302" s="10" t="s">
        <v>1181</v>
      </c>
      <c r="F302" s="10" t="s">
        <v>794</v>
      </c>
      <c r="G302" s="10" t="s">
        <v>1422</v>
      </c>
      <c r="H302" s="10" t="s">
        <v>802</v>
      </c>
      <c r="I302" s="10" t="s">
        <v>794</v>
      </c>
      <c r="J302" s="10" t="s">
        <v>1423</v>
      </c>
    </row>
    <row r="303" spans="1:10" ht="15" hidden="1" customHeight="1">
      <c r="A303" s="9">
        <v>299</v>
      </c>
      <c r="B303" s="10" t="s">
        <v>1424</v>
      </c>
      <c r="C303" s="10" t="s">
        <v>1425</v>
      </c>
      <c r="D303" s="10" t="s">
        <v>792</v>
      </c>
      <c r="E303" s="10" t="s">
        <v>1181</v>
      </c>
      <c r="F303" s="10" t="s">
        <v>794</v>
      </c>
      <c r="G303" s="10" t="s">
        <v>1024</v>
      </c>
      <c r="H303" s="10" t="s">
        <v>802</v>
      </c>
      <c r="I303" s="10" t="s">
        <v>794</v>
      </c>
      <c r="J303" s="10" t="s">
        <v>1426</v>
      </c>
    </row>
    <row r="304" spans="1:10" ht="15" hidden="1" customHeight="1">
      <c r="A304" s="9">
        <v>300</v>
      </c>
      <c r="B304" s="10" t="s">
        <v>1427</v>
      </c>
      <c r="C304" s="10" t="s">
        <v>1428</v>
      </c>
      <c r="D304" s="10" t="s">
        <v>792</v>
      </c>
      <c r="E304" s="10" t="s">
        <v>1181</v>
      </c>
      <c r="F304" s="10" t="s">
        <v>794</v>
      </c>
      <c r="G304" s="10" t="s">
        <v>801</v>
      </c>
      <c r="H304" s="10" t="s">
        <v>802</v>
      </c>
      <c r="I304" s="10" t="s">
        <v>794</v>
      </c>
      <c r="J304" s="10" t="s">
        <v>1426</v>
      </c>
    </row>
    <row r="305" spans="1:10" ht="15" hidden="1" customHeight="1">
      <c r="A305" s="9">
        <v>301</v>
      </c>
      <c r="B305" s="10" t="s">
        <v>1429</v>
      </c>
      <c r="C305" s="10" t="s">
        <v>1430</v>
      </c>
      <c r="D305" s="10" t="s">
        <v>792</v>
      </c>
      <c r="E305" s="10" t="s">
        <v>1181</v>
      </c>
      <c r="F305" s="10" t="s">
        <v>794</v>
      </c>
      <c r="G305" s="10" t="s">
        <v>1422</v>
      </c>
      <c r="H305" s="10" t="s">
        <v>802</v>
      </c>
      <c r="I305" s="10" t="s">
        <v>794</v>
      </c>
      <c r="J305" s="10" t="s">
        <v>1423</v>
      </c>
    </row>
    <row r="306" spans="1:10" ht="15" hidden="1" customHeight="1">
      <c r="A306" s="9">
        <v>302</v>
      </c>
      <c r="B306" s="10" t="s">
        <v>1431</v>
      </c>
      <c r="C306" s="10" t="s">
        <v>1432</v>
      </c>
      <c r="D306" s="10" t="s">
        <v>792</v>
      </c>
      <c r="E306" s="10" t="s">
        <v>1181</v>
      </c>
      <c r="F306" s="10" t="s">
        <v>794</v>
      </c>
      <c r="G306" s="10" t="s">
        <v>1422</v>
      </c>
      <c r="H306" s="10" t="s">
        <v>802</v>
      </c>
      <c r="I306" s="10" t="s">
        <v>794</v>
      </c>
      <c r="J306" s="10" t="s">
        <v>1423</v>
      </c>
    </row>
    <row r="307" spans="1:10" ht="15" hidden="1" customHeight="1">
      <c r="A307" s="9">
        <v>303</v>
      </c>
      <c r="B307" s="10" t="s">
        <v>1433</v>
      </c>
      <c r="C307" s="10" t="s">
        <v>1434</v>
      </c>
      <c r="D307" s="10" t="s">
        <v>1419</v>
      </c>
      <c r="E307" s="10" t="s">
        <v>1418</v>
      </c>
      <c r="F307" s="10" t="s">
        <v>793</v>
      </c>
      <c r="G307" s="10"/>
      <c r="H307" s="10"/>
      <c r="I307" s="10" t="s">
        <v>794</v>
      </c>
      <c r="J307" s="10" t="s">
        <v>795</v>
      </c>
    </row>
    <row r="308" spans="1:10" ht="15" hidden="1" customHeight="1">
      <c r="A308" s="9">
        <v>304</v>
      </c>
      <c r="B308" s="10" t="s">
        <v>1435</v>
      </c>
      <c r="C308" s="10" t="s">
        <v>1436</v>
      </c>
      <c r="D308" s="10" t="s">
        <v>1419</v>
      </c>
      <c r="E308" s="10" t="s">
        <v>1418</v>
      </c>
      <c r="F308" s="10" t="s">
        <v>793</v>
      </c>
      <c r="G308" s="10"/>
      <c r="H308" s="10"/>
      <c r="I308" s="10" t="s">
        <v>794</v>
      </c>
      <c r="J308" s="10" t="s">
        <v>795</v>
      </c>
    </row>
    <row r="309" spans="1:10" ht="15" hidden="1" customHeight="1">
      <c r="A309" s="9">
        <v>305</v>
      </c>
      <c r="B309" s="10" t="s">
        <v>1437</v>
      </c>
      <c r="C309" s="10" t="s">
        <v>1438</v>
      </c>
      <c r="D309" s="10" t="s">
        <v>1419</v>
      </c>
      <c r="E309" s="10" t="s">
        <v>1418</v>
      </c>
      <c r="F309" s="10" t="s">
        <v>793</v>
      </c>
      <c r="G309" s="10"/>
      <c r="H309" s="10"/>
      <c r="I309" s="10" t="s">
        <v>794</v>
      </c>
      <c r="J309" s="10" t="s">
        <v>795</v>
      </c>
    </row>
    <row r="310" spans="1:10" ht="15" hidden="1" customHeight="1">
      <c r="A310" s="9">
        <v>306</v>
      </c>
      <c r="B310" s="10" t="s">
        <v>1439</v>
      </c>
      <c r="C310" s="10" t="s">
        <v>1440</v>
      </c>
      <c r="D310" s="10" t="s">
        <v>1193</v>
      </c>
      <c r="E310" s="10" t="s">
        <v>1199</v>
      </c>
      <c r="F310" s="10" t="s">
        <v>794</v>
      </c>
      <c r="G310" s="10" t="s">
        <v>1441</v>
      </c>
      <c r="H310" s="10" t="s">
        <v>802</v>
      </c>
      <c r="I310" s="10" t="s">
        <v>794</v>
      </c>
      <c r="J310" s="10" t="s">
        <v>1004</v>
      </c>
    </row>
    <row r="311" spans="1:10" ht="15" hidden="1" customHeight="1">
      <c r="A311" s="9">
        <v>307</v>
      </c>
      <c r="B311" s="10" t="s">
        <v>1442</v>
      </c>
      <c r="C311" s="10" t="s">
        <v>1443</v>
      </c>
      <c r="D311" s="10" t="s">
        <v>1193</v>
      </c>
      <c r="E311" s="10" t="s">
        <v>1199</v>
      </c>
      <c r="F311" s="10" t="s">
        <v>794</v>
      </c>
      <c r="G311" s="10" t="s">
        <v>1441</v>
      </c>
      <c r="H311" s="10" t="s">
        <v>802</v>
      </c>
      <c r="I311" s="10" t="s">
        <v>794</v>
      </c>
      <c r="J311" s="10" t="s">
        <v>1004</v>
      </c>
    </row>
    <row r="312" spans="1:10" ht="15" hidden="1" customHeight="1">
      <c r="A312" s="9">
        <v>308</v>
      </c>
      <c r="B312" s="10" t="s">
        <v>1444</v>
      </c>
      <c r="C312" s="10" t="s">
        <v>1445</v>
      </c>
      <c r="D312" s="10" t="s">
        <v>1193</v>
      </c>
      <c r="E312" s="10" t="s">
        <v>1199</v>
      </c>
      <c r="F312" s="10" t="s">
        <v>794</v>
      </c>
      <c r="G312" s="10" t="s">
        <v>1441</v>
      </c>
      <c r="H312" s="10" t="s">
        <v>802</v>
      </c>
      <c r="I312" s="10" t="s">
        <v>794</v>
      </c>
      <c r="J312" s="10" t="s">
        <v>1004</v>
      </c>
    </row>
    <row r="313" spans="1:10" ht="15" hidden="1" customHeight="1">
      <c r="A313" s="9">
        <v>309</v>
      </c>
      <c r="B313" s="10" t="s">
        <v>1446</v>
      </c>
      <c r="C313" s="10" t="s">
        <v>1447</v>
      </c>
      <c r="D313" s="10" t="s">
        <v>1193</v>
      </c>
      <c r="E313" s="10" t="s">
        <v>1199</v>
      </c>
      <c r="F313" s="10" t="s">
        <v>794</v>
      </c>
      <c r="G313" s="10" t="s">
        <v>1441</v>
      </c>
      <c r="H313" s="10" t="s">
        <v>802</v>
      </c>
      <c r="I313" s="10" t="s">
        <v>794</v>
      </c>
      <c r="J313" s="10" t="s">
        <v>1004</v>
      </c>
    </row>
    <row r="314" spans="1:10" ht="15" hidden="1" customHeight="1">
      <c r="A314" s="9">
        <v>310</v>
      </c>
      <c r="B314" s="10" t="s">
        <v>1448</v>
      </c>
      <c r="C314" s="10" t="s">
        <v>1449</v>
      </c>
      <c r="D314" s="10" t="s">
        <v>1193</v>
      </c>
      <c r="E314" s="10" t="s">
        <v>1199</v>
      </c>
      <c r="F314" s="10" t="s">
        <v>794</v>
      </c>
      <c r="G314" s="10" t="s">
        <v>1441</v>
      </c>
      <c r="H314" s="10" t="s">
        <v>802</v>
      </c>
      <c r="I314" s="10" t="s">
        <v>794</v>
      </c>
      <c r="J314" s="10" t="s">
        <v>1004</v>
      </c>
    </row>
    <row r="315" spans="1:10" ht="15" hidden="1" customHeight="1">
      <c r="A315" s="9">
        <v>311</v>
      </c>
      <c r="B315" s="10" t="s">
        <v>1450</v>
      </c>
      <c r="C315" s="10" t="s">
        <v>1451</v>
      </c>
      <c r="D315" s="10" t="s">
        <v>1193</v>
      </c>
      <c r="E315" s="10" t="s">
        <v>1199</v>
      </c>
      <c r="F315" s="10" t="s">
        <v>794</v>
      </c>
      <c r="G315" s="10" t="s">
        <v>828</v>
      </c>
      <c r="H315" s="10" t="s">
        <v>802</v>
      </c>
      <c r="I315" s="10" t="s">
        <v>794</v>
      </c>
      <c r="J315" s="10" t="s">
        <v>1004</v>
      </c>
    </row>
    <row r="316" spans="1:10" ht="15" hidden="1" customHeight="1">
      <c r="A316" s="9">
        <v>312</v>
      </c>
      <c r="B316" s="10" t="s">
        <v>1452</v>
      </c>
      <c r="C316" s="10" t="s">
        <v>1453</v>
      </c>
      <c r="D316" s="10" t="s">
        <v>1193</v>
      </c>
      <c r="E316" s="10" t="s">
        <v>1199</v>
      </c>
      <c r="F316" s="10" t="s">
        <v>794</v>
      </c>
      <c r="G316" s="10" t="s">
        <v>828</v>
      </c>
      <c r="H316" s="10" t="s">
        <v>802</v>
      </c>
      <c r="I316" s="10" t="s">
        <v>794</v>
      </c>
      <c r="J316" s="10" t="s">
        <v>1004</v>
      </c>
    </row>
    <row r="317" spans="1:10" ht="15" hidden="1" customHeight="1">
      <c r="A317" s="9">
        <v>313</v>
      </c>
      <c r="B317" s="10" t="s">
        <v>1454</v>
      </c>
      <c r="C317" s="10" t="s">
        <v>1455</v>
      </c>
      <c r="D317" s="10" t="s">
        <v>1193</v>
      </c>
      <c r="E317" s="10" t="s">
        <v>1199</v>
      </c>
      <c r="F317" s="10" t="s">
        <v>794</v>
      </c>
      <c r="G317" s="10" t="s">
        <v>1441</v>
      </c>
      <c r="H317" s="10" t="s">
        <v>802</v>
      </c>
      <c r="I317" s="10" t="s">
        <v>794</v>
      </c>
      <c r="J317" s="10" t="s">
        <v>1004</v>
      </c>
    </row>
    <row r="318" spans="1:10" ht="15" hidden="1" customHeight="1">
      <c r="A318" s="9">
        <v>314</v>
      </c>
      <c r="B318" s="10" t="s">
        <v>1456</v>
      </c>
      <c r="C318" s="10" t="s">
        <v>1457</v>
      </c>
      <c r="D318" s="10" t="s">
        <v>1193</v>
      </c>
      <c r="E318" s="10" t="s">
        <v>1199</v>
      </c>
      <c r="F318" s="10" t="s">
        <v>794</v>
      </c>
      <c r="G318" s="10" t="s">
        <v>1441</v>
      </c>
      <c r="H318" s="10" t="s">
        <v>802</v>
      </c>
      <c r="I318" s="10" t="s">
        <v>794</v>
      </c>
      <c r="J318" s="10" t="s">
        <v>1004</v>
      </c>
    </row>
    <row r="319" spans="1:10" ht="15" hidden="1" customHeight="1">
      <c r="A319" s="9">
        <v>315</v>
      </c>
      <c r="B319" s="10" t="s">
        <v>1458</v>
      </c>
      <c r="C319" s="10" t="s">
        <v>1459</v>
      </c>
      <c r="D319" s="10" t="s">
        <v>1460</v>
      </c>
      <c r="E319" s="10"/>
      <c r="F319" s="10" t="s">
        <v>793</v>
      </c>
      <c r="G319" s="10"/>
      <c r="H319" s="10"/>
      <c r="I319" s="10" t="s">
        <v>794</v>
      </c>
      <c r="J319" s="10" t="s">
        <v>795</v>
      </c>
    </row>
    <row r="320" spans="1:10" ht="15" hidden="1" customHeight="1">
      <c r="A320" s="9">
        <v>316</v>
      </c>
      <c r="B320" s="10" t="s">
        <v>1461</v>
      </c>
      <c r="C320" s="10" t="s">
        <v>1462</v>
      </c>
      <c r="D320" s="10" t="s">
        <v>1193</v>
      </c>
      <c r="E320" s="10" t="s">
        <v>1199</v>
      </c>
      <c r="F320" s="10" t="s">
        <v>794</v>
      </c>
      <c r="G320" s="10" t="s">
        <v>871</v>
      </c>
      <c r="H320" s="10" t="s">
        <v>802</v>
      </c>
      <c r="I320" s="10" t="s">
        <v>794</v>
      </c>
      <c r="J320" s="10" t="s">
        <v>1463</v>
      </c>
    </row>
    <row r="321" spans="1:10" ht="15" hidden="1" customHeight="1">
      <c r="A321" s="9">
        <v>317</v>
      </c>
      <c r="B321" s="10" t="s">
        <v>1464</v>
      </c>
      <c r="C321" s="10" t="s">
        <v>1465</v>
      </c>
      <c r="D321" s="10" t="s">
        <v>1193</v>
      </c>
      <c r="E321" s="10" t="s">
        <v>1199</v>
      </c>
      <c r="F321" s="10" t="s">
        <v>794</v>
      </c>
      <c r="G321" s="10" t="s">
        <v>871</v>
      </c>
      <c r="H321" s="10" t="s">
        <v>802</v>
      </c>
      <c r="I321" s="10" t="s">
        <v>794</v>
      </c>
      <c r="J321" s="10" t="s">
        <v>1463</v>
      </c>
    </row>
    <row r="322" spans="1:10" ht="15" hidden="1" customHeight="1">
      <c r="A322" s="9">
        <v>318</v>
      </c>
      <c r="B322" s="10" t="s">
        <v>1466</v>
      </c>
      <c r="C322" s="10" t="s">
        <v>1467</v>
      </c>
      <c r="D322" s="10" t="s">
        <v>1193</v>
      </c>
      <c r="E322" s="10" t="s">
        <v>1199</v>
      </c>
      <c r="F322" s="10" t="s">
        <v>794</v>
      </c>
      <c r="G322" s="10" t="s">
        <v>871</v>
      </c>
      <c r="H322" s="10" t="s">
        <v>802</v>
      </c>
      <c r="I322" s="10" t="s">
        <v>794</v>
      </c>
      <c r="J322" s="10" t="s">
        <v>1463</v>
      </c>
    </row>
    <row r="323" spans="1:10" ht="15" hidden="1" customHeight="1">
      <c r="A323" s="9">
        <v>319</v>
      </c>
      <c r="B323" s="10" t="s">
        <v>1468</v>
      </c>
      <c r="C323" s="10" t="s">
        <v>1469</v>
      </c>
      <c r="D323" s="10" t="s">
        <v>1193</v>
      </c>
      <c r="E323" s="10" t="s">
        <v>1199</v>
      </c>
      <c r="F323" s="10" t="s">
        <v>794</v>
      </c>
      <c r="G323" s="10" t="s">
        <v>871</v>
      </c>
      <c r="H323" s="10" t="s">
        <v>802</v>
      </c>
      <c r="I323" s="10" t="s">
        <v>794</v>
      </c>
      <c r="J323" s="10" t="s">
        <v>1463</v>
      </c>
    </row>
    <row r="324" spans="1:10" ht="15" hidden="1" customHeight="1">
      <c r="A324" s="9">
        <v>320</v>
      </c>
      <c r="B324" s="10" t="s">
        <v>1470</v>
      </c>
      <c r="C324" s="10" t="s">
        <v>1471</v>
      </c>
      <c r="D324" s="10" t="s">
        <v>1193</v>
      </c>
      <c r="E324" s="10" t="s">
        <v>1199</v>
      </c>
      <c r="F324" s="10" t="s">
        <v>794</v>
      </c>
      <c r="G324" s="10" t="s">
        <v>1472</v>
      </c>
      <c r="H324" s="10" t="s">
        <v>802</v>
      </c>
      <c r="I324" s="10" t="s">
        <v>794</v>
      </c>
      <c r="J324" s="10" t="s">
        <v>1004</v>
      </c>
    </row>
    <row r="325" spans="1:10" ht="15" hidden="1" customHeight="1">
      <c r="A325" s="9">
        <v>321</v>
      </c>
      <c r="B325" s="10" t="s">
        <v>1473</v>
      </c>
      <c r="C325" s="10" t="s">
        <v>1474</v>
      </c>
      <c r="D325" s="10" t="s">
        <v>1460</v>
      </c>
      <c r="E325" s="10" t="s">
        <v>1459</v>
      </c>
      <c r="F325" s="10" t="s">
        <v>793</v>
      </c>
      <c r="G325" s="10"/>
      <c r="H325" s="10"/>
      <c r="I325" s="10" t="s">
        <v>794</v>
      </c>
      <c r="J325" s="10" t="s">
        <v>1475</v>
      </c>
    </row>
    <row r="326" spans="1:10" ht="15" hidden="1" customHeight="1">
      <c r="A326" s="9">
        <v>322</v>
      </c>
      <c r="B326" s="10" t="s">
        <v>1476</v>
      </c>
      <c r="C326" s="10" t="s">
        <v>1477</v>
      </c>
      <c r="D326" s="10" t="s">
        <v>1460</v>
      </c>
      <c r="E326" s="10" t="s">
        <v>1474</v>
      </c>
      <c r="F326" s="10" t="s">
        <v>793</v>
      </c>
      <c r="G326" s="10" t="s">
        <v>1478</v>
      </c>
      <c r="H326" s="10" t="s">
        <v>1479</v>
      </c>
      <c r="I326" s="10" t="s">
        <v>794</v>
      </c>
      <c r="J326" s="10" t="s">
        <v>1475</v>
      </c>
    </row>
    <row r="327" spans="1:10" ht="15" hidden="1" customHeight="1">
      <c r="A327" s="9">
        <v>323</v>
      </c>
      <c r="B327" s="10" t="s">
        <v>1480</v>
      </c>
      <c r="C327" s="10" t="s">
        <v>1481</v>
      </c>
      <c r="D327" s="10" t="s">
        <v>1460</v>
      </c>
      <c r="E327" s="10" t="s">
        <v>1474</v>
      </c>
      <c r="F327" s="10" t="s">
        <v>794</v>
      </c>
      <c r="G327" s="10" t="s">
        <v>1482</v>
      </c>
      <c r="H327" s="10" t="s">
        <v>1479</v>
      </c>
      <c r="I327" s="10" t="s">
        <v>794</v>
      </c>
      <c r="J327" s="10" t="s">
        <v>1475</v>
      </c>
    </row>
    <row r="328" spans="1:10" ht="15" hidden="1" customHeight="1">
      <c r="A328" s="9">
        <v>324</v>
      </c>
      <c r="B328" s="10" t="s">
        <v>1483</v>
      </c>
      <c r="C328" s="10" t="s">
        <v>1484</v>
      </c>
      <c r="D328" s="10" t="s">
        <v>1460</v>
      </c>
      <c r="E328" s="10" t="s">
        <v>1474</v>
      </c>
      <c r="F328" s="10" t="s">
        <v>793</v>
      </c>
      <c r="G328" s="10"/>
      <c r="H328" s="10"/>
      <c r="I328" s="10" t="s">
        <v>794</v>
      </c>
      <c r="J328" s="10" t="s">
        <v>1475</v>
      </c>
    </row>
    <row r="329" spans="1:10" ht="15" hidden="1" customHeight="1">
      <c r="A329" s="9">
        <v>325</v>
      </c>
      <c r="B329" s="10" t="s">
        <v>1485</v>
      </c>
      <c r="C329" s="10" t="s">
        <v>1486</v>
      </c>
      <c r="D329" s="10" t="s">
        <v>1460</v>
      </c>
      <c r="E329" s="10" t="s">
        <v>1474</v>
      </c>
      <c r="F329" s="10" t="s">
        <v>793</v>
      </c>
      <c r="G329" s="10"/>
      <c r="H329" s="10"/>
      <c r="I329" s="10" t="s">
        <v>794</v>
      </c>
      <c r="J329" s="10" t="s">
        <v>1475</v>
      </c>
    </row>
    <row r="330" spans="1:10" ht="15" hidden="1" customHeight="1">
      <c r="A330" s="9">
        <v>326</v>
      </c>
      <c r="B330" s="10" t="s">
        <v>1487</v>
      </c>
      <c r="C330" s="10" t="s">
        <v>1488</v>
      </c>
      <c r="D330" s="10" t="s">
        <v>1460</v>
      </c>
      <c r="E330" s="10" t="s">
        <v>1474</v>
      </c>
      <c r="F330" s="10" t="s">
        <v>793</v>
      </c>
      <c r="G330" s="10"/>
      <c r="H330" s="10"/>
      <c r="I330" s="10" t="s">
        <v>794</v>
      </c>
      <c r="J330" s="10" t="s">
        <v>1475</v>
      </c>
    </row>
    <row r="331" spans="1:10" ht="15" hidden="1" customHeight="1">
      <c r="A331" s="9">
        <v>327</v>
      </c>
      <c r="B331" s="10" t="s">
        <v>1489</v>
      </c>
      <c r="C331" s="10" t="s">
        <v>1490</v>
      </c>
      <c r="D331" s="10" t="s">
        <v>1460</v>
      </c>
      <c r="E331" s="10" t="s">
        <v>1474</v>
      </c>
      <c r="F331" s="10" t="s">
        <v>793</v>
      </c>
      <c r="G331" s="10"/>
      <c r="H331" s="10"/>
      <c r="I331" s="10" t="s">
        <v>794</v>
      </c>
      <c r="J331" s="10" t="s">
        <v>1475</v>
      </c>
    </row>
    <row r="332" spans="1:10" ht="15" hidden="1" customHeight="1">
      <c r="A332" s="9">
        <v>328</v>
      </c>
      <c r="B332" s="10" t="s">
        <v>1491</v>
      </c>
      <c r="C332" s="10" t="s">
        <v>1492</v>
      </c>
      <c r="D332" s="10" t="s">
        <v>1460</v>
      </c>
      <c r="E332" s="10" t="s">
        <v>1474</v>
      </c>
      <c r="F332" s="10" t="s">
        <v>793</v>
      </c>
      <c r="G332" s="10" t="s">
        <v>1493</v>
      </c>
      <c r="H332" s="10" t="s">
        <v>1479</v>
      </c>
      <c r="I332" s="10" t="s">
        <v>794</v>
      </c>
      <c r="J332" s="10" t="s">
        <v>1475</v>
      </c>
    </row>
    <row r="333" spans="1:10" ht="15" hidden="1" customHeight="1">
      <c r="A333" s="9">
        <v>329</v>
      </c>
      <c r="B333" s="10" t="s">
        <v>1494</v>
      </c>
      <c r="C333" s="10" t="s">
        <v>1495</v>
      </c>
      <c r="D333" s="10" t="s">
        <v>1460</v>
      </c>
      <c r="E333" s="10" t="s">
        <v>1459</v>
      </c>
      <c r="F333" s="10" t="s">
        <v>793</v>
      </c>
      <c r="G333" s="10"/>
      <c r="H333" s="10"/>
      <c r="I333" s="10" t="s">
        <v>794</v>
      </c>
      <c r="J333" s="10" t="s">
        <v>1475</v>
      </c>
    </row>
    <row r="334" spans="1:10" ht="15" hidden="1" customHeight="1">
      <c r="A334" s="9">
        <v>330</v>
      </c>
      <c r="B334" s="10" t="s">
        <v>1496</v>
      </c>
      <c r="C334" s="10" t="s">
        <v>1497</v>
      </c>
      <c r="D334" s="10" t="s">
        <v>1460</v>
      </c>
      <c r="E334" s="10" t="s">
        <v>1495</v>
      </c>
      <c r="F334" s="10" t="s">
        <v>793</v>
      </c>
      <c r="G334" s="10" t="s">
        <v>1498</v>
      </c>
      <c r="H334" s="10" t="s">
        <v>1479</v>
      </c>
      <c r="I334" s="10" t="s">
        <v>794</v>
      </c>
      <c r="J334" s="10" t="s">
        <v>1475</v>
      </c>
    </row>
    <row r="335" spans="1:10" ht="15" hidden="1" customHeight="1">
      <c r="A335" s="9">
        <v>331</v>
      </c>
      <c r="B335" s="10" t="s">
        <v>1499</v>
      </c>
      <c r="C335" s="10" t="s">
        <v>1500</v>
      </c>
      <c r="D335" s="10" t="s">
        <v>1460</v>
      </c>
      <c r="E335" s="10" t="s">
        <v>1495</v>
      </c>
      <c r="F335" s="10" t="s">
        <v>794</v>
      </c>
      <c r="G335" s="10" t="s">
        <v>1501</v>
      </c>
      <c r="H335" s="10" t="s">
        <v>1479</v>
      </c>
      <c r="I335" s="10" t="s">
        <v>794</v>
      </c>
      <c r="J335" s="10" t="s">
        <v>1475</v>
      </c>
    </row>
    <row r="336" spans="1:10" ht="15" hidden="1" customHeight="1">
      <c r="A336" s="9">
        <v>332</v>
      </c>
      <c r="B336" s="10" t="s">
        <v>1502</v>
      </c>
      <c r="C336" s="10" t="s">
        <v>1503</v>
      </c>
      <c r="D336" s="10" t="s">
        <v>1460</v>
      </c>
      <c r="E336" s="10" t="s">
        <v>1495</v>
      </c>
      <c r="F336" s="10" t="s">
        <v>793</v>
      </c>
      <c r="G336" s="10"/>
      <c r="H336" s="10"/>
      <c r="I336" s="10" t="s">
        <v>794</v>
      </c>
      <c r="J336" s="10" t="s">
        <v>1475</v>
      </c>
    </row>
    <row r="337" spans="1:10" ht="15" hidden="1" customHeight="1">
      <c r="A337" s="9">
        <v>333</v>
      </c>
      <c r="B337" s="10" t="s">
        <v>1504</v>
      </c>
      <c r="C337" s="10" t="s">
        <v>1505</v>
      </c>
      <c r="D337" s="10" t="s">
        <v>1460</v>
      </c>
      <c r="E337" s="10" t="s">
        <v>1495</v>
      </c>
      <c r="F337" s="10" t="s">
        <v>793</v>
      </c>
      <c r="G337" s="10"/>
      <c r="H337" s="10"/>
      <c r="I337" s="10" t="s">
        <v>794</v>
      </c>
      <c r="J337" s="10" t="s">
        <v>1475</v>
      </c>
    </row>
    <row r="338" spans="1:10" ht="15" hidden="1" customHeight="1">
      <c r="A338" s="9">
        <v>334</v>
      </c>
      <c r="B338" s="10" t="s">
        <v>1506</v>
      </c>
      <c r="C338" s="10" t="s">
        <v>1507</v>
      </c>
      <c r="D338" s="10" t="s">
        <v>1460</v>
      </c>
      <c r="E338" s="10" t="s">
        <v>1459</v>
      </c>
      <c r="F338" s="10" t="s">
        <v>793</v>
      </c>
      <c r="G338" s="10" t="s">
        <v>1478</v>
      </c>
      <c r="H338" s="10" t="s">
        <v>1479</v>
      </c>
      <c r="I338" s="10" t="s">
        <v>794</v>
      </c>
      <c r="J338" s="10" t="s">
        <v>1475</v>
      </c>
    </row>
    <row r="339" spans="1:10" ht="15" hidden="1" customHeight="1">
      <c r="A339" s="9">
        <v>335</v>
      </c>
      <c r="B339" s="10" t="s">
        <v>1508</v>
      </c>
      <c r="C339" s="10" t="s">
        <v>1509</v>
      </c>
      <c r="D339" s="10" t="s">
        <v>1460</v>
      </c>
      <c r="E339" s="10" t="s">
        <v>1507</v>
      </c>
      <c r="F339" s="10" t="s">
        <v>794</v>
      </c>
      <c r="G339" s="10" t="s">
        <v>1478</v>
      </c>
      <c r="H339" s="10" t="s">
        <v>1479</v>
      </c>
      <c r="I339" s="10" t="s">
        <v>794</v>
      </c>
      <c r="J339" s="10" t="s">
        <v>1475</v>
      </c>
    </row>
    <row r="340" spans="1:10" ht="15" hidden="1" customHeight="1">
      <c r="A340" s="9">
        <v>336</v>
      </c>
      <c r="B340" s="10" t="s">
        <v>1510</v>
      </c>
      <c r="C340" s="10" t="s">
        <v>1511</v>
      </c>
      <c r="D340" s="10" t="s">
        <v>1460</v>
      </c>
      <c r="E340" s="10" t="s">
        <v>1507</v>
      </c>
      <c r="F340" s="10" t="s">
        <v>794</v>
      </c>
      <c r="G340" s="10" t="s">
        <v>1478</v>
      </c>
      <c r="H340" s="10" t="s">
        <v>1479</v>
      </c>
      <c r="I340" s="10" t="s">
        <v>794</v>
      </c>
      <c r="J340" s="10" t="s">
        <v>1475</v>
      </c>
    </row>
    <row r="341" spans="1:10" ht="15" hidden="1" customHeight="1">
      <c r="A341" s="9">
        <v>337</v>
      </c>
      <c r="B341" s="10" t="s">
        <v>1512</v>
      </c>
      <c r="C341" s="10" t="s">
        <v>1513</v>
      </c>
      <c r="D341" s="10" t="s">
        <v>1460</v>
      </c>
      <c r="E341" s="10" t="s">
        <v>1507</v>
      </c>
      <c r="F341" s="10" t="s">
        <v>794</v>
      </c>
      <c r="G341" s="10" t="s">
        <v>1478</v>
      </c>
      <c r="H341" s="10" t="s">
        <v>1479</v>
      </c>
      <c r="I341" s="10" t="s">
        <v>794</v>
      </c>
      <c r="J341" s="10" t="s">
        <v>1475</v>
      </c>
    </row>
    <row r="342" spans="1:10" ht="15" hidden="1" customHeight="1">
      <c r="A342" s="9">
        <v>338</v>
      </c>
      <c r="B342" s="10" t="s">
        <v>1514</v>
      </c>
      <c r="C342" s="10" t="s">
        <v>1515</v>
      </c>
      <c r="D342" s="10" t="s">
        <v>1460</v>
      </c>
      <c r="E342" s="10" t="s">
        <v>1507</v>
      </c>
      <c r="F342" s="10" t="s">
        <v>794</v>
      </c>
      <c r="G342" s="10" t="s">
        <v>1478</v>
      </c>
      <c r="H342" s="10" t="s">
        <v>1479</v>
      </c>
      <c r="I342" s="10" t="s">
        <v>794</v>
      </c>
      <c r="J342" s="10" t="s">
        <v>1475</v>
      </c>
    </row>
    <row r="343" spans="1:10" ht="15" hidden="1" customHeight="1">
      <c r="A343" s="9">
        <v>339</v>
      </c>
      <c r="B343" s="10" t="s">
        <v>1516</v>
      </c>
      <c r="C343" s="10" t="s">
        <v>1517</v>
      </c>
      <c r="D343" s="10" t="s">
        <v>1460</v>
      </c>
      <c r="E343" s="10" t="s">
        <v>1507</v>
      </c>
      <c r="F343" s="10" t="s">
        <v>794</v>
      </c>
      <c r="G343" s="10" t="s">
        <v>1478</v>
      </c>
      <c r="H343" s="10" t="s">
        <v>1479</v>
      </c>
      <c r="I343" s="10" t="s">
        <v>794</v>
      </c>
      <c r="J343" s="10" t="s">
        <v>1475</v>
      </c>
    </row>
    <row r="344" spans="1:10" ht="15" hidden="1" customHeight="1">
      <c r="A344" s="9">
        <v>340</v>
      </c>
      <c r="B344" s="10" t="s">
        <v>1518</v>
      </c>
      <c r="C344" s="10" t="s">
        <v>1519</v>
      </c>
      <c r="D344" s="10" t="s">
        <v>1460</v>
      </c>
      <c r="E344" s="10" t="s">
        <v>1459</v>
      </c>
      <c r="F344" s="10" t="s">
        <v>793</v>
      </c>
      <c r="G344" s="10"/>
      <c r="H344" s="10"/>
      <c r="I344" s="10" t="s">
        <v>794</v>
      </c>
      <c r="J344" s="10" t="s">
        <v>1520</v>
      </c>
    </row>
    <row r="345" spans="1:10" ht="15" hidden="1" customHeight="1">
      <c r="A345" s="9">
        <v>341</v>
      </c>
      <c r="B345" s="10" t="s">
        <v>1521</v>
      </c>
      <c r="C345" s="10" t="s">
        <v>1522</v>
      </c>
      <c r="D345" s="10" t="s">
        <v>1460</v>
      </c>
      <c r="E345" s="10" t="s">
        <v>1519</v>
      </c>
      <c r="F345" s="10" t="s">
        <v>793</v>
      </c>
      <c r="G345" s="10"/>
      <c r="H345" s="10"/>
      <c r="I345" s="10" t="s">
        <v>794</v>
      </c>
      <c r="J345" s="10" t="s">
        <v>1520</v>
      </c>
    </row>
    <row r="346" spans="1:10" ht="15" hidden="1" customHeight="1">
      <c r="A346" s="9">
        <v>342</v>
      </c>
      <c r="B346" s="10" t="s">
        <v>1523</v>
      </c>
      <c r="C346" s="10" t="s">
        <v>1524</v>
      </c>
      <c r="D346" s="10" t="s">
        <v>1460</v>
      </c>
      <c r="E346" s="10" t="s">
        <v>1522</v>
      </c>
      <c r="F346" s="10" t="s">
        <v>793</v>
      </c>
      <c r="G346" s="10" t="s">
        <v>1525</v>
      </c>
      <c r="H346" s="10" t="s">
        <v>1479</v>
      </c>
      <c r="I346" s="10" t="s">
        <v>794</v>
      </c>
      <c r="J346" s="10" t="s">
        <v>1520</v>
      </c>
    </row>
    <row r="347" spans="1:10" ht="15" hidden="1" customHeight="1">
      <c r="A347" s="9">
        <v>343</v>
      </c>
      <c r="B347" s="10" t="s">
        <v>1526</v>
      </c>
      <c r="C347" s="10" t="s">
        <v>1527</v>
      </c>
      <c r="D347" s="10" t="s">
        <v>1460</v>
      </c>
      <c r="E347" s="10" t="s">
        <v>1522</v>
      </c>
      <c r="F347" s="10" t="s">
        <v>793</v>
      </c>
      <c r="G347" s="10" t="s">
        <v>1528</v>
      </c>
      <c r="H347" s="10" t="s">
        <v>1479</v>
      </c>
      <c r="I347" s="10" t="s">
        <v>794</v>
      </c>
      <c r="J347" s="10" t="s">
        <v>1520</v>
      </c>
    </row>
    <row r="348" spans="1:10" ht="15" hidden="1" customHeight="1">
      <c r="A348" s="9">
        <v>344</v>
      </c>
      <c r="B348" s="10" t="s">
        <v>1529</v>
      </c>
      <c r="C348" s="10" t="s">
        <v>1530</v>
      </c>
      <c r="D348" s="10" t="s">
        <v>1460</v>
      </c>
      <c r="E348" s="10" t="s">
        <v>1524</v>
      </c>
      <c r="F348" s="10" t="s">
        <v>794</v>
      </c>
      <c r="G348" s="10" t="s">
        <v>1525</v>
      </c>
      <c r="H348" s="10" t="s">
        <v>1479</v>
      </c>
      <c r="I348" s="10" t="s">
        <v>794</v>
      </c>
      <c r="J348" s="10" t="s">
        <v>1520</v>
      </c>
    </row>
    <row r="349" spans="1:10" ht="15" hidden="1" customHeight="1">
      <c r="A349" s="9">
        <v>345</v>
      </c>
      <c r="B349" s="10" t="s">
        <v>1531</v>
      </c>
      <c r="C349" s="10" t="s">
        <v>1532</v>
      </c>
      <c r="D349" s="10" t="s">
        <v>1460</v>
      </c>
      <c r="E349" s="10" t="s">
        <v>1519</v>
      </c>
      <c r="F349" s="10" t="s">
        <v>793</v>
      </c>
      <c r="G349" s="10"/>
      <c r="H349" s="10"/>
      <c r="I349" s="10" t="s">
        <v>794</v>
      </c>
      <c r="J349" s="10" t="s">
        <v>1520</v>
      </c>
    </row>
    <row r="350" spans="1:10" ht="15" hidden="1" customHeight="1">
      <c r="A350" s="9">
        <v>346</v>
      </c>
      <c r="B350" s="10" t="s">
        <v>1533</v>
      </c>
      <c r="C350" s="10" t="s">
        <v>1534</v>
      </c>
      <c r="D350" s="10" t="s">
        <v>1460</v>
      </c>
      <c r="E350" s="10" t="s">
        <v>1532</v>
      </c>
      <c r="F350" s="10" t="s">
        <v>793</v>
      </c>
      <c r="G350" s="10" t="s">
        <v>1525</v>
      </c>
      <c r="H350" s="10" t="s">
        <v>1479</v>
      </c>
      <c r="I350" s="10" t="s">
        <v>794</v>
      </c>
      <c r="J350" s="10" t="s">
        <v>1520</v>
      </c>
    </row>
    <row r="351" spans="1:10" ht="15" hidden="1" customHeight="1">
      <c r="A351" s="9">
        <v>347</v>
      </c>
      <c r="B351" s="10" t="s">
        <v>1535</v>
      </c>
      <c r="C351" s="10" t="s">
        <v>1536</v>
      </c>
      <c r="D351" s="10" t="s">
        <v>1460</v>
      </c>
      <c r="E351" s="10" t="s">
        <v>1532</v>
      </c>
      <c r="F351" s="10" t="s">
        <v>793</v>
      </c>
      <c r="G351" s="10" t="s">
        <v>1528</v>
      </c>
      <c r="H351" s="10" t="s">
        <v>1479</v>
      </c>
      <c r="I351" s="10" t="s">
        <v>794</v>
      </c>
      <c r="J351" s="10" t="s">
        <v>1520</v>
      </c>
    </row>
    <row r="352" spans="1:10" ht="15" hidden="1" customHeight="1">
      <c r="A352" s="9">
        <v>348</v>
      </c>
      <c r="B352" s="10" t="s">
        <v>1537</v>
      </c>
      <c r="C352" s="10" t="s">
        <v>1538</v>
      </c>
      <c r="D352" s="10" t="s">
        <v>1193</v>
      </c>
      <c r="E352" s="10" t="s">
        <v>1201</v>
      </c>
      <c r="F352" s="10" t="s">
        <v>794</v>
      </c>
      <c r="G352" s="10" t="s">
        <v>871</v>
      </c>
      <c r="H352" s="10" t="s">
        <v>802</v>
      </c>
      <c r="I352" s="10" t="s">
        <v>794</v>
      </c>
      <c r="J352" s="10" t="s">
        <v>1539</v>
      </c>
    </row>
    <row r="353" spans="1:10" ht="15" hidden="1" customHeight="1">
      <c r="A353" s="9">
        <v>349</v>
      </c>
      <c r="B353" s="10" t="s">
        <v>1540</v>
      </c>
      <c r="C353" s="10" t="s">
        <v>1541</v>
      </c>
      <c r="D353" s="10" t="s">
        <v>1193</v>
      </c>
      <c r="E353" s="10" t="s">
        <v>1201</v>
      </c>
      <c r="F353" s="10" t="s">
        <v>794</v>
      </c>
      <c r="G353" s="10" t="s">
        <v>871</v>
      </c>
      <c r="H353" s="10" t="s">
        <v>802</v>
      </c>
      <c r="I353" s="10" t="s">
        <v>794</v>
      </c>
      <c r="J353" s="10" t="s">
        <v>1539</v>
      </c>
    </row>
    <row r="354" spans="1:10" ht="15" hidden="1" customHeight="1">
      <c r="A354" s="9">
        <v>350</v>
      </c>
      <c r="B354" s="10" t="s">
        <v>1542</v>
      </c>
      <c r="C354" s="10" t="s">
        <v>1543</v>
      </c>
      <c r="D354" s="10" t="s">
        <v>1193</v>
      </c>
      <c r="E354" s="10" t="s">
        <v>1201</v>
      </c>
      <c r="F354" s="10" t="s">
        <v>794</v>
      </c>
      <c r="G354" s="10" t="s">
        <v>871</v>
      </c>
      <c r="H354" s="10" t="s">
        <v>802</v>
      </c>
      <c r="I354" s="10" t="s">
        <v>794</v>
      </c>
      <c r="J354" s="10" t="s">
        <v>1539</v>
      </c>
    </row>
    <row r="355" spans="1:10" ht="15" hidden="1" customHeight="1">
      <c r="A355" s="9">
        <v>351</v>
      </c>
      <c r="B355" s="10" t="s">
        <v>1544</v>
      </c>
      <c r="C355" s="10" t="s">
        <v>1545</v>
      </c>
      <c r="D355" s="10" t="s">
        <v>1193</v>
      </c>
      <c r="E355" s="10" t="s">
        <v>1201</v>
      </c>
      <c r="F355" s="10" t="s">
        <v>794</v>
      </c>
      <c r="G355" s="10" t="s">
        <v>871</v>
      </c>
      <c r="H355" s="10" t="s">
        <v>802</v>
      </c>
      <c r="I355" s="10" t="s">
        <v>794</v>
      </c>
      <c r="J355" s="10" t="s">
        <v>1539</v>
      </c>
    </row>
    <row r="356" spans="1:10" ht="15" hidden="1" customHeight="1">
      <c r="A356" s="9">
        <v>352</v>
      </c>
      <c r="B356" s="10" t="s">
        <v>1546</v>
      </c>
      <c r="C356" s="10" t="s">
        <v>1547</v>
      </c>
      <c r="D356" s="10" t="s">
        <v>1193</v>
      </c>
      <c r="E356" s="10" t="s">
        <v>1201</v>
      </c>
      <c r="F356" s="10" t="s">
        <v>794</v>
      </c>
      <c r="G356" s="10" t="s">
        <v>871</v>
      </c>
      <c r="H356" s="10" t="s">
        <v>802</v>
      </c>
      <c r="I356" s="10" t="s">
        <v>794</v>
      </c>
      <c r="J356" s="10" t="s">
        <v>1539</v>
      </c>
    </row>
    <row r="357" spans="1:10" ht="15" hidden="1" customHeight="1">
      <c r="A357" s="9">
        <v>353</v>
      </c>
      <c r="B357" s="10" t="s">
        <v>1548</v>
      </c>
      <c r="C357" s="10" t="s">
        <v>1549</v>
      </c>
      <c r="D357" s="10" t="s">
        <v>1193</v>
      </c>
      <c r="E357" s="10" t="s">
        <v>1201</v>
      </c>
      <c r="F357" s="10" t="s">
        <v>794</v>
      </c>
      <c r="G357" s="10" t="s">
        <v>871</v>
      </c>
      <c r="H357" s="10" t="s">
        <v>802</v>
      </c>
      <c r="I357" s="10" t="s">
        <v>794</v>
      </c>
      <c r="J357" s="10" t="s">
        <v>1539</v>
      </c>
    </row>
    <row r="358" spans="1:10" ht="15" hidden="1" customHeight="1">
      <c r="A358" s="9">
        <v>354</v>
      </c>
      <c r="B358" s="10" t="s">
        <v>1550</v>
      </c>
      <c r="C358" s="10" t="s">
        <v>1551</v>
      </c>
      <c r="D358" s="10" t="s">
        <v>1193</v>
      </c>
      <c r="E358" s="10" t="s">
        <v>1201</v>
      </c>
      <c r="F358" s="10" t="s">
        <v>794</v>
      </c>
      <c r="G358" s="10" t="s">
        <v>871</v>
      </c>
      <c r="H358" s="10" t="s">
        <v>802</v>
      </c>
      <c r="I358" s="10" t="s">
        <v>794</v>
      </c>
      <c r="J358" s="10" t="s">
        <v>1539</v>
      </c>
    </row>
    <row r="359" spans="1:10" ht="15" hidden="1" customHeight="1">
      <c r="A359" s="9">
        <v>355</v>
      </c>
      <c r="B359" s="10" t="s">
        <v>1552</v>
      </c>
      <c r="C359" s="10" t="s">
        <v>1553</v>
      </c>
      <c r="D359" s="10" t="s">
        <v>1193</v>
      </c>
      <c r="E359" s="10" t="s">
        <v>1201</v>
      </c>
      <c r="F359" s="10" t="s">
        <v>794</v>
      </c>
      <c r="G359" s="10" t="s">
        <v>871</v>
      </c>
      <c r="H359" s="10" t="s">
        <v>802</v>
      </c>
      <c r="I359" s="10" t="s">
        <v>794</v>
      </c>
      <c r="J359" s="10" t="s">
        <v>1539</v>
      </c>
    </row>
    <row r="360" spans="1:10" ht="15" hidden="1" customHeight="1">
      <c r="A360" s="9">
        <v>356</v>
      </c>
      <c r="B360" s="10" t="s">
        <v>1554</v>
      </c>
      <c r="C360" s="10" t="s">
        <v>1555</v>
      </c>
      <c r="D360" s="10" t="s">
        <v>1193</v>
      </c>
      <c r="E360" s="10" t="s">
        <v>1201</v>
      </c>
      <c r="F360" s="10" t="s">
        <v>794</v>
      </c>
      <c r="G360" s="10" t="s">
        <v>871</v>
      </c>
      <c r="H360" s="10" t="s">
        <v>802</v>
      </c>
      <c r="I360" s="10" t="s">
        <v>794</v>
      </c>
      <c r="J360" s="10" t="s">
        <v>1539</v>
      </c>
    </row>
    <row r="361" spans="1:10" ht="15" hidden="1" customHeight="1">
      <c r="A361" s="9">
        <v>357</v>
      </c>
      <c r="B361" s="10" t="s">
        <v>1556</v>
      </c>
      <c r="C361" s="10" t="s">
        <v>1557</v>
      </c>
      <c r="D361" s="10" t="s">
        <v>1193</v>
      </c>
      <c r="E361" s="10" t="s">
        <v>1201</v>
      </c>
      <c r="F361" s="10" t="s">
        <v>794</v>
      </c>
      <c r="G361" s="10" t="s">
        <v>871</v>
      </c>
      <c r="H361" s="10" t="s">
        <v>802</v>
      </c>
      <c r="I361" s="10" t="s">
        <v>794</v>
      </c>
      <c r="J361" s="10" t="s">
        <v>1539</v>
      </c>
    </row>
    <row r="362" spans="1:10" ht="15" hidden="1" customHeight="1">
      <c r="A362" s="9">
        <v>358</v>
      </c>
      <c r="B362" s="10" t="s">
        <v>1558</v>
      </c>
      <c r="C362" s="10" t="s">
        <v>1559</v>
      </c>
      <c r="D362" s="10" t="s">
        <v>1193</v>
      </c>
      <c r="E362" s="10" t="s">
        <v>1203</v>
      </c>
      <c r="F362" s="10" t="s">
        <v>794</v>
      </c>
      <c r="G362" s="10" t="s">
        <v>828</v>
      </c>
      <c r="H362" s="10" t="s">
        <v>802</v>
      </c>
      <c r="I362" s="10" t="s">
        <v>794</v>
      </c>
      <c r="J362" s="10" t="s">
        <v>1004</v>
      </c>
    </row>
    <row r="363" spans="1:10" ht="15" hidden="1" customHeight="1">
      <c r="A363" s="9">
        <v>359</v>
      </c>
      <c r="B363" s="10" t="s">
        <v>1560</v>
      </c>
      <c r="C363" s="10" t="s">
        <v>1561</v>
      </c>
      <c r="D363" s="10" t="s">
        <v>1193</v>
      </c>
      <c r="E363" s="10" t="s">
        <v>1203</v>
      </c>
      <c r="F363" s="10" t="s">
        <v>794</v>
      </c>
      <c r="G363" s="10" t="s">
        <v>1562</v>
      </c>
      <c r="H363" s="10" t="s">
        <v>802</v>
      </c>
      <c r="I363" s="10" t="s">
        <v>794</v>
      </c>
      <c r="J363" s="10" t="s">
        <v>1004</v>
      </c>
    </row>
    <row r="364" spans="1:10" ht="15" hidden="1" customHeight="1">
      <c r="A364" s="9">
        <v>360</v>
      </c>
      <c r="B364" s="10" t="s">
        <v>1563</v>
      </c>
      <c r="C364" s="10" t="s">
        <v>1564</v>
      </c>
      <c r="D364" s="10" t="s">
        <v>1193</v>
      </c>
      <c r="E364" s="10" t="s">
        <v>1203</v>
      </c>
      <c r="F364" s="10" t="s">
        <v>794</v>
      </c>
      <c r="G364" s="10" t="s">
        <v>1019</v>
      </c>
      <c r="H364" s="10" t="s">
        <v>802</v>
      </c>
      <c r="I364" s="10" t="s">
        <v>794</v>
      </c>
      <c r="J364" s="10" t="s">
        <v>1004</v>
      </c>
    </row>
    <row r="365" spans="1:10" ht="15" hidden="1" customHeight="1">
      <c r="A365" s="9">
        <v>361</v>
      </c>
      <c r="B365" s="10" t="s">
        <v>1565</v>
      </c>
      <c r="C365" s="10" t="s">
        <v>1566</v>
      </c>
      <c r="D365" s="10" t="s">
        <v>1193</v>
      </c>
      <c r="E365" s="10" t="s">
        <v>1203</v>
      </c>
      <c r="F365" s="10" t="s">
        <v>794</v>
      </c>
      <c r="G365" s="10" t="s">
        <v>1562</v>
      </c>
      <c r="H365" s="10" t="s">
        <v>802</v>
      </c>
      <c r="I365" s="10" t="s">
        <v>794</v>
      </c>
      <c r="J365" s="10" t="s">
        <v>1004</v>
      </c>
    </row>
    <row r="366" spans="1:10" ht="15" hidden="1" customHeight="1">
      <c r="A366" s="9">
        <v>362</v>
      </c>
      <c r="B366" s="10" t="s">
        <v>1567</v>
      </c>
      <c r="C366" s="10" t="s">
        <v>1568</v>
      </c>
      <c r="D366" s="10" t="s">
        <v>1193</v>
      </c>
      <c r="E366" s="10" t="s">
        <v>1203</v>
      </c>
      <c r="F366" s="10" t="s">
        <v>794</v>
      </c>
      <c r="G366" s="10" t="s">
        <v>871</v>
      </c>
      <c r="H366" s="10" t="s">
        <v>802</v>
      </c>
      <c r="I366" s="10" t="s">
        <v>794</v>
      </c>
      <c r="J366" s="10" t="s">
        <v>1004</v>
      </c>
    </row>
    <row r="367" spans="1:10" ht="15" hidden="1" customHeight="1">
      <c r="A367" s="9">
        <v>363</v>
      </c>
      <c r="B367" s="10" t="s">
        <v>1569</v>
      </c>
      <c r="C367" s="10" t="s">
        <v>1570</v>
      </c>
      <c r="D367" s="10" t="s">
        <v>1193</v>
      </c>
      <c r="E367" s="10" t="s">
        <v>1203</v>
      </c>
      <c r="F367" s="10" t="s">
        <v>794</v>
      </c>
      <c r="G367" s="10" t="s">
        <v>1019</v>
      </c>
      <c r="H367" s="10" t="s">
        <v>802</v>
      </c>
      <c r="I367" s="10" t="s">
        <v>794</v>
      </c>
      <c r="J367" s="10" t="s">
        <v>1004</v>
      </c>
    </row>
    <row r="368" spans="1:10" ht="15" hidden="1" customHeight="1">
      <c r="A368" s="9">
        <v>364</v>
      </c>
      <c r="B368" s="10" t="s">
        <v>1571</v>
      </c>
      <c r="C368" s="10" t="s">
        <v>1572</v>
      </c>
      <c r="D368" s="10" t="s">
        <v>1193</v>
      </c>
      <c r="E368" s="10" t="s">
        <v>1203</v>
      </c>
      <c r="F368" s="10" t="s">
        <v>794</v>
      </c>
      <c r="G368" s="10" t="s">
        <v>1019</v>
      </c>
      <c r="H368" s="10" t="s">
        <v>802</v>
      </c>
      <c r="I368" s="10" t="s">
        <v>794</v>
      </c>
      <c r="J368" s="10" t="s">
        <v>1004</v>
      </c>
    </row>
    <row r="369" spans="1:10" ht="15" hidden="1" customHeight="1">
      <c r="A369" s="9">
        <v>365</v>
      </c>
      <c r="B369" s="10" t="s">
        <v>1573</v>
      </c>
      <c r="C369" s="10" t="s">
        <v>1574</v>
      </c>
      <c r="D369" s="10" t="s">
        <v>1193</v>
      </c>
      <c r="E369" s="10" t="s">
        <v>1203</v>
      </c>
      <c r="F369" s="10" t="s">
        <v>794</v>
      </c>
      <c r="G369" s="10" t="s">
        <v>1019</v>
      </c>
      <c r="H369" s="10" t="s">
        <v>802</v>
      </c>
      <c r="I369" s="10" t="s">
        <v>794</v>
      </c>
      <c r="J369" s="10" t="s">
        <v>1004</v>
      </c>
    </row>
    <row r="370" spans="1:10" ht="15" hidden="1" customHeight="1">
      <c r="A370" s="9">
        <v>366</v>
      </c>
      <c r="B370" s="10" t="s">
        <v>1575</v>
      </c>
      <c r="C370" s="10" t="s">
        <v>1576</v>
      </c>
      <c r="D370" s="10" t="s">
        <v>1193</v>
      </c>
      <c r="E370" s="10" t="s">
        <v>1203</v>
      </c>
      <c r="F370" s="10" t="s">
        <v>794</v>
      </c>
      <c r="G370" s="10" t="s">
        <v>1577</v>
      </c>
      <c r="H370" s="10" t="s">
        <v>802</v>
      </c>
      <c r="I370" s="10" t="s">
        <v>794</v>
      </c>
      <c r="J370" s="10" t="s">
        <v>1004</v>
      </c>
    </row>
    <row r="371" spans="1:10" ht="15" hidden="1" customHeight="1">
      <c r="A371" s="9">
        <v>367</v>
      </c>
      <c r="B371" s="10" t="s">
        <v>1578</v>
      </c>
      <c r="C371" s="10" t="s">
        <v>1579</v>
      </c>
      <c r="D371" s="10" t="s">
        <v>1193</v>
      </c>
      <c r="E371" s="10" t="s">
        <v>1203</v>
      </c>
      <c r="F371" s="10" t="s">
        <v>794</v>
      </c>
      <c r="G371" s="10" t="s">
        <v>1577</v>
      </c>
      <c r="H371" s="10" t="s">
        <v>802</v>
      </c>
      <c r="I371" s="10" t="s">
        <v>794</v>
      </c>
      <c r="J371" s="10" t="s">
        <v>1004</v>
      </c>
    </row>
    <row r="372" spans="1:10" ht="15" hidden="1" customHeight="1">
      <c r="A372" s="9">
        <v>368</v>
      </c>
      <c r="B372" s="10" t="s">
        <v>1580</v>
      </c>
      <c r="C372" s="10" t="s">
        <v>1581</v>
      </c>
      <c r="D372" s="10" t="s">
        <v>1193</v>
      </c>
      <c r="E372" s="10" t="s">
        <v>1203</v>
      </c>
      <c r="F372" s="10" t="s">
        <v>794</v>
      </c>
      <c r="G372" s="10" t="s">
        <v>1577</v>
      </c>
      <c r="H372" s="10" t="s">
        <v>802</v>
      </c>
      <c r="I372" s="10" t="s">
        <v>794</v>
      </c>
      <c r="J372" s="10" t="s">
        <v>1004</v>
      </c>
    </row>
    <row r="373" spans="1:10" ht="15" hidden="1" customHeight="1">
      <c r="A373" s="9">
        <v>369</v>
      </c>
      <c r="B373" s="10" t="s">
        <v>1582</v>
      </c>
      <c r="C373" s="10" t="s">
        <v>1583</v>
      </c>
      <c r="D373" s="10" t="s">
        <v>1193</v>
      </c>
      <c r="E373" s="10" t="s">
        <v>1203</v>
      </c>
      <c r="F373" s="10" t="s">
        <v>794</v>
      </c>
      <c r="G373" s="10" t="s">
        <v>1577</v>
      </c>
      <c r="H373" s="10" t="s">
        <v>802</v>
      </c>
      <c r="I373" s="10" t="s">
        <v>794</v>
      </c>
      <c r="J373" s="10" t="s">
        <v>1004</v>
      </c>
    </row>
    <row r="374" spans="1:10" ht="15" hidden="1" customHeight="1">
      <c r="A374" s="9">
        <v>370</v>
      </c>
      <c r="B374" s="10" t="s">
        <v>1584</v>
      </c>
      <c r="C374" s="10" t="s">
        <v>1585</v>
      </c>
      <c r="D374" s="10" t="s">
        <v>1193</v>
      </c>
      <c r="E374" s="10" t="s">
        <v>1203</v>
      </c>
      <c r="F374" s="10" t="s">
        <v>794</v>
      </c>
      <c r="G374" s="10" t="s">
        <v>1577</v>
      </c>
      <c r="H374" s="10" t="s">
        <v>802</v>
      </c>
      <c r="I374" s="10" t="s">
        <v>794</v>
      </c>
      <c r="J374" s="10" t="s">
        <v>803</v>
      </c>
    </row>
    <row r="375" spans="1:10" ht="15" hidden="1" customHeight="1">
      <c r="A375" s="9">
        <v>371</v>
      </c>
      <c r="B375" s="10" t="s">
        <v>1586</v>
      </c>
      <c r="C375" s="10" t="s">
        <v>1587</v>
      </c>
      <c r="D375" s="10" t="s">
        <v>1193</v>
      </c>
      <c r="E375" s="10" t="s">
        <v>1203</v>
      </c>
      <c r="F375" s="10" t="s">
        <v>794</v>
      </c>
      <c r="G375" s="10" t="s">
        <v>1577</v>
      </c>
      <c r="H375" s="10" t="s">
        <v>802</v>
      </c>
      <c r="I375" s="10" t="s">
        <v>794</v>
      </c>
      <c r="J375" s="10" t="s">
        <v>803</v>
      </c>
    </row>
    <row r="376" spans="1:10" ht="15" hidden="1" customHeight="1">
      <c r="A376" s="9">
        <v>372</v>
      </c>
      <c r="B376" s="10" t="s">
        <v>1588</v>
      </c>
      <c r="C376" s="10" t="s">
        <v>1589</v>
      </c>
      <c r="D376" s="10" t="s">
        <v>1193</v>
      </c>
      <c r="E376" s="10" t="s">
        <v>1203</v>
      </c>
      <c r="F376" s="10" t="s">
        <v>794</v>
      </c>
      <c r="G376" s="10" t="s">
        <v>1577</v>
      </c>
      <c r="H376" s="10" t="s">
        <v>802</v>
      </c>
      <c r="I376" s="10" t="s">
        <v>794</v>
      </c>
      <c r="J376" s="10" t="s">
        <v>1004</v>
      </c>
    </row>
    <row r="377" spans="1:10" ht="15" hidden="1" customHeight="1">
      <c r="A377" s="9">
        <v>373</v>
      </c>
      <c r="B377" s="10" t="s">
        <v>1590</v>
      </c>
      <c r="C377" s="10" t="s">
        <v>1591</v>
      </c>
      <c r="D377" s="10" t="s">
        <v>1193</v>
      </c>
      <c r="E377" s="10" t="s">
        <v>1203</v>
      </c>
      <c r="F377" s="10" t="s">
        <v>794</v>
      </c>
      <c r="G377" s="10" t="s">
        <v>1577</v>
      </c>
      <c r="H377" s="10" t="s">
        <v>802</v>
      </c>
      <c r="I377" s="10" t="s">
        <v>794</v>
      </c>
      <c r="J377" s="10" t="s">
        <v>1004</v>
      </c>
    </row>
    <row r="378" spans="1:10" ht="15" hidden="1" customHeight="1">
      <c r="A378" s="9">
        <v>374</v>
      </c>
      <c r="B378" s="10" t="s">
        <v>1592</v>
      </c>
      <c r="C378" s="10" t="s">
        <v>1593</v>
      </c>
      <c r="D378" s="10" t="s">
        <v>1193</v>
      </c>
      <c r="E378" s="10" t="s">
        <v>1203</v>
      </c>
      <c r="F378" s="10" t="s">
        <v>794</v>
      </c>
      <c r="G378" s="10" t="s">
        <v>1577</v>
      </c>
      <c r="H378" s="10" t="s">
        <v>802</v>
      </c>
      <c r="I378" s="10" t="s">
        <v>794</v>
      </c>
      <c r="J378" s="10" t="s">
        <v>1004</v>
      </c>
    </row>
    <row r="379" spans="1:10" ht="15" hidden="1" customHeight="1">
      <c r="A379" s="9">
        <v>375</v>
      </c>
      <c r="B379" s="10" t="s">
        <v>1594</v>
      </c>
      <c r="C379" s="10" t="s">
        <v>1595</v>
      </c>
      <c r="D379" s="10" t="s">
        <v>1193</v>
      </c>
      <c r="E379" s="10" t="s">
        <v>1203</v>
      </c>
      <c r="F379" s="10" t="s">
        <v>794</v>
      </c>
      <c r="G379" s="10" t="s">
        <v>1577</v>
      </c>
      <c r="H379" s="10" t="s">
        <v>802</v>
      </c>
      <c r="I379" s="10" t="s">
        <v>794</v>
      </c>
      <c r="J379" s="10" t="s">
        <v>1004</v>
      </c>
    </row>
    <row r="380" spans="1:10" ht="15" hidden="1" customHeight="1">
      <c r="A380" s="9">
        <v>376</v>
      </c>
      <c r="B380" s="10" t="s">
        <v>1596</v>
      </c>
      <c r="C380" s="10" t="s">
        <v>1597</v>
      </c>
      <c r="D380" s="10" t="s">
        <v>1193</v>
      </c>
      <c r="E380" s="10" t="s">
        <v>1203</v>
      </c>
      <c r="F380" s="10" t="s">
        <v>794</v>
      </c>
      <c r="G380" s="10" t="s">
        <v>1577</v>
      </c>
      <c r="H380" s="10" t="s">
        <v>802</v>
      </c>
      <c r="I380" s="10" t="s">
        <v>794</v>
      </c>
      <c r="J380" s="10" t="s">
        <v>1004</v>
      </c>
    </row>
    <row r="381" spans="1:10" ht="15" hidden="1" customHeight="1">
      <c r="A381" s="9">
        <v>377</v>
      </c>
      <c r="B381" s="10" t="s">
        <v>1598</v>
      </c>
      <c r="C381" s="10" t="s">
        <v>1599</v>
      </c>
      <c r="D381" s="10" t="s">
        <v>1193</v>
      </c>
      <c r="E381" s="10" t="s">
        <v>1203</v>
      </c>
      <c r="F381" s="10" t="s">
        <v>794</v>
      </c>
      <c r="G381" s="10" t="s">
        <v>1577</v>
      </c>
      <c r="H381" s="10" t="s">
        <v>802</v>
      </c>
      <c r="I381" s="10" t="s">
        <v>794</v>
      </c>
      <c r="J381" s="10" t="s">
        <v>1004</v>
      </c>
    </row>
    <row r="382" spans="1:10" ht="15" hidden="1" customHeight="1">
      <c r="A382" s="9">
        <v>378</v>
      </c>
      <c r="B382" s="10" t="s">
        <v>1600</v>
      </c>
      <c r="C382" s="10" t="s">
        <v>1601</v>
      </c>
      <c r="D382" s="10" t="s">
        <v>1193</v>
      </c>
      <c r="E382" s="10" t="s">
        <v>1203</v>
      </c>
      <c r="F382" s="10" t="s">
        <v>794</v>
      </c>
      <c r="G382" s="10" t="s">
        <v>1602</v>
      </c>
      <c r="H382" s="10" t="s">
        <v>802</v>
      </c>
      <c r="I382" s="10" t="s">
        <v>794</v>
      </c>
      <c r="J382" s="10" t="s">
        <v>1603</v>
      </c>
    </row>
    <row r="383" spans="1:10" ht="15" hidden="1" customHeight="1">
      <c r="A383" s="9">
        <v>379</v>
      </c>
      <c r="B383" s="10" t="s">
        <v>1604</v>
      </c>
      <c r="C383" s="10" t="s">
        <v>1605</v>
      </c>
      <c r="D383" s="10" t="s">
        <v>1193</v>
      </c>
      <c r="E383" s="10" t="s">
        <v>1203</v>
      </c>
      <c r="F383" s="10" t="s">
        <v>794</v>
      </c>
      <c r="G383" s="10" t="s">
        <v>1602</v>
      </c>
      <c r="H383" s="10" t="s">
        <v>802</v>
      </c>
      <c r="I383" s="10" t="s">
        <v>794</v>
      </c>
      <c r="J383" s="10" t="s">
        <v>1603</v>
      </c>
    </row>
    <row r="384" spans="1:10" ht="15" hidden="1" customHeight="1">
      <c r="A384" s="9">
        <v>380</v>
      </c>
      <c r="B384" s="10" t="s">
        <v>1606</v>
      </c>
      <c r="C384" s="10" t="s">
        <v>1607</v>
      </c>
      <c r="D384" s="10" t="s">
        <v>1193</v>
      </c>
      <c r="E384" s="10" t="s">
        <v>1203</v>
      </c>
      <c r="F384" s="10" t="s">
        <v>794</v>
      </c>
      <c r="G384" s="10" t="s">
        <v>1602</v>
      </c>
      <c r="H384" s="10" t="s">
        <v>802</v>
      </c>
      <c r="I384" s="10" t="s">
        <v>794</v>
      </c>
      <c r="J384" s="10" t="s">
        <v>1608</v>
      </c>
    </row>
    <row r="385" spans="1:10" ht="15" hidden="1" customHeight="1">
      <c r="A385" s="9">
        <v>381</v>
      </c>
      <c r="B385" s="10" t="s">
        <v>1609</v>
      </c>
      <c r="C385" s="10" t="s">
        <v>1610</v>
      </c>
      <c r="D385" s="10" t="s">
        <v>1193</v>
      </c>
      <c r="E385" s="10" t="s">
        <v>1203</v>
      </c>
      <c r="F385" s="10" t="s">
        <v>794</v>
      </c>
      <c r="G385" s="10" t="s">
        <v>1577</v>
      </c>
      <c r="H385" s="10" t="s">
        <v>802</v>
      </c>
      <c r="I385" s="10" t="s">
        <v>794</v>
      </c>
      <c r="J385" s="10" t="s">
        <v>1004</v>
      </c>
    </row>
    <row r="386" spans="1:10" ht="15" hidden="1" customHeight="1">
      <c r="A386" s="9">
        <v>382</v>
      </c>
      <c r="B386" s="10" t="s">
        <v>1611</v>
      </c>
      <c r="C386" s="10" t="s">
        <v>1612</v>
      </c>
      <c r="D386" s="10" t="s">
        <v>1193</v>
      </c>
      <c r="E386" s="10" t="s">
        <v>1203</v>
      </c>
      <c r="F386" s="10" t="s">
        <v>794</v>
      </c>
      <c r="G386" s="10" t="s">
        <v>1613</v>
      </c>
      <c r="H386" s="10" t="s">
        <v>802</v>
      </c>
      <c r="I386" s="10" t="s">
        <v>794</v>
      </c>
      <c r="J386" s="10" t="s">
        <v>1004</v>
      </c>
    </row>
    <row r="387" spans="1:10" ht="15" hidden="1" customHeight="1">
      <c r="A387" s="9">
        <v>383</v>
      </c>
      <c r="B387" s="10" t="s">
        <v>1614</v>
      </c>
      <c r="C387" s="10" t="s">
        <v>1615</v>
      </c>
      <c r="D387" s="10" t="s">
        <v>1193</v>
      </c>
      <c r="E387" s="10" t="s">
        <v>1203</v>
      </c>
      <c r="F387" s="10" t="s">
        <v>794</v>
      </c>
      <c r="G387" s="10" t="s">
        <v>1577</v>
      </c>
      <c r="H387" s="10" t="s">
        <v>802</v>
      </c>
      <c r="I387" s="10" t="s">
        <v>794</v>
      </c>
      <c r="J387" s="10" t="s">
        <v>1004</v>
      </c>
    </row>
    <row r="388" spans="1:10" ht="15" hidden="1" customHeight="1">
      <c r="A388" s="9">
        <v>384</v>
      </c>
      <c r="B388" s="10" t="s">
        <v>1616</v>
      </c>
      <c r="C388" s="10" t="s">
        <v>1617</v>
      </c>
      <c r="D388" s="10" t="s">
        <v>1193</v>
      </c>
      <c r="E388" s="10" t="s">
        <v>1203</v>
      </c>
      <c r="F388" s="10" t="s">
        <v>794</v>
      </c>
      <c r="G388" s="10" t="s">
        <v>1577</v>
      </c>
      <c r="H388" s="10" t="s">
        <v>802</v>
      </c>
      <c r="I388" s="10" t="s">
        <v>794</v>
      </c>
      <c r="J388" s="10" t="s">
        <v>1004</v>
      </c>
    </row>
    <row r="389" spans="1:10" ht="15" hidden="1" customHeight="1">
      <c r="A389" s="9">
        <v>385</v>
      </c>
      <c r="B389" s="10" t="s">
        <v>1618</v>
      </c>
      <c r="C389" s="10" t="s">
        <v>1619</v>
      </c>
      <c r="D389" s="10" t="s">
        <v>1193</v>
      </c>
      <c r="E389" s="10" t="s">
        <v>1203</v>
      </c>
      <c r="F389" s="10" t="s">
        <v>794</v>
      </c>
      <c r="G389" s="10" t="s">
        <v>1577</v>
      </c>
      <c r="H389" s="10" t="s">
        <v>802</v>
      </c>
      <c r="I389" s="10" t="s">
        <v>794</v>
      </c>
      <c r="J389" s="10" t="s">
        <v>1004</v>
      </c>
    </row>
    <row r="390" spans="1:10" ht="15" hidden="1" customHeight="1">
      <c r="A390" s="9">
        <v>386</v>
      </c>
      <c r="B390" s="10" t="s">
        <v>1620</v>
      </c>
      <c r="C390" s="10" t="s">
        <v>1621</v>
      </c>
      <c r="D390" s="10" t="s">
        <v>1193</v>
      </c>
      <c r="E390" s="10" t="s">
        <v>1203</v>
      </c>
      <c r="F390" s="10" t="s">
        <v>794</v>
      </c>
      <c r="G390" s="10" t="s">
        <v>1577</v>
      </c>
      <c r="H390" s="10" t="s">
        <v>802</v>
      </c>
      <c r="I390" s="10" t="s">
        <v>794</v>
      </c>
      <c r="J390" s="10" t="s">
        <v>1004</v>
      </c>
    </row>
    <row r="391" spans="1:10" ht="15" hidden="1" customHeight="1">
      <c r="A391" s="9">
        <v>387</v>
      </c>
      <c r="B391" s="10" t="s">
        <v>1622</v>
      </c>
      <c r="C391" s="10" t="s">
        <v>1623</v>
      </c>
      <c r="D391" s="10" t="s">
        <v>1193</v>
      </c>
      <c r="E391" s="10" t="s">
        <v>1203</v>
      </c>
      <c r="F391" s="10" t="s">
        <v>794</v>
      </c>
      <c r="G391" s="10" t="s">
        <v>1577</v>
      </c>
      <c r="H391" s="10" t="s">
        <v>802</v>
      </c>
      <c r="I391" s="10" t="s">
        <v>794</v>
      </c>
      <c r="J391" s="10" t="s">
        <v>1004</v>
      </c>
    </row>
    <row r="392" spans="1:10" ht="15" hidden="1" customHeight="1">
      <c r="A392" s="9">
        <v>388</v>
      </c>
      <c r="B392" s="10" t="s">
        <v>1624</v>
      </c>
      <c r="C392" s="10" t="s">
        <v>1625</v>
      </c>
      <c r="D392" s="10" t="s">
        <v>1193</v>
      </c>
      <c r="E392" s="10" t="s">
        <v>1203</v>
      </c>
      <c r="F392" s="10" t="s">
        <v>794</v>
      </c>
      <c r="G392" s="10" t="s">
        <v>1577</v>
      </c>
      <c r="H392" s="10" t="s">
        <v>802</v>
      </c>
      <c r="I392" s="10" t="s">
        <v>794</v>
      </c>
      <c r="J392" s="10" t="s">
        <v>1004</v>
      </c>
    </row>
    <row r="393" spans="1:10" ht="15" hidden="1" customHeight="1">
      <c r="A393" s="9">
        <v>389</v>
      </c>
      <c r="B393" s="10" t="s">
        <v>1626</v>
      </c>
      <c r="C393" s="10" t="s">
        <v>1627</v>
      </c>
      <c r="D393" s="10" t="s">
        <v>1193</v>
      </c>
      <c r="E393" s="10" t="s">
        <v>1203</v>
      </c>
      <c r="F393" s="10" t="s">
        <v>794</v>
      </c>
      <c r="G393" s="10" t="s">
        <v>1628</v>
      </c>
      <c r="H393" s="10" t="s">
        <v>802</v>
      </c>
      <c r="I393" s="10" t="s">
        <v>794</v>
      </c>
      <c r="J393" s="10" t="s">
        <v>1004</v>
      </c>
    </row>
    <row r="394" spans="1:10" ht="15" hidden="1" customHeight="1">
      <c r="A394" s="9">
        <v>390</v>
      </c>
      <c r="B394" s="10" t="s">
        <v>1629</v>
      </c>
      <c r="C394" s="10" t="s">
        <v>1630</v>
      </c>
      <c r="D394" s="10" t="s">
        <v>1193</v>
      </c>
      <c r="E394" s="10" t="s">
        <v>1203</v>
      </c>
      <c r="F394" s="10" t="s">
        <v>794</v>
      </c>
      <c r="G394" s="10" t="s">
        <v>1577</v>
      </c>
      <c r="H394" s="10" t="s">
        <v>802</v>
      </c>
      <c r="I394" s="10" t="s">
        <v>794</v>
      </c>
      <c r="J394" s="10" t="s">
        <v>1004</v>
      </c>
    </row>
    <row r="395" spans="1:10" ht="15" hidden="1" customHeight="1">
      <c r="A395" s="9">
        <v>391</v>
      </c>
      <c r="B395" s="10" t="s">
        <v>1631</v>
      </c>
      <c r="C395" s="10" t="s">
        <v>1632</v>
      </c>
      <c r="D395" s="10" t="s">
        <v>1193</v>
      </c>
      <c r="E395" s="10" t="s">
        <v>1203</v>
      </c>
      <c r="F395" s="10" t="s">
        <v>794</v>
      </c>
      <c r="G395" s="10" t="s">
        <v>1577</v>
      </c>
      <c r="H395" s="10" t="s">
        <v>802</v>
      </c>
      <c r="I395" s="10" t="s">
        <v>794</v>
      </c>
      <c r="J395" s="10" t="s">
        <v>1004</v>
      </c>
    </row>
    <row r="396" spans="1:10" ht="15" hidden="1" customHeight="1">
      <c r="A396" s="9">
        <v>392</v>
      </c>
      <c r="B396" s="10" t="s">
        <v>1633</v>
      </c>
      <c r="C396" s="10" t="s">
        <v>1634</v>
      </c>
      <c r="D396" s="10" t="s">
        <v>1193</v>
      </c>
      <c r="E396" s="10" t="s">
        <v>1203</v>
      </c>
      <c r="F396" s="10" t="s">
        <v>794</v>
      </c>
      <c r="G396" s="10" t="s">
        <v>1577</v>
      </c>
      <c r="H396" s="10" t="s">
        <v>802</v>
      </c>
      <c r="I396" s="10" t="s">
        <v>794</v>
      </c>
      <c r="J396" s="10" t="s">
        <v>1004</v>
      </c>
    </row>
    <row r="397" spans="1:10" ht="15" hidden="1" customHeight="1">
      <c r="A397" s="9">
        <v>393</v>
      </c>
      <c r="B397" s="10" t="s">
        <v>1635</v>
      </c>
      <c r="C397" s="10" t="s">
        <v>1636</v>
      </c>
      <c r="D397" s="10" t="s">
        <v>1193</v>
      </c>
      <c r="E397" s="10" t="s">
        <v>1203</v>
      </c>
      <c r="F397" s="10" t="s">
        <v>794</v>
      </c>
      <c r="G397" s="10" t="s">
        <v>1577</v>
      </c>
      <c r="H397" s="10" t="s">
        <v>802</v>
      </c>
      <c r="I397" s="10" t="s">
        <v>794</v>
      </c>
      <c r="J397" s="10" t="s">
        <v>1004</v>
      </c>
    </row>
    <row r="398" spans="1:10" ht="15" hidden="1" customHeight="1">
      <c r="A398" s="9">
        <v>394</v>
      </c>
      <c r="B398" s="10" t="s">
        <v>1637</v>
      </c>
      <c r="C398" s="10" t="s">
        <v>1638</v>
      </c>
      <c r="D398" s="10" t="s">
        <v>1193</v>
      </c>
      <c r="E398" s="10" t="s">
        <v>1203</v>
      </c>
      <c r="F398" s="10" t="s">
        <v>794</v>
      </c>
      <c r="G398" s="10" t="s">
        <v>1577</v>
      </c>
      <c r="H398" s="10" t="s">
        <v>802</v>
      </c>
      <c r="I398" s="10" t="s">
        <v>794</v>
      </c>
      <c r="J398" s="10" t="s">
        <v>1004</v>
      </c>
    </row>
    <row r="399" spans="1:10" ht="15" hidden="1" customHeight="1">
      <c r="A399" s="9">
        <v>395</v>
      </c>
      <c r="B399" s="10" t="s">
        <v>1639</v>
      </c>
      <c r="C399" s="10" t="s">
        <v>1640</v>
      </c>
      <c r="D399" s="10" t="s">
        <v>1193</v>
      </c>
      <c r="E399" s="10" t="s">
        <v>1203</v>
      </c>
      <c r="F399" s="10" t="s">
        <v>794</v>
      </c>
      <c r="G399" s="10" t="s">
        <v>1577</v>
      </c>
      <c r="H399" s="10" t="s">
        <v>802</v>
      </c>
      <c r="I399" s="10" t="s">
        <v>794</v>
      </c>
      <c r="J399" s="10" t="s">
        <v>1004</v>
      </c>
    </row>
    <row r="400" spans="1:10" ht="15" hidden="1" customHeight="1">
      <c r="A400" s="9">
        <v>396</v>
      </c>
      <c r="B400" s="10" t="s">
        <v>1641</v>
      </c>
      <c r="C400" s="10" t="s">
        <v>1642</v>
      </c>
      <c r="D400" s="10" t="s">
        <v>1193</v>
      </c>
      <c r="E400" s="10" t="s">
        <v>1203</v>
      </c>
      <c r="F400" s="10" t="s">
        <v>794</v>
      </c>
      <c r="G400" s="10" t="s">
        <v>1577</v>
      </c>
      <c r="H400" s="10" t="s">
        <v>802</v>
      </c>
      <c r="I400" s="10" t="s">
        <v>794</v>
      </c>
      <c r="J400" s="10" t="s">
        <v>1004</v>
      </c>
    </row>
    <row r="401" spans="1:10" ht="15" hidden="1" customHeight="1">
      <c r="A401" s="9">
        <v>397</v>
      </c>
      <c r="B401" s="10" t="s">
        <v>1643</v>
      </c>
      <c r="C401" s="10" t="s">
        <v>1644</v>
      </c>
      <c r="D401" s="10" t="s">
        <v>1193</v>
      </c>
      <c r="E401" s="10" t="s">
        <v>1203</v>
      </c>
      <c r="F401" s="10" t="s">
        <v>794</v>
      </c>
      <c r="G401" s="10" t="s">
        <v>1577</v>
      </c>
      <c r="H401" s="10" t="s">
        <v>802</v>
      </c>
      <c r="I401" s="10" t="s">
        <v>794</v>
      </c>
      <c r="J401" s="10" t="s">
        <v>1004</v>
      </c>
    </row>
    <row r="402" spans="1:10" ht="15" hidden="1" customHeight="1">
      <c r="A402" s="9">
        <v>398</v>
      </c>
      <c r="B402" s="10" t="s">
        <v>1645</v>
      </c>
      <c r="C402" s="10" t="s">
        <v>1646</v>
      </c>
      <c r="D402" s="10" t="s">
        <v>1193</v>
      </c>
      <c r="E402" s="10" t="s">
        <v>1203</v>
      </c>
      <c r="F402" s="10" t="s">
        <v>794</v>
      </c>
      <c r="G402" s="10" t="s">
        <v>1577</v>
      </c>
      <c r="H402" s="10" t="s">
        <v>802</v>
      </c>
      <c r="I402" s="10" t="s">
        <v>794</v>
      </c>
      <c r="J402" s="10" t="s">
        <v>1004</v>
      </c>
    </row>
    <row r="403" spans="1:10" ht="15" hidden="1" customHeight="1">
      <c r="A403" s="9">
        <v>399</v>
      </c>
      <c r="B403" s="10" t="s">
        <v>1647</v>
      </c>
      <c r="C403" s="10" t="s">
        <v>1648</v>
      </c>
      <c r="D403" s="10" t="s">
        <v>1193</v>
      </c>
      <c r="E403" s="10" t="s">
        <v>1203</v>
      </c>
      <c r="F403" s="10" t="s">
        <v>794</v>
      </c>
      <c r="G403" s="10" t="s">
        <v>1577</v>
      </c>
      <c r="H403" s="10" t="s">
        <v>802</v>
      </c>
      <c r="I403" s="10" t="s">
        <v>794</v>
      </c>
      <c r="J403" s="10" t="s">
        <v>1004</v>
      </c>
    </row>
    <row r="404" spans="1:10" ht="15" hidden="1" customHeight="1">
      <c r="A404" s="9">
        <v>400</v>
      </c>
      <c r="B404" s="10" t="s">
        <v>1649</v>
      </c>
      <c r="C404" s="10" t="s">
        <v>1650</v>
      </c>
      <c r="D404" s="10" t="s">
        <v>1193</v>
      </c>
      <c r="E404" s="10" t="s">
        <v>1203</v>
      </c>
      <c r="F404" s="10" t="s">
        <v>794</v>
      </c>
      <c r="G404" s="10" t="s">
        <v>1577</v>
      </c>
      <c r="H404" s="10" t="s">
        <v>802</v>
      </c>
      <c r="I404" s="10" t="s">
        <v>794</v>
      </c>
      <c r="J404" s="10" t="s">
        <v>1004</v>
      </c>
    </row>
    <row r="405" spans="1:10" ht="15" hidden="1" customHeight="1">
      <c r="A405" s="9">
        <v>401</v>
      </c>
      <c r="B405" s="10" t="s">
        <v>1651</v>
      </c>
      <c r="C405" s="10" t="s">
        <v>1652</v>
      </c>
      <c r="D405" s="10" t="s">
        <v>1193</v>
      </c>
      <c r="E405" s="10" t="s">
        <v>1203</v>
      </c>
      <c r="F405" s="10" t="s">
        <v>794</v>
      </c>
      <c r="G405" s="10" t="s">
        <v>1577</v>
      </c>
      <c r="H405" s="10" t="s">
        <v>802</v>
      </c>
      <c r="I405" s="10" t="s">
        <v>794</v>
      </c>
      <c r="J405" s="10" t="s">
        <v>1004</v>
      </c>
    </row>
    <row r="406" spans="1:10" ht="15" hidden="1" customHeight="1">
      <c r="A406" s="9">
        <v>402</v>
      </c>
      <c r="B406" s="10" t="s">
        <v>1653</v>
      </c>
      <c r="C406" s="10" t="s">
        <v>1654</v>
      </c>
      <c r="D406" s="10" t="s">
        <v>1193</v>
      </c>
      <c r="E406" s="10" t="s">
        <v>1203</v>
      </c>
      <c r="F406" s="10" t="s">
        <v>794</v>
      </c>
      <c r="G406" s="10" t="s">
        <v>1577</v>
      </c>
      <c r="H406" s="10" t="s">
        <v>802</v>
      </c>
      <c r="I406" s="10" t="s">
        <v>794</v>
      </c>
      <c r="J406" s="10" t="s">
        <v>1004</v>
      </c>
    </row>
    <row r="407" spans="1:10" ht="15" hidden="1" customHeight="1">
      <c r="A407" s="9">
        <v>403</v>
      </c>
      <c r="B407" s="10" t="s">
        <v>1655</v>
      </c>
      <c r="C407" s="10" t="s">
        <v>1656</v>
      </c>
      <c r="D407" s="10" t="s">
        <v>1193</v>
      </c>
      <c r="E407" s="10" t="s">
        <v>1203</v>
      </c>
      <c r="F407" s="10" t="s">
        <v>794</v>
      </c>
      <c r="G407" s="10" t="s">
        <v>1577</v>
      </c>
      <c r="H407" s="10" t="s">
        <v>802</v>
      </c>
      <c r="I407" s="10" t="s">
        <v>794</v>
      </c>
      <c r="J407" s="10" t="s">
        <v>1004</v>
      </c>
    </row>
    <row r="408" spans="1:10" ht="15" hidden="1" customHeight="1">
      <c r="A408" s="9">
        <v>404</v>
      </c>
      <c r="B408" s="10" t="s">
        <v>1657</v>
      </c>
      <c r="C408" s="10" t="s">
        <v>1658</v>
      </c>
      <c r="D408" s="10" t="s">
        <v>1193</v>
      </c>
      <c r="E408" s="10" t="s">
        <v>1215</v>
      </c>
      <c r="F408" s="10" t="s">
        <v>794</v>
      </c>
      <c r="G408" s="10" t="s">
        <v>1659</v>
      </c>
      <c r="H408" s="10" t="s">
        <v>802</v>
      </c>
      <c r="I408" s="10" t="s">
        <v>794</v>
      </c>
      <c r="J408" s="10" t="s">
        <v>795</v>
      </c>
    </row>
    <row r="409" spans="1:10" ht="15" hidden="1" customHeight="1">
      <c r="A409" s="9">
        <v>405</v>
      </c>
      <c r="B409" s="10" t="s">
        <v>1660</v>
      </c>
      <c r="C409" s="10" t="s">
        <v>1661</v>
      </c>
      <c r="D409" s="10" t="s">
        <v>1193</v>
      </c>
      <c r="E409" s="10" t="s">
        <v>1215</v>
      </c>
      <c r="F409" s="10" t="s">
        <v>794</v>
      </c>
      <c r="G409" s="10" t="s">
        <v>1659</v>
      </c>
      <c r="H409" s="10" t="s">
        <v>802</v>
      </c>
      <c r="I409" s="10" t="s">
        <v>794</v>
      </c>
      <c r="J409" s="10" t="s">
        <v>795</v>
      </c>
    </row>
    <row r="410" spans="1:10" ht="15" hidden="1" customHeight="1">
      <c r="A410" s="9">
        <v>406</v>
      </c>
      <c r="B410" s="10" t="s">
        <v>1662</v>
      </c>
      <c r="C410" s="10" t="s">
        <v>1663</v>
      </c>
      <c r="D410" s="10" t="s">
        <v>1193</v>
      </c>
      <c r="E410" s="10" t="s">
        <v>1215</v>
      </c>
      <c r="F410" s="10" t="s">
        <v>794</v>
      </c>
      <c r="G410" s="10" t="s">
        <v>1659</v>
      </c>
      <c r="H410" s="10" t="s">
        <v>802</v>
      </c>
      <c r="I410" s="10" t="s">
        <v>794</v>
      </c>
      <c r="J410" s="10" t="s">
        <v>795</v>
      </c>
    </row>
    <row r="411" spans="1:10" ht="15" hidden="1" customHeight="1">
      <c r="A411" s="9">
        <v>407</v>
      </c>
      <c r="B411" s="10" t="s">
        <v>1664</v>
      </c>
      <c r="C411" s="10" t="s">
        <v>1665</v>
      </c>
      <c r="D411" s="10" t="s">
        <v>1193</v>
      </c>
      <c r="E411" s="10" t="s">
        <v>1215</v>
      </c>
      <c r="F411" s="10" t="s">
        <v>794</v>
      </c>
      <c r="G411" s="10" t="s">
        <v>1659</v>
      </c>
      <c r="H411" s="10" t="s">
        <v>802</v>
      </c>
      <c r="I411" s="10" t="s">
        <v>794</v>
      </c>
      <c r="J411" s="10" t="s">
        <v>795</v>
      </c>
    </row>
    <row r="412" spans="1:10" ht="15" hidden="1" customHeight="1">
      <c r="A412" s="9">
        <v>408</v>
      </c>
      <c r="B412" s="10" t="s">
        <v>1666</v>
      </c>
      <c r="C412" s="10" t="s">
        <v>1667</v>
      </c>
      <c r="D412" s="10" t="s">
        <v>1193</v>
      </c>
      <c r="E412" s="10" t="s">
        <v>1215</v>
      </c>
      <c r="F412" s="10" t="s">
        <v>794</v>
      </c>
      <c r="G412" s="10" t="s">
        <v>1659</v>
      </c>
      <c r="H412" s="10" t="s">
        <v>802</v>
      </c>
      <c r="I412" s="10" t="s">
        <v>794</v>
      </c>
      <c r="J412" s="10" t="s">
        <v>795</v>
      </c>
    </row>
    <row r="413" spans="1:10" ht="15" hidden="1" customHeight="1">
      <c r="A413" s="9">
        <v>409</v>
      </c>
      <c r="B413" s="10" t="s">
        <v>1668</v>
      </c>
      <c r="C413" s="10" t="s">
        <v>1669</v>
      </c>
      <c r="D413" s="10" t="s">
        <v>1193</v>
      </c>
      <c r="E413" s="10" t="s">
        <v>1217</v>
      </c>
      <c r="F413" s="10" t="s">
        <v>794</v>
      </c>
      <c r="G413" s="10" t="s">
        <v>1670</v>
      </c>
      <c r="H413" s="10" t="s">
        <v>802</v>
      </c>
      <c r="I413" s="10" t="s">
        <v>794</v>
      </c>
      <c r="J413" s="10" t="s">
        <v>795</v>
      </c>
    </row>
    <row r="414" spans="1:10" ht="15" hidden="1" customHeight="1">
      <c r="A414" s="9">
        <v>410</v>
      </c>
      <c r="B414" s="10" t="s">
        <v>1671</v>
      </c>
      <c r="C414" s="10" t="s">
        <v>1672</v>
      </c>
      <c r="D414" s="10" t="s">
        <v>1193</v>
      </c>
      <c r="E414" s="10" t="s">
        <v>1217</v>
      </c>
      <c r="F414" s="10" t="s">
        <v>794</v>
      </c>
      <c r="G414" s="10" t="s">
        <v>1673</v>
      </c>
      <c r="H414" s="10" t="s">
        <v>802</v>
      </c>
      <c r="I414" s="10" t="s">
        <v>794</v>
      </c>
      <c r="J414" s="10" t="s">
        <v>795</v>
      </c>
    </row>
    <row r="415" spans="1:10" ht="15" hidden="1" customHeight="1">
      <c r="A415" s="9">
        <v>411</v>
      </c>
      <c r="B415" s="10" t="s">
        <v>1674</v>
      </c>
      <c r="C415" s="10" t="s">
        <v>1675</v>
      </c>
      <c r="D415" s="10" t="s">
        <v>1193</v>
      </c>
      <c r="E415" s="10" t="s">
        <v>1217</v>
      </c>
      <c r="F415" s="10" t="s">
        <v>794</v>
      </c>
      <c r="G415" s="10" t="s">
        <v>871</v>
      </c>
      <c r="H415" s="10" t="s">
        <v>802</v>
      </c>
      <c r="I415" s="10" t="s">
        <v>794</v>
      </c>
      <c r="J415" s="10" t="s">
        <v>795</v>
      </c>
    </row>
    <row r="416" spans="1:10" ht="15" hidden="1" customHeight="1">
      <c r="A416" s="9">
        <v>412</v>
      </c>
      <c r="B416" s="10" t="s">
        <v>1676</v>
      </c>
      <c r="C416" s="10" t="s">
        <v>1677</v>
      </c>
      <c r="D416" s="10" t="s">
        <v>1193</v>
      </c>
      <c r="E416" s="10" t="s">
        <v>1217</v>
      </c>
      <c r="F416" s="10" t="s">
        <v>794</v>
      </c>
      <c r="G416" s="10" t="s">
        <v>871</v>
      </c>
      <c r="H416" s="10" t="s">
        <v>802</v>
      </c>
      <c r="I416" s="10" t="s">
        <v>794</v>
      </c>
      <c r="J416" s="10" t="s">
        <v>795</v>
      </c>
    </row>
    <row r="417" spans="1:10" ht="15" hidden="1" customHeight="1">
      <c r="A417" s="9">
        <v>413</v>
      </c>
      <c r="B417" s="10" t="s">
        <v>1678</v>
      </c>
      <c r="C417" s="10" t="s">
        <v>1679</v>
      </c>
      <c r="D417" s="10" t="s">
        <v>1193</v>
      </c>
      <c r="E417" s="10" t="s">
        <v>1217</v>
      </c>
      <c r="F417" s="10" t="s">
        <v>794</v>
      </c>
      <c r="G417" s="10" t="s">
        <v>871</v>
      </c>
      <c r="H417" s="10" t="s">
        <v>802</v>
      </c>
      <c r="I417" s="10" t="s">
        <v>794</v>
      </c>
      <c r="J417" s="10" t="s">
        <v>795</v>
      </c>
    </row>
    <row r="418" spans="1:10" ht="15" hidden="1" customHeight="1">
      <c r="A418" s="9">
        <v>414</v>
      </c>
      <c r="B418" s="10" t="s">
        <v>1680</v>
      </c>
      <c r="C418" s="10" t="s">
        <v>1681</v>
      </c>
      <c r="D418" s="10" t="s">
        <v>1193</v>
      </c>
      <c r="E418" s="10" t="s">
        <v>1219</v>
      </c>
      <c r="F418" s="10" t="s">
        <v>794</v>
      </c>
      <c r="G418" s="10" t="s">
        <v>1682</v>
      </c>
      <c r="H418" s="10" t="s">
        <v>802</v>
      </c>
      <c r="I418" s="10" t="s">
        <v>794</v>
      </c>
      <c r="J418" s="10" t="s">
        <v>795</v>
      </c>
    </row>
    <row r="419" spans="1:10" ht="15" hidden="1" customHeight="1">
      <c r="A419" s="9">
        <v>415</v>
      </c>
      <c r="B419" s="10" t="s">
        <v>1683</v>
      </c>
      <c r="C419" s="10" t="s">
        <v>1684</v>
      </c>
      <c r="D419" s="10" t="s">
        <v>1419</v>
      </c>
      <c r="E419" s="10" t="s">
        <v>1434</v>
      </c>
      <c r="F419" s="10" t="s">
        <v>794</v>
      </c>
      <c r="G419" s="10" t="s">
        <v>1685</v>
      </c>
      <c r="H419" s="10" t="s">
        <v>802</v>
      </c>
      <c r="I419" s="10" t="s">
        <v>794</v>
      </c>
      <c r="J419" s="10" t="s">
        <v>795</v>
      </c>
    </row>
    <row r="420" spans="1:10" ht="15" hidden="1" customHeight="1">
      <c r="A420" s="9">
        <v>416</v>
      </c>
      <c r="B420" s="10" t="s">
        <v>1686</v>
      </c>
      <c r="C420" s="10" t="s">
        <v>1687</v>
      </c>
      <c r="D420" s="10" t="s">
        <v>1419</v>
      </c>
      <c r="E420" s="10" t="s">
        <v>1434</v>
      </c>
      <c r="F420" s="10" t="s">
        <v>794</v>
      </c>
      <c r="G420" s="10" t="s">
        <v>1688</v>
      </c>
      <c r="H420" s="10" t="s">
        <v>802</v>
      </c>
      <c r="I420" s="10" t="s">
        <v>794</v>
      </c>
      <c r="J420" s="10" t="s">
        <v>795</v>
      </c>
    </row>
    <row r="421" spans="1:10" ht="15" hidden="1" customHeight="1">
      <c r="A421" s="9">
        <v>417</v>
      </c>
      <c r="B421" s="10" t="s">
        <v>1689</v>
      </c>
      <c r="C421" s="10" t="s">
        <v>1690</v>
      </c>
      <c r="D421" s="10" t="s">
        <v>1419</v>
      </c>
      <c r="E421" s="10" t="s">
        <v>1434</v>
      </c>
      <c r="F421" s="10" t="s">
        <v>794</v>
      </c>
      <c r="G421" s="10" t="s">
        <v>1688</v>
      </c>
      <c r="H421" s="10" t="s">
        <v>802</v>
      </c>
      <c r="I421" s="10" t="s">
        <v>794</v>
      </c>
      <c r="J421" s="10" t="s">
        <v>795</v>
      </c>
    </row>
    <row r="422" spans="1:10" ht="15" hidden="1" customHeight="1">
      <c r="A422" s="9">
        <v>418</v>
      </c>
      <c r="B422" s="10" t="s">
        <v>1691</v>
      </c>
      <c r="C422" s="10" t="s">
        <v>1692</v>
      </c>
      <c r="D422" s="10" t="s">
        <v>1419</v>
      </c>
      <c r="E422" s="10" t="s">
        <v>1434</v>
      </c>
      <c r="F422" s="10" t="s">
        <v>794</v>
      </c>
      <c r="G422" s="10" t="s">
        <v>1688</v>
      </c>
      <c r="H422" s="10" t="s">
        <v>802</v>
      </c>
      <c r="I422" s="10" t="s">
        <v>794</v>
      </c>
      <c r="J422" s="10" t="s">
        <v>795</v>
      </c>
    </row>
    <row r="423" spans="1:10" ht="15" hidden="1" customHeight="1">
      <c r="A423" s="9">
        <v>419</v>
      </c>
      <c r="B423" s="10" t="s">
        <v>1693</v>
      </c>
      <c r="C423" s="10" t="s">
        <v>1694</v>
      </c>
      <c r="D423" s="10" t="s">
        <v>1419</v>
      </c>
      <c r="E423" s="10" t="s">
        <v>1436</v>
      </c>
      <c r="F423" s="10" t="s">
        <v>794</v>
      </c>
      <c r="G423" s="10" t="s">
        <v>1695</v>
      </c>
      <c r="H423" s="10" t="s">
        <v>802</v>
      </c>
      <c r="I423" s="10" t="s">
        <v>794</v>
      </c>
      <c r="J423" s="10" t="s">
        <v>795</v>
      </c>
    </row>
    <row r="424" spans="1:10" ht="15" hidden="1" customHeight="1">
      <c r="A424" s="9">
        <v>420</v>
      </c>
      <c r="B424" s="10" t="s">
        <v>1696</v>
      </c>
      <c r="C424" s="10" t="s">
        <v>1697</v>
      </c>
      <c r="D424" s="10" t="s">
        <v>1419</v>
      </c>
      <c r="E424" s="10" t="s">
        <v>1436</v>
      </c>
      <c r="F424" s="10" t="s">
        <v>794</v>
      </c>
      <c r="G424" s="10" t="s">
        <v>1695</v>
      </c>
      <c r="H424" s="10" t="s">
        <v>802</v>
      </c>
      <c r="I424" s="10" t="s">
        <v>794</v>
      </c>
      <c r="J424" s="10" t="s">
        <v>795</v>
      </c>
    </row>
    <row r="425" spans="1:10" ht="15" hidden="1" customHeight="1">
      <c r="A425" s="9">
        <v>421</v>
      </c>
      <c r="B425" s="10" t="s">
        <v>1698</v>
      </c>
      <c r="C425" s="10" t="s">
        <v>1699</v>
      </c>
      <c r="D425" s="10" t="s">
        <v>1419</v>
      </c>
      <c r="E425" s="10" t="s">
        <v>1436</v>
      </c>
      <c r="F425" s="10" t="s">
        <v>794</v>
      </c>
      <c r="G425" s="10" t="s">
        <v>1695</v>
      </c>
      <c r="H425" s="10" t="s">
        <v>802</v>
      </c>
      <c r="I425" s="10" t="s">
        <v>794</v>
      </c>
      <c r="J425" s="10" t="s">
        <v>795</v>
      </c>
    </row>
    <row r="426" spans="1:10" ht="15" hidden="1" customHeight="1">
      <c r="A426" s="9">
        <v>422</v>
      </c>
      <c r="B426" s="10" t="s">
        <v>1700</v>
      </c>
      <c r="C426" s="10" t="s">
        <v>1701</v>
      </c>
      <c r="D426" s="10" t="s">
        <v>1419</v>
      </c>
      <c r="E426" s="10" t="s">
        <v>1436</v>
      </c>
      <c r="F426" s="10" t="s">
        <v>794</v>
      </c>
      <c r="G426" s="10" t="s">
        <v>1695</v>
      </c>
      <c r="H426" s="10" t="s">
        <v>802</v>
      </c>
      <c r="I426" s="10" t="s">
        <v>794</v>
      </c>
      <c r="J426" s="10" t="s">
        <v>795</v>
      </c>
    </row>
    <row r="427" spans="1:10" ht="15" hidden="1" customHeight="1">
      <c r="A427" s="9">
        <v>423</v>
      </c>
      <c r="B427" s="10" t="s">
        <v>1702</v>
      </c>
      <c r="C427" s="10" t="s">
        <v>1703</v>
      </c>
      <c r="D427" s="10" t="s">
        <v>1419</v>
      </c>
      <c r="E427" s="10" t="s">
        <v>1436</v>
      </c>
      <c r="F427" s="10" t="s">
        <v>794</v>
      </c>
      <c r="G427" s="10" t="s">
        <v>1695</v>
      </c>
      <c r="H427" s="10" t="s">
        <v>802</v>
      </c>
      <c r="I427" s="10" t="s">
        <v>794</v>
      </c>
      <c r="J427" s="10" t="s">
        <v>795</v>
      </c>
    </row>
    <row r="428" spans="1:10" ht="15" hidden="1" customHeight="1">
      <c r="A428" s="9">
        <v>424</v>
      </c>
      <c r="B428" s="10" t="s">
        <v>1704</v>
      </c>
      <c r="C428" s="10" t="s">
        <v>1705</v>
      </c>
      <c r="D428" s="10" t="s">
        <v>1419</v>
      </c>
      <c r="E428" s="10" t="s">
        <v>1436</v>
      </c>
      <c r="F428" s="10" t="s">
        <v>794</v>
      </c>
      <c r="G428" s="10" t="s">
        <v>1695</v>
      </c>
      <c r="H428" s="10" t="s">
        <v>802</v>
      </c>
      <c r="I428" s="10" t="s">
        <v>794</v>
      </c>
      <c r="J428" s="10" t="s">
        <v>795</v>
      </c>
    </row>
    <row r="429" spans="1:10" ht="15" hidden="1" customHeight="1">
      <c r="A429" s="9">
        <v>425</v>
      </c>
      <c r="B429" s="10" t="s">
        <v>1706</v>
      </c>
      <c r="C429" s="10" t="s">
        <v>1707</v>
      </c>
      <c r="D429" s="10" t="s">
        <v>1419</v>
      </c>
      <c r="E429" s="10" t="s">
        <v>1438</v>
      </c>
      <c r="F429" s="10" t="s">
        <v>794</v>
      </c>
      <c r="G429" s="10" t="s">
        <v>1708</v>
      </c>
      <c r="H429" s="10" t="s">
        <v>802</v>
      </c>
      <c r="I429" s="10" t="s">
        <v>794</v>
      </c>
      <c r="J429" s="10" t="s">
        <v>795</v>
      </c>
    </row>
    <row r="430" spans="1:10" ht="15" hidden="1" customHeight="1">
      <c r="A430" s="9">
        <v>426</v>
      </c>
      <c r="B430" s="10" t="s">
        <v>1709</v>
      </c>
      <c r="C430" s="10" t="s">
        <v>1710</v>
      </c>
      <c r="D430" s="10" t="s">
        <v>1419</v>
      </c>
      <c r="E430" s="10" t="s">
        <v>1438</v>
      </c>
      <c r="F430" s="10" t="s">
        <v>794</v>
      </c>
      <c r="G430" s="10" t="s">
        <v>1708</v>
      </c>
      <c r="H430" s="10" t="s">
        <v>802</v>
      </c>
      <c r="I430" s="10" t="s">
        <v>794</v>
      </c>
      <c r="J430" s="10" t="s">
        <v>795</v>
      </c>
    </row>
    <row r="431" spans="1:10" ht="15" hidden="1" customHeight="1">
      <c r="A431" s="9">
        <v>427</v>
      </c>
      <c r="B431" s="10" t="s">
        <v>1711</v>
      </c>
      <c r="C431" s="10" t="s">
        <v>1712</v>
      </c>
      <c r="D431" s="10" t="s">
        <v>1419</v>
      </c>
      <c r="E431" s="10" t="s">
        <v>1438</v>
      </c>
      <c r="F431" s="10" t="s">
        <v>794</v>
      </c>
      <c r="G431" s="10" t="s">
        <v>1708</v>
      </c>
      <c r="H431" s="10" t="s">
        <v>802</v>
      </c>
      <c r="I431" s="10" t="s">
        <v>794</v>
      </c>
      <c r="J431" s="10" t="s">
        <v>795</v>
      </c>
    </row>
    <row r="432" spans="1:10" ht="15" hidden="1" customHeight="1">
      <c r="A432" s="9">
        <v>428</v>
      </c>
      <c r="B432" s="10" t="s">
        <v>1713</v>
      </c>
      <c r="C432" s="10" t="s">
        <v>1714</v>
      </c>
      <c r="D432" s="10" t="s">
        <v>1419</v>
      </c>
      <c r="E432" s="10" t="s">
        <v>1438</v>
      </c>
      <c r="F432" s="10" t="s">
        <v>794</v>
      </c>
      <c r="G432" s="10" t="s">
        <v>1708</v>
      </c>
      <c r="H432" s="10" t="s">
        <v>802</v>
      </c>
      <c r="I432" s="10" t="s">
        <v>794</v>
      </c>
      <c r="J432" s="10" t="s">
        <v>795</v>
      </c>
    </row>
    <row r="433" spans="1:10" ht="15" hidden="1" customHeight="1">
      <c r="A433" s="9">
        <v>429</v>
      </c>
      <c r="B433" s="10" t="s">
        <v>1715</v>
      </c>
      <c r="C433" s="10" t="s">
        <v>1716</v>
      </c>
      <c r="D433" s="10" t="s">
        <v>1419</v>
      </c>
      <c r="E433" s="10" t="s">
        <v>1438</v>
      </c>
      <c r="F433" s="10" t="s">
        <v>794</v>
      </c>
      <c r="G433" s="10" t="s">
        <v>1708</v>
      </c>
      <c r="H433" s="10" t="s">
        <v>802</v>
      </c>
      <c r="I433" s="10" t="s">
        <v>794</v>
      </c>
      <c r="J433" s="10" t="s">
        <v>795</v>
      </c>
    </row>
    <row r="434" spans="1:10" ht="15" hidden="1" customHeight="1">
      <c r="A434" s="9">
        <v>430</v>
      </c>
      <c r="B434" s="10" t="s">
        <v>1717</v>
      </c>
      <c r="C434" s="10" t="s">
        <v>1718</v>
      </c>
      <c r="D434" s="10" t="s">
        <v>1004</v>
      </c>
      <c r="E434" s="10"/>
      <c r="F434" s="10" t="s">
        <v>793</v>
      </c>
      <c r="G434" s="10"/>
      <c r="H434" s="10"/>
      <c r="I434" s="10" t="s">
        <v>794</v>
      </c>
      <c r="J434" s="10" t="s">
        <v>795</v>
      </c>
    </row>
    <row r="435" spans="1:10" ht="15" hidden="1" customHeight="1">
      <c r="A435" s="9">
        <v>431</v>
      </c>
      <c r="B435" s="10" t="s">
        <v>1719</v>
      </c>
      <c r="C435" s="10" t="s">
        <v>1720</v>
      </c>
      <c r="D435" s="10" t="s">
        <v>1460</v>
      </c>
      <c r="E435" s="10" t="s">
        <v>1718</v>
      </c>
      <c r="F435" s="10" t="s">
        <v>793</v>
      </c>
      <c r="G435" s="10"/>
      <c r="H435" s="10"/>
      <c r="I435" s="10" t="s">
        <v>794</v>
      </c>
      <c r="J435" s="10" t="s">
        <v>1004</v>
      </c>
    </row>
    <row r="436" spans="1:10" ht="15" hidden="1" customHeight="1">
      <c r="A436" s="9">
        <v>432</v>
      </c>
      <c r="B436" s="10" t="s">
        <v>1721</v>
      </c>
      <c r="C436" s="10" t="s">
        <v>1722</v>
      </c>
      <c r="D436" s="10" t="s">
        <v>1460</v>
      </c>
      <c r="E436" s="10"/>
      <c r="F436" s="10" t="s">
        <v>793</v>
      </c>
      <c r="G436" s="10"/>
      <c r="H436" s="10"/>
      <c r="I436" s="10" t="s">
        <v>794</v>
      </c>
      <c r="J436" s="10" t="s">
        <v>1004</v>
      </c>
    </row>
    <row r="437" spans="1:10" ht="15" hidden="1" customHeight="1">
      <c r="A437" s="9">
        <v>433</v>
      </c>
      <c r="B437" s="10" t="s">
        <v>1723</v>
      </c>
      <c r="C437" s="10" t="s">
        <v>1724</v>
      </c>
      <c r="D437" s="10" t="s">
        <v>1460</v>
      </c>
      <c r="E437" s="10" t="s">
        <v>1477</v>
      </c>
      <c r="F437" s="10" t="s">
        <v>794</v>
      </c>
      <c r="G437" s="10" t="s">
        <v>1478</v>
      </c>
      <c r="H437" s="10" t="s">
        <v>1479</v>
      </c>
      <c r="I437" s="10" t="s">
        <v>794</v>
      </c>
      <c r="J437" s="10" t="s">
        <v>1475</v>
      </c>
    </row>
    <row r="438" spans="1:10" ht="15" hidden="1" customHeight="1">
      <c r="A438" s="9">
        <v>434</v>
      </c>
      <c r="B438" s="10" t="s">
        <v>1725</v>
      </c>
      <c r="C438" s="10" t="s">
        <v>1726</v>
      </c>
      <c r="D438" s="10" t="s">
        <v>1460</v>
      </c>
      <c r="E438" s="10" t="s">
        <v>1477</v>
      </c>
      <c r="F438" s="10" t="s">
        <v>794</v>
      </c>
      <c r="G438" s="10" t="s">
        <v>1478</v>
      </c>
      <c r="H438" s="10" t="s">
        <v>1479</v>
      </c>
      <c r="I438" s="10" t="s">
        <v>794</v>
      </c>
      <c r="J438" s="10" t="s">
        <v>1475</v>
      </c>
    </row>
    <row r="439" spans="1:10" ht="15" hidden="1" customHeight="1">
      <c r="A439" s="9">
        <v>435</v>
      </c>
      <c r="B439" s="10" t="s">
        <v>1727</v>
      </c>
      <c r="C439" s="10" t="s">
        <v>1728</v>
      </c>
      <c r="D439" s="10" t="s">
        <v>1460</v>
      </c>
      <c r="E439" s="10" t="s">
        <v>1722</v>
      </c>
      <c r="F439" s="10" t="s">
        <v>793</v>
      </c>
      <c r="G439" s="10" t="s">
        <v>1729</v>
      </c>
      <c r="H439" s="10" t="s">
        <v>1479</v>
      </c>
      <c r="I439" s="10" t="s">
        <v>794</v>
      </c>
      <c r="J439" s="10" t="s">
        <v>1004</v>
      </c>
    </row>
    <row r="440" spans="1:10" ht="15" hidden="1" customHeight="1">
      <c r="A440" s="9">
        <v>436</v>
      </c>
      <c r="B440" s="10" t="s">
        <v>1730</v>
      </c>
      <c r="C440" s="10" t="s">
        <v>1731</v>
      </c>
      <c r="D440" s="10" t="s">
        <v>1460</v>
      </c>
      <c r="E440" s="10" t="s">
        <v>1722</v>
      </c>
      <c r="F440" s="10" t="s">
        <v>793</v>
      </c>
      <c r="G440" s="10" t="s">
        <v>1732</v>
      </c>
      <c r="H440" s="10" t="s">
        <v>1479</v>
      </c>
      <c r="I440" s="10" t="s">
        <v>794</v>
      </c>
      <c r="J440" s="10" t="s">
        <v>1004</v>
      </c>
    </row>
    <row r="441" spans="1:10" ht="15" hidden="1" customHeight="1">
      <c r="A441" s="9">
        <v>437</v>
      </c>
      <c r="B441" s="10" t="s">
        <v>1733</v>
      </c>
      <c r="C441" s="10" t="s">
        <v>1734</v>
      </c>
      <c r="D441" s="10" t="s">
        <v>1460</v>
      </c>
      <c r="E441" s="10" t="s">
        <v>1477</v>
      </c>
      <c r="F441" s="10" t="s">
        <v>794</v>
      </c>
      <c r="G441" s="10" t="s">
        <v>1478</v>
      </c>
      <c r="H441" s="10" t="s">
        <v>1479</v>
      </c>
      <c r="I441" s="10" t="s">
        <v>794</v>
      </c>
      <c r="J441" s="10" t="s">
        <v>1475</v>
      </c>
    </row>
    <row r="442" spans="1:10" ht="15" hidden="1" customHeight="1">
      <c r="A442" s="9">
        <v>438</v>
      </c>
      <c r="B442" s="10" t="s">
        <v>1735</v>
      </c>
      <c r="C442" s="10" t="s">
        <v>1736</v>
      </c>
      <c r="D442" s="10" t="s">
        <v>1460</v>
      </c>
      <c r="E442" s="10" t="s">
        <v>1477</v>
      </c>
      <c r="F442" s="10" t="s">
        <v>794</v>
      </c>
      <c r="G442" s="10" t="s">
        <v>1478</v>
      </c>
      <c r="H442" s="10" t="s">
        <v>1479</v>
      </c>
      <c r="I442" s="10" t="s">
        <v>794</v>
      </c>
      <c r="J442" s="10" t="s">
        <v>1475</v>
      </c>
    </row>
    <row r="443" spans="1:10" ht="15" hidden="1" customHeight="1">
      <c r="A443" s="9">
        <v>439</v>
      </c>
      <c r="B443" s="10" t="s">
        <v>1737</v>
      </c>
      <c r="C443" s="10" t="s">
        <v>1738</v>
      </c>
      <c r="D443" s="10" t="s">
        <v>1460</v>
      </c>
      <c r="E443" s="10" t="s">
        <v>1477</v>
      </c>
      <c r="F443" s="10" t="s">
        <v>794</v>
      </c>
      <c r="G443" s="10" t="s">
        <v>1478</v>
      </c>
      <c r="H443" s="10" t="s">
        <v>1479</v>
      </c>
      <c r="I443" s="10" t="s">
        <v>794</v>
      </c>
      <c r="J443" s="10" t="s">
        <v>1475</v>
      </c>
    </row>
    <row r="444" spans="1:10" ht="15" hidden="1" customHeight="1">
      <c r="A444" s="9">
        <v>440</v>
      </c>
      <c r="B444" s="10" t="s">
        <v>1739</v>
      </c>
      <c r="C444" s="10" t="s">
        <v>1740</v>
      </c>
      <c r="D444" s="10" t="s">
        <v>1460</v>
      </c>
      <c r="E444" s="10" t="s">
        <v>1477</v>
      </c>
      <c r="F444" s="10" t="s">
        <v>794</v>
      </c>
      <c r="G444" s="10" t="s">
        <v>1482</v>
      </c>
      <c r="H444" s="10" t="s">
        <v>1479</v>
      </c>
      <c r="I444" s="10" t="s">
        <v>794</v>
      </c>
      <c r="J444" s="10" t="s">
        <v>1475</v>
      </c>
    </row>
    <row r="445" spans="1:10" ht="15" hidden="1" customHeight="1">
      <c r="A445" s="9">
        <v>441</v>
      </c>
      <c r="B445" s="10" t="s">
        <v>1741</v>
      </c>
      <c r="C445" s="10" t="s">
        <v>1742</v>
      </c>
      <c r="D445" s="10" t="s">
        <v>1460</v>
      </c>
      <c r="E445" s="10" t="s">
        <v>1477</v>
      </c>
      <c r="F445" s="10" t="s">
        <v>794</v>
      </c>
      <c r="G445" s="10" t="s">
        <v>1482</v>
      </c>
      <c r="H445" s="10" t="s">
        <v>1479</v>
      </c>
      <c r="I445" s="10" t="s">
        <v>794</v>
      </c>
      <c r="J445" s="10" t="s">
        <v>1475</v>
      </c>
    </row>
    <row r="446" spans="1:10" ht="15" hidden="1" customHeight="1">
      <c r="A446" s="9">
        <v>442</v>
      </c>
      <c r="B446" s="10" t="s">
        <v>1743</v>
      </c>
      <c r="C446" s="10" t="s">
        <v>1744</v>
      </c>
      <c r="D446" s="10" t="s">
        <v>1460</v>
      </c>
      <c r="E446" s="10" t="s">
        <v>1722</v>
      </c>
      <c r="F446" s="10" t="s">
        <v>793</v>
      </c>
      <c r="G446" s="10"/>
      <c r="H446" s="10"/>
      <c r="I446" s="10" t="s">
        <v>794</v>
      </c>
      <c r="J446" s="10" t="s">
        <v>1004</v>
      </c>
    </row>
    <row r="447" spans="1:10" ht="15" hidden="1" customHeight="1">
      <c r="A447" s="9">
        <v>443</v>
      </c>
      <c r="B447" s="10" t="s">
        <v>1745</v>
      </c>
      <c r="C447" s="10" t="s">
        <v>1746</v>
      </c>
      <c r="D447" s="10" t="s">
        <v>1460</v>
      </c>
      <c r="E447" s="10" t="s">
        <v>1744</v>
      </c>
      <c r="F447" s="10" t="s">
        <v>794</v>
      </c>
      <c r="G447" s="10" t="s">
        <v>1747</v>
      </c>
      <c r="H447" s="10" t="s">
        <v>1479</v>
      </c>
      <c r="I447" s="10" t="s">
        <v>794</v>
      </c>
      <c r="J447" s="10" t="s">
        <v>1004</v>
      </c>
    </row>
    <row r="448" spans="1:10" ht="15" hidden="1" customHeight="1">
      <c r="A448" s="9">
        <v>444</v>
      </c>
      <c r="B448" s="10" t="s">
        <v>1748</v>
      </c>
      <c r="C448" s="10" t="s">
        <v>1749</v>
      </c>
      <c r="D448" s="10" t="s">
        <v>1460</v>
      </c>
      <c r="E448" s="10" t="s">
        <v>1744</v>
      </c>
      <c r="F448" s="10" t="s">
        <v>794</v>
      </c>
      <c r="G448" s="10" t="s">
        <v>1750</v>
      </c>
      <c r="H448" s="10" t="s">
        <v>1479</v>
      </c>
      <c r="I448" s="10" t="s">
        <v>794</v>
      </c>
      <c r="J448" s="10" t="s">
        <v>1004</v>
      </c>
    </row>
    <row r="449" spans="1:10" ht="15" hidden="1" customHeight="1">
      <c r="A449" s="9">
        <v>445</v>
      </c>
      <c r="B449" s="10" t="s">
        <v>1751</v>
      </c>
      <c r="C449" s="10" t="s">
        <v>1752</v>
      </c>
      <c r="D449" s="10" t="s">
        <v>1460</v>
      </c>
      <c r="E449" s="10" t="s">
        <v>1720</v>
      </c>
      <c r="F449" s="10" t="s">
        <v>793</v>
      </c>
      <c r="G449" s="10"/>
      <c r="H449" s="10"/>
      <c r="I449" s="10" t="s">
        <v>794</v>
      </c>
      <c r="J449" s="10" t="s">
        <v>1004</v>
      </c>
    </row>
    <row r="450" spans="1:10" ht="15" hidden="1" customHeight="1">
      <c r="A450" s="9">
        <v>446</v>
      </c>
      <c r="B450" s="10" t="s">
        <v>1753</v>
      </c>
      <c r="C450" s="10" t="s">
        <v>1754</v>
      </c>
      <c r="D450" s="10" t="s">
        <v>1460</v>
      </c>
      <c r="E450" s="10" t="s">
        <v>1477</v>
      </c>
      <c r="F450" s="10" t="s">
        <v>794</v>
      </c>
      <c r="G450" s="10" t="s">
        <v>1482</v>
      </c>
      <c r="H450" s="10" t="s">
        <v>1479</v>
      </c>
      <c r="I450" s="10" t="s">
        <v>794</v>
      </c>
      <c r="J450" s="10" t="s">
        <v>1475</v>
      </c>
    </row>
    <row r="451" spans="1:10" ht="15" hidden="1" customHeight="1">
      <c r="A451" s="9">
        <v>447</v>
      </c>
      <c r="B451" s="10" t="s">
        <v>1755</v>
      </c>
      <c r="C451" s="10" t="s">
        <v>1756</v>
      </c>
      <c r="D451" s="10" t="s">
        <v>1460</v>
      </c>
      <c r="E451" s="10" t="s">
        <v>1477</v>
      </c>
      <c r="F451" s="10" t="s">
        <v>794</v>
      </c>
      <c r="G451" s="10" t="s">
        <v>1482</v>
      </c>
      <c r="H451" s="10" t="s">
        <v>1479</v>
      </c>
      <c r="I451" s="10" t="s">
        <v>794</v>
      </c>
      <c r="J451" s="10" t="s">
        <v>1475</v>
      </c>
    </row>
    <row r="452" spans="1:10" ht="15" hidden="1" customHeight="1">
      <c r="A452" s="9">
        <v>448</v>
      </c>
      <c r="B452" s="10" t="s">
        <v>1757</v>
      </c>
      <c r="C452" s="10" t="s">
        <v>1758</v>
      </c>
      <c r="D452" s="10" t="s">
        <v>1460</v>
      </c>
      <c r="E452" s="10" t="s">
        <v>1477</v>
      </c>
      <c r="F452" s="10" t="s">
        <v>794</v>
      </c>
      <c r="G452" s="10" t="s">
        <v>1482</v>
      </c>
      <c r="H452" s="10" t="s">
        <v>1479</v>
      </c>
      <c r="I452" s="10" t="s">
        <v>794</v>
      </c>
      <c r="J452" s="10" t="s">
        <v>1475</v>
      </c>
    </row>
    <row r="453" spans="1:10" ht="15" hidden="1" customHeight="1">
      <c r="A453" s="9">
        <v>449</v>
      </c>
      <c r="B453" s="10" t="s">
        <v>1759</v>
      </c>
      <c r="C453" s="10" t="s">
        <v>1760</v>
      </c>
      <c r="D453" s="10" t="s">
        <v>1460</v>
      </c>
      <c r="E453" s="10" t="s">
        <v>1484</v>
      </c>
      <c r="F453" s="10" t="s">
        <v>794</v>
      </c>
      <c r="G453" s="10" t="s">
        <v>1482</v>
      </c>
      <c r="H453" s="10" t="s">
        <v>1479</v>
      </c>
      <c r="I453" s="10" t="s">
        <v>794</v>
      </c>
      <c r="J453" s="10" t="s">
        <v>1475</v>
      </c>
    </row>
    <row r="454" spans="1:10" ht="15" hidden="1" customHeight="1">
      <c r="A454" s="9">
        <v>450</v>
      </c>
      <c r="B454" s="10" t="s">
        <v>1761</v>
      </c>
      <c r="C454" s="10" t="s">
        <v>1762</v>
      </c>
      <c r="D454" s="10" t="s">
        <v>1460</v>
      </c>
      <c r="E454" s="10" t="s">
        <v>1477</v>
      </c>
      <c r="F454" s="10" t="s">
        <v>794</v>
      </c>
      <c r="G454" s="10" t="s">
        <v>1482</v>
      </c>
      <c r="H454" s="10" t="s">
        <v>1479</v>
      </c>
      <c r="I454" s="10" t="s">
        <v>794</v>
      </c>
      <c r="J454" s="10" t="s">
        <v>1475</v>
      </c>
    </row>
    <row r="455" spans="1:10" ht="15" hidden="1" customHeight="1">
      <c r="A455" s="9">
        <v>451</v>
      </c>
      <c r="B455" s="10" t="s">
        <v>1763</v>
      </c>
      <c r="C455" s="10" t="s">
        <v>1764</v>
      </c>
      <c r="D455" s="10" t="s">
        <v>1460</v>
      </c>
      <c r="E455" s="10" t="s">
        <v>1477</v>
      </c>
      <c r="F455" s="10" t="s">
        <v>794</v>
      </c>
      <c r="G455" s="10" t="s">
        <v>1482</v>
      </c>
      <c r="H455" s="10" t="s">
        <v>1479</v>
      </c>
      <c r="I455" s="10" t="s">
        <v>794</v>
      </c>
      <c r="J455" s="10" t="s">
        <v>1475</v>
      </c>
    </row>
    <row r="456" spans="1:10" ht="15" hidden="1" customHeight="1">
      <c r="A456" s="9">
        <v>452</v>
      </c>
      <c r="B456" s="10" t="s">
        <v>1765</v>
      </c>
      <c r="C456" s="10" t="s">
        <v>1766</v>
      </c>
      <c r="D456" s="10" t="s">
        <v>1460</v>
      </c>
      <c r="E456" s="10" t="s">
        <v>1477</v>
      </c>
      <c r="F456" s="10" t="s">
        <v>794</v>
      </c>
      <c r="G456" s="10" t="s">
        <v>1482</v>
      </c>
      <c r="H456" s="10" t="s">
        <v>1479</v>
      </c>
      <c r="I456" s="10" t="s">
        <v>794</v>
      </c>
      <c r="J456" s="10" t="s">
        <v>1475</v>
      </c>
    </row>
    <row r="457" spans="1:10" ht="15" hidden="1" customHeight="1">
      <c r="A457" s="9">
        <v>453</v>
      </c>
      <c r="B457" s="10" t="s">
        <v>1767</v>
      </c>
      <c r="C457" s="10" t="s">
        <v>1768</v>
      </c>
      <c r="D457" s="10" t="s">
        <v>1460</v>
      </c>
      <c r="E457" s="10" t="s">
        <v>1477</v>
      </c>
      <c r="F457" s="10" t="s">
        <v>794</v>
      </c>
      <c r="G457" s="10" t="s">
        <v>1482</v>
      </c>
      <c r="H457" s="10" t="s">
        <v>1479</v>
      </c>
      <c r="I457" s="10" t="s">
        <v>794</v>
      </c>
      <c r="J457" s="10" t="s">
        <v>1475</v>
      </c>
    </row>
    <row r="458" spans="1:10" ht="15" hidden="1" customHeight="1">
      <c r="A458" s="9">
        <v>454</v>
      </c>
      <c r="B458" s="10" t="s">
        <v>1769</v>
      </c>
      <c r="C458" s="10" t="s">
        <v>1770</v>
      </c>
      <c r="D458" s="10" t="s">
        <v>1460</v>
      </c>
      <c r="E458" s="10" t="s">
        <v>1486</v>
      </c>
      <c r="F458" s="10" t="s">
        <v>794</v>
      </c>
      <c r="G458" s="10" t="s">
        <v>1771</v>
      </c>
      <c r="H458" s="10" t="s">
        <v>1479</v>
      </c>
      <c r="I458" s="10" t="s">
        <v>794</v>
      </c>
      <c r="J458" s="10" t="s">
        <v>1475</v>
      </c>
    </row>
    <row r="459" spans="1:10" ht="15" hidden="1" customHeight="1">
      <c r="A459" s="9">
        <v>455</v>
      </c>
      <c r="B459" s="10" t="s">
        <v>1772</v>
      </c>
      <c r="C459" s="10" t="s">
        <v>1773</v>
      </c>
      <c r="D459" s="10" t="s">
        <v>1460</v>
      </c>
      <c r="E459" s="10" t="s">
        <v>1477</v>
      </c>
      <c r="F459" s="10" t="s">
        <v>794</v>
      </c>
      <c r="G459" s="10" t="s">
        <v>1771</v>
      </c>
      <c r="H459" s="10" t="s">
        <v>1479</v>
      </c>
      <c r="I459" s="10" t="s">
        <v>794</v>
      </c>
      <c r="J459" s="10" t="s">
        <v>1475</v>
      </c>
    </row>
    <row r="460" spans="1:10" ht="15" hidden="1" customHeight="1">
      <c r="A460" s="9">
        <v>456</v>
      </c>
      <c r="B460" s="10" t="s">
        <v>1774</v>
      </c>
      <c r="C460" s="10" t="s">
        <v>1775</v>
      </c>
      <c r="D460" s="10" t="s">
        <v>1460</v>
      </c>
      <c r="E460" s="10" t="s">
        <v>1477</v>
      </c>
      <c r="F460" s="10" t="s">
        <v>794</v>
      </c>
      <c r="G460" s="10" t="s">
        <v>1771</v>
      </c>
      <c r="H460" s="10" t="s">
        <v>1479</v>
      </c>
      <c r="I460" s="10" t="s">
        <v>794</v>
      </c>
      <c r="J460" s="10" t="s">
        <v>1475</v>
      </c>
    </row>
    <row r="461" spans="1:10" ht="15" hidden="1" customHeight="1">
      <c r="A461" s="9">
        <v>457</v>
      </c>
      <c r="B461" s="10" t="s">
        <v>1776</v>
      </c>
      <c r="C461" s="10" t="s">
        <v>1777</v>
      </c>
      <c r="D461" s="10" t="s">
        <v>1460</v>
      </c>
      <c r="E461" s="10" t="s">
        <v>1477</v>
      </c>
      <c r="F461" s="10" t="s">
        <v>794</v>
      </c>
      <c r="G461" s="10" t="s">
        <v>1771</v>
      </c>
      <c r="H461" s="10" t="s">
        <v>1479</v>
      </c>
      <c r="I461" s="10" t="s">
        <v>794</v>
      </c>
      <c r="J461" s="10" t="s">
        <v>1475</v>
      </c>
    </row>
    <row r="462" spans="1:10" ht="15" hidden="1" customHeight="1">
      <c r="A462" s="9">
        <v>458</v>
      </c>
      <c r="B462" s="10" t="s">
        <v>1778</v>
      </c>
      <c r="C462" s="10" t="s">
        <v>1779</v>
      </c>
      <c r="D462" s="10" t="s">
        <v>1460</v>
      </c>
      <c r="E462" s="10" t="s">
        <v>1722</v>
      </c>
      <c r="F462" s="10" t="s">
        <v>793</v>
      </c>
      <c r="G462" s="10"/>
      <c r="H462" s="10"/>
      <c r="I462" s="10" t="s">
        <v>794</v>
      </c>
      <c r="J462" s="10" t="s">
        <v>1004</v>
      </c>
    </row>
    <row r="463" spans="1:10" ht="15" hidden="1" customHeight="1">
      <c r="A463" s="9">
        <v>459</v>
      </c>
      <c r="B463" s="10" t="s">
        <v>1780</v>
      </c>
      <c r="C463" s="10" t="s">
        <v>1781</v>
      </c>
      <c r="D463" s="10" t="s">
        <v>1460</v>
      </c>
      <c r="E463" s="10" t="s">
        <v>1779</v>
      </c>
      <c r="F463" s="10" t="s">
        <v>794</v>
      </c>
      <c r="G463" s="10" t="s">
        <v>1747</v>
      </c>
      <c r="H463" s="10" t="s">
        <v>1479</v>
      </c>
      <c r="I463" s="10" t="s">
        <v>794</v>
      </c>
      <c r="J463" s="10" t="s">
        <v>1004</v>
      </c>
    </row>
    <row r="464" spans="1:10" ht="15" hidden="1" customHeight="1">
      <c r="A464" s="9">
        <v>460</v>
      </c>
      <c r="B464" s="10" t="s">
        <v>1782</v>
      </c>
      <c r="C464" s="10" t="s">
        <v>1783</v>
      </c>
      <c r="D464" s="10" t="s">
        <v>1460</v>
      </c>
      <c r="E464" s="10" t="s">
        <v>1779</v>
      </c>
      <c r="F464" s="10" t="s">
        <v>794</v>
      </c>
      <c r="G464" s="10" t="s">
        <v>1750</v>
      </c>
      <c r="H464" s="10" t="s">
        <v>1479</v>
      </c>
      <c r="I464" s="10" t="s">
        <v>794</v>
      </c>
      <c r="J464" s="10" t="s">
        <v>1004</v>
      </c>
    </row>
    <row r="465" spans="1:10" ht="15" hidden="1" customHeight="1">
      <c r="A465" s="9">
        <v>461</v>
      </c>
      <c r="B465" s="10" t="s">
        <v>1784</v>
      </c>
      <c r="C465" s="10" t="s">
        <v>1785</v>
      </c>
      <c r="D465" s="10" t="s">
        <v>1460</v>
      </c>
      <c r="E465" s="10" t="s">
        <v>1720</v>
      </c>
      <c r="F465" s="10" t="s">
        <v>793</v>
      </c>
      <c r="G465" s="10"/>
      <c r="H465" s="10"/>
      <c r="I465" s="10" t="s">
        <v>794</v>
      </c>
      <c r="J465" s="10" t="s">
        <v>1004</v>
      </c>
    </row>
    <row r="466" spans="1:10" ht="15" hidden="1" customHeight="1">
      <c r="A466" s="9">
        <v>462</v>
      </c>
      <c r="B466" s="10" t="s">
        <v>1786</v>
      </c>
      <c r="C466" s="10" t="s">
        <v>1787</v>
      </c>
      <c r="D466" s="10" t="s">
        <v>1460</v>
      </c>
      <c r="E466" s="10" t="s">
        <v>1477</v>
      </c>
      <c r="F466" s="10" t="s">
        <v>794</v>
      </c>
      <c r="G466" s="10" t="s">
        <v>1771</v>
      </c>
      <c r="H466" s="10" t="s">
        <v>1479</v>
      </c>
      <c r="I466" s="10" t="s">
        <v>794</v>
      </c>
      <c r="J466" s="10" t="s">
        <v>1475</v>
      </c>
    </row>
    <row r="467" spans="1:10" ht="15" hidden="1" customHeight="1">
      <c r="A467" s="9">
        <v>463</v>
      </c>
      <c r="B467" s="10" t="s">
        <v>1788</v>
      </c>
      <c r="C467" s="10" t="s">
        <v>1789</v>
      </c>
      <c r="D467" s="10" t="s">
        <v>1460</v>
      </c>
      <c r="E467" s="10" t="s">
        <v>1488</v>
      </c>
      <c r="F467" s="10" t="s">
        <v>794</v>
      </c>
      <c r="G467" s="10" t="s">
        <v>1478</v>
      </c>
      <c r="H467" s="10" t="s">
        <v>1479</v>
      </c>
      <c r="I467" s="10" t="s">
        <v>794</v>
      </c>
      <c r="J467" s="10" t="s">
        <v>1475</v>
      </c>
    </row>
    <row r="468" spans="1:10" ht="15" hidden="1" customHeight="1">
      <c r="A468" s="9">
        <v>464</v>
      </c>
      <c r="B468" s="10" t="s">
        <v>1790</v>
      </c>
      <c r="C468" s="10" t="s">
        <v>1791</v>
      </c>
      <c r="D468" s="10" t="s">
        <v>1460</v>
      </c>
      <c r="E468" s="10" t="s">
        <v>1477</v>
      </c>
      <c r="F468" s="10" t="s">
        <v>794</v>
      </c>
      <c r="G468" s="10" t="s">
        <v>1478</v>
      </c>
      <c r="H468" s="10" t="s">
        <v>1479</v>
      </c>
      <c r="I468" s="10" t="s">
        <v>794</v>
      </c>
      <c r="J468" s="10" t="s">
        <v>1475</v>
      </c>
    </row>
    <row r="469" spans="1:10" ht="15" hidden="1" customHeight="1">
      <c r="A469" s="9">
        <v>465</v>
      </c>
      <c r="B469" s="10" t="s">
        <v>1792</v>
      </c>
      <c r="C469" s="10" t="s">
        <v>1793</v>
      </c>
      <c r="D469" s="10" t="s">
        <v>1460</v>
      </c>
      <c r="E469" s="10" t="s">
        <v>1477</v>
      </c>
      <c r="F469" s="10" t="s">
        <v>794</v>
      </c>
      <c r="G469" s="10" t="s">
        <v>1478</v>
      </c>
      <c r="H469" s="10" t="s">
        <v>1479</v>
      </c>
      <c r="I469" s="10" t="s">
        <v>794</v>
      </c>
      <c r="J469" s="10" t="s">
        <v>1475</v>
      </c>
    </row>
    <row r="470" spans="1:10" ht="15" hidden="1" customHeight="1">
      <c r="A470" s="9">
        <v>466</v>
      </c>
      <c r="B470" s="10" t="s">
        <v>1794</v>
      </c>
      <c r="C470" s="10" t="s">
        <v>1795</v>
      </c>
      <c r="D470" s="10" t="s">
        <v>1460</v>
      </c>
      <c r="E470" s="10" t="s">
        <v>1477</v>
      </c>
      <c r="F470" s="10" t="s">
        <v>794</v>
      </c>
      <c r="G470" s="10" t="s">
        <v>1478</v>
      </c>
      <c r="H470" s="10" t="s">
        <v>1479</v>
      </c>
      <c r="I470" s="10" t="s">
        <v>794</v>
      </c>
      <c r="J470" s="10" t="s">
        <v>1475</v>
      </c>
    </row>
    <row r="471" spans="1:10" ht="15" hidden="1" customHeight="1">
      <c r="A471" s="9">
        <v>467</v>
      </c>
      <c r="B471" s="10" t="s">
        <v>1796</v>
      </c>
      <c r="C471" s="10" t="s">
        <v>1797</v>
      </c>
      <c r="D471" s="10" t="s">
        <v>1460</v>
      </c>
      <c r="E471" s="10" t="s">
        <v>1490</v>
      </c>
      <c r="F471" s="10" t="s">
        <v>794</v>
      </c>
      <c r="G471" s="10" t="s">
        <v>1493</v>
      </c>
      <c r="H471" s="10" t="s">
        <v>1479</v>
      </c>
      <c r="I471" s="10" t="s">
        <v>794</v>
      </c>
      <c r="J471" s="10" t="s">
        <v>1475</v>
      </c>
    </row>
    <row r="472" spans="1:10" ht="15" hidden="1" customHeight="1">
      <c r="A472" s="9">
        <v>468</v>
      </c>
      <c r="B472" s="10" t="s">
        <v>1798</v>
      </c>
      <c r="C472" s="10" t="s">
        <v>1799</v>
      </c>
      <c r="D472" s="10" t="s">
        <v>1460</v>
      </c>
      <c r="E472" s="10" t="s">
        <v>1477</v>
      </c>
      <c r="F472" s="10" t="s">
        <v>794</v>
      </c>
      <c r="G472" s="10" t="s">
        <v>1493</v>
      </c>
      <c r="H472" s="10" t="s">
        <v>1479</v>
      </c>
      <c r="I472" s="10" t="s">
        <v>794</v>
      </c>
      <c r="J472" s="10" t="s">
        <v>1475</v>
      </c>
    </row>
    <row r="473" spans="1:10" ht="15" hidden="1" customHeight="1">
      <c r="A473" s="9">
        <v>469</v>
      </c>
      <c r="B473" s="10" t="s">
        <v>1800</v>
      </c>
      <c r="C473" s="10" t="s">
        <v>1801</v>
      </c>
      <c r="D473" s="10" t="s">
        <v>1460</v>
      </c>
      <c r="E473" s="10" t="s">
        <v>1477</v>
      </c>
      <c r="F473" s="10" t="s">
        <v>794</v>
      </c>
      <c r="G473" s="10" t="s">
        <v>1493</v>
      </c>
      <c r="H473" s="10" t="s">
        <v>1479</v>
      </c>
      <c r="I473" s="10" t="s">
        <v>794</v>
      </c>
      <c r="J473" s="10" t="s">
        <v>1475</v>
      </c>
    </row>
    <row r="474" spans="1:10" ht="15" hidden="1" customHeight="1">
      <c r="A474" s="9">
        <v>470</v>
      </c>
      <c r="B474" s="10" t="s">
        <v>1802</v>
      </c>
      <c r="C474" s="10" t="s">
        <v>1803</v>
      </c>
      <c r="D474" s="10" t="s">
        <v>1460</v>
      </c>
      <c r="E474" s="10" t="s">
        <v>1477</v>
      </c>
      <c r="F474" s="10" t="s">
        <v>794</v>
      </c>
      <c r="G474" s="10" t="s">
        <v>1493</v>
      </c>
      <c r="H474" s="10" t="s">
        <v>1479</v>
      </c>
      <c r="I474" s="10" t="s">
        <v>794</v>
      </c>
      <c r="J474" s="10" t="s">
        <v>1475</v>
      </c>
    </row>
    <row r="475" spans="1:10" ht="15" hidden="1" customHeight="1">
      <c r="A475" s="9">
        <v>471</v>
      </c>
      <c r="B475" s="10" t="s">
        <v>1804</v>
      </c>
      <c r="C475" s="10" t="s">
        <v>1805</v>
      </c>
      <c r="D475" s="10" t="s">
        <v>1460</v>
      </c>
      <c r="E475" s="10" t="s">
        <v>1477</v>
      </c>
      <c r="F475" s="10" t="s">
        <v>794</v>
      </c>
      <c r="G475" s="10" t="s">
        <v>1493</v>
      </c>
      <c r="H475" s="10" t="s">
        <v>1479</v>
      </c>
      <c r="I475" s="10" t="s">
        <v>794</v>
      </c>
      <c r="J475" s="10" t="s">
        <v>1475</v>
      </c>
    </row>
    <row r="476" spans="1:10" ht="15" hidden="1" customHeight="1">
      <c r="A476" s="9">
        <v>472</v>
      </c>
      <c r="B476" s="10" t="s">
        <v>1806</v>
      </c>
      <c r="C476" s="10" t="s">
        <v>1807</v>
      </c>
      <c r="D476" s="10" t="s">
        <v>1460</v>
      </c>
      <c r="E476" s="10" t="s">
        <v>1720</v>
      </c>
      <c r="F476" s="10" t="s">
        <v>793</v>
      </c>
      <c r="G476" s="10" t="s">
        <v>1808</v>
      </c>
      <c r="H476" s="10" t="s">
        <v>1479</v>
      </c>
      <c r="I476" s="10" t="s">
        <v>794</v>
      </c>
      <c r="J476" s="10" t="s">
        <v>1004</v>
      </c>
    </row>
    <row r="477" spans="1:10" ht="15" hidden="1" customHeight="1">
      <c r="A477" s="9">
        <v>473</v>
      </c>
      <c r="B477" s="10" t="s">
        <v>1809</v>
      </c>
      <c r="C477" s="10" t="s">
        <v>1810</v>
      </c>
      <c r="D477" s="10" t="s">
        <v>1460</v>
      </c>
      <c r="E477" s="10" t="s">
        <v>1722</v>
      </c>
      <c r="F477" s="10" t="s">
        <v>793</v>
      </c>
      <c r="G477" s="10" t="s">
        <v>1808</v>
      </c>
      <c r="H477" s="10" t="s">
        <v>1479</v>
      </c>
      <c r="I477" s="10" t="s">
        <v>794</v>
      </c>
      <c r="J477" s="10" t="s">
        <v>1004</v>
      </c>
    </row>
    <row r="478" spans="1:10" ht="15" hidden="1" customHeight="1">
      <c r="A478" s="9">
        <v>474</v>
      </c>
      <c r="B478" s="10" t="s">
        <v>1811</v>
      </c>
      <c r="C478" s="10" t="s">
        <v>1812</v>
      </c>
      <c r="D478" s="10" t="s">
        <v>1004</v>
      </c>
      <c r="E478" s="10" t="s">
        <v>1722</v>
      </c>
      <c r="F478" s="10" t="s">
        <v>793</v>
      </c>
      <c r="G478" s="10" t="s">
        <v>1813</v>
      </c>
      <c r="H478" s="10" t="s">
        <v>1479</v>
      </c>
      <c r="I478" s="10" t="s">
        <v>793</v>
      </c>
      <c r="J478" s="10" t="s">
        <v>1004</v>
      </c>
    </row>
    <row r="479" spans="1:10" ht="15" hidden="1" customHeight="1">
      <c r="A479" s="9">
        <v>475</v>
      </c>
      <c r="B479" s="10" t="s">
        <v>1814</v>
      </c>
      <c r="C479" s="10" t="s">
        <v>1815</v>
      </c>
      <c r="D479" s="10" t="s">
        <v>1004</v>
      </c>
      <c r="E479" s="10" t="s">
        <v>1720</v>
      </c>
      <c r="F479" s="10" t="s">
        <v>793</v>
      </c>
      <c r="G479" s="10" t="s">
        <v>1813</v>
      </c>
      <c r="H479" s="10" t="s">
        <v>1479</v>
      </c>
      <c r="I479" s="10" t="s">
        <v>793</v>
      </c>
      <c r="J479" s="10" t="s">
        <v>1004</v>
      </c>
    </row>
    <row r="480" spans="1:10" ht="15" hidden="1" customHeight="1">
      <c r="A480" s="9">
        <v>476</v>
      </c>
      <c r="B480" s="10" t="s">
        <v>1816</v>
      </c>
      <c r="C480" s="10" t="s">
        <v>1817</v>
      </c>
      <c r="D480" s="10" t="s">
        <v>1004</v>
      </c>
      <c r="E480" s="10" t="s">
        <v>1812</v>
      </c>
      <c r="F480" s="10" t="s">
        <v>793</v>
      </c>
      <c r="G480" s="10" t="s">
        <v>1813</v>
      </c>
      <c r="H480" s="10" t="s">
        <v>1479</v>
      </c>
      <c r="I480" s="10" t="s">
        <v>793</v>
      </c>
      <c r="J480" s="10" t="s">
        <v>881</v>
      </c>
    </row>
    <row r="481" spans="1:10" ht="15" hidden="1" customHeight="1">
      <c r="A481" s="9">
        <v>477</v>
      </c>
      <c r="B481" s="10" t="s">
        <v>1818</v>
      </c>
      <c r="C481" s="10" t="s">
        <v>1819</v>
      </c>
      <c r="D481" s="10" t="s">
        <v>1004</v>
      </c>
      <c r="E481" s="10" t="s">
        <v>1817</v>
      </c>
      <c r="F481" s="10" t="s">
        <v>793</v>
      </c>
      <c r="G481" s="10" t="s">
        <v>1820</v>
      </c>
      <c r="H481" s="10" t="s">
        <v>978</v>
      </c>
      <c r="I481" s="10" t="s">
        <v>793</v>
      </c>
      <c r="J481" s="10" t="s">
        <v>881</v>
      </c>
    </row>
    <row r="482" spans="1:10" ht="15" hidden="1" customHeight="1">
      <c r="A482" s="9">
        <v>478</v>
      </c>
      <c r="B482" s="10" t="s">
        <v>1821</v>
      </c>
      <c r="C482" s="10" t="s">
        <v>1822</v>
      </c>
      <c r="D482" s="10" t="s">
        <v>1004</v>
      </c>
      <c r="E482" s="10" t="s">
        <v>1817</v>
      </c>
      <c r="F482" s="10" t="s">
        <v>793</v>
      </c>
      <c r="G482" s="10" t="s">
        <v>1823</v>
      </c>
      <c r="H482" s="10" t="s">
        <v>978</v>
      </c>
      <c r="I482" s="10" t="s">
        <v>793</v>
      </c>
      <c r="J482" s="10" t="s">
        <v>881</v>
      </c>
    </row>
    <row r="483" spans="1:10" ht="15" hidden="1" customHeight="1">
      <c r="A483" s="9">
        <v>479</v>
      </c>
      <c r="B483" s="10" t="s">
        <v>1824</v>
      </c>
      <c r="C483" s="10" t="s">
        <v>1825</v>
      </c>
      <c r="D483" s="10" t="s">
        <v>1004</v>
      </c>
      <c r="E483" s="10" t="s">
        <v>1817</v>
      </c>
      <c r="F483" s="10" t="s">
        <v>793</v>
      </c>
      <c r="G483" s="10" t="s">
        <v>1813</v>
      </c>
      <c r="H483" s="10" t="s">
        <v>1479</v>
      </c>
      <c r="I483" s="10" t="s">
        <v>793</v>
      </c>
      <c r="J483" s="10" t="s">
        <v>881</v>
      </c>
    </row>
    <row r="484" spans="1:10" ht="15" hidden="1" customHeight="1">
      <c r="A484" s="9">
        <v>480</v>
      </c>
      <c r="B484" s="10" t="s">
        <v>1826</v>
      </c>
      <c r="C484" s="10" t="s">
        <v>1827</v>
      </c>
      <c r="D484" s="10" t="s">
        <v>1004</v>
      </c>
      <c r="E484" s="10" t="s">
        <v>1812</v>
      </c>
      <c r="F484" s="10" t="s">
        <v>793</v>
      </c>
      <c r="G484" s="10" t="s">
        <v>1813</v>
      </c>
      <c r="H484" s="10" t="s">
        <v>1479</v>
      </c>
      <c r="I484" s="10" t="s">
        <v>793</v>
      </c>
      <c r="J484" s="10" t="s">
        <v>1004</v>
      </c>
    </row>
    <row r="485" spans="1:10" ht="15" hidden="1" customHeight="1">
      <c r="A485" s="9">
        <v>481</v>
      </c>
      <c r="B485" s="10" t="s">
        <v>1828</v>
      </c>
      <c r="C485" s="10" t="s">
        <v>1829</v>
      </c>
      <c r="D485" s="10" t="s">
        <v>1004</v>
      </c>
      <c r="E485" s="10" t="s">
        <v>1827</v>
      </c>
      <c r="F485" s="10" t="s">
        <v>793</v>
      </c>
      <c r="G485" s="10" t="s">
        <v>1830</v>
      </c>
      <c r="H485" s="10" t="s">
        <v>978</v>
      </c>
      <c r="I485" s="10" t="s">
        <v>793</v>
      </c>
      <c r="J485" s="10" t="s">
        <v>1004</v>
      </c>
    </row>
    <row r="486" spans="1:10" ht="15" hidden="1" customHeight="1">
      <c r="A486" s="9">
        <v>482</v>
      </c>
      <c r="B486" s="10" t="s">
        <v>1831</v>
      </c>
      <c r="C486" s="10" t="s">
        <v>1832</v>
      </c>
      <c r="D486" s="10" t="s">
        <v>1004</v>
      </c>
      <c r="E486" s="10" t="s">
        <v>1829</v>
      </c>
      <c r="F486" s="10" t="s">
        <v>793</v>
      </c>
      <c r="G486" s="10" t="s">
        <v>1833</v>
      </c>
      <c r="H486" s="10" t="s">
        <v>978</v>
      </c>
      <c r="I486" s="10" t="s">
        <v>793</v>
      </c>
      <c r="J486" s="10" t="s">
        <v>1004</v>
      </c>
    </row>
    <row r="487" spans="1:10" ht="15" hidden="1" customHeight="1">
      <c r="A487" s="9">
        <v>483</v>
      </c>
      <c r="B487" s="10" t="s">
        <v>1834</v>
      </c>
      <c r="C487" s="10" t="s">
        <v>1835</v>
      </c>
      <c r="D487" s="10" t="s">
        <v>1004</v>
      </c>
      <c r="E487" s="10" t="s">
        <v>1829</v>
      </c>
      <c r="F487" s="10" t="s">
        <v>793</v>
      </c>
      <c r="G487" s="10" t="s">
        <v>1836</v>
      </c>
      <c r="H487" s="10" t="s">
        <v>978</v>
      </c>
      <c r="I487" s="10" t="s">
        <v>793</v>
      </c>
      <c r="J487" s="10" t="s">
        <v>1004</v>
      </c>
    </row>
    <row r="488" spans="1:10" ht="15" hidden="1" customHeight="1">
      <c r="A488" s="9">
        <v>484</v>
      </c>
      <c r="B488" s="10" t="s">
        <v>1837</v>
      </c>
      <c r="C488" s="10" t="s">
        <v>1838</v>
      </c>
      <c r="D488" s="10" t="s">
        <v>1004</v>
      </c>
      <c r="E488" s="10" t="s">
        <v>1829</v>
      </c>
      <c r="F488" s="10" t="s">
        <v>793</v>
      </c>
      <c r="G488" s="10" t="s">
        <v>1839</v>
      </c>
      <c r="H488" s="10" t="s">
        <v>978</v>
      </c>
      <c r="I488" s="10" t="s">
        <v>793</v>
      </c>
      <c r="J488" s="10" t="s">
        <v>1004</v>
      </c>
    </row>
    <row r="489" spans="1:10" ht="15" hidden="1" customHeight="1">
      <c r="A489" s="9">
        <v>485</v>
      </c>
      <c r="B489" s="10" t="s">
        <v>1840</v>
      </c>
      <c r="C489" s="10" t="s">
        <v>1841</v>
      </c>
      <c r="D489" s="10" t="s">
        <v>1004</v>
      </c>
      <c r="E489" s="10" t="s">
        <v>1829</v>
      </c>
      <c r="F489" s="10" t="s">
        <v>793</v>
      </c>
      <c r="G489" s="10" t="s">
        <v>1842</v>
      </c>
      <c r="H489" s="10" t="s">
        <v>978</v>
      </c>
      <c r="I489" s="10" t="s">
        <v>793</v>
      </c>
      <c r="J489" s="10" t="s">
        <v>1004</v>
      </c>
    </row>
    <row r="490" spans="1:10" ht="15" hidden="1" customHeight="1">
      <c r="A490" s="9">
        <v>486</v>
      </c>
      <c r="B490" s="10" t="s">
        <v>1843</v>
      </c>
      <c r="C490" s="10" t="s">
        <v>1844</v>
      </c>
      <c r="D490" s="10" t="s">
        <v>1004</v>
      </c>
      <c r="E490" s="10" t="s">
        <v>1829</v>
      </c>
      <c r="F490" s="10" t="s">
        <v>793</v>
      </c>
      <c r="G490" s="10" t="s">
        <v>1845</v>
      </c>
      <c r="H490" s="10" t="s">
        <v>978</v>
      </c>
      <c r="I490" s="10" t="s">
        <v>793</v>
      </c>
      <c r="J490" s="10" t="s">
        <v>1004</v>
      </c>
    </row>
    <row r="491" spans="1:10" ht="15" hidden="1" customHeight="1">
      <c r="A491" s="9">
        <v>487</v>
      </c>
      <c r="B491" s="10" t="s">
        <v>1846</v>
      </c>
      <c r="C491" s="10" t="s">
        <v>1847</v>
      </c>
      <c r="D491" s="10" t="s">
        <v>1004</v>
      </c>
      <c r="E491" s="10" t="s">
        <v>1829</v>
      </c>
      <c r="F491" s="10" t="s">
        <v>793</v>
      </c>
      <c r="G491" s="10" t="s">
        <v>1848</v>
      </c>
      <c r="H491" s="10" t="s">
        <v>978</v>
      </c>
      <c r="I491" s="10" t="s">
        <v>793</v>
      </c>
      <c r="J491" s="10" t="s">
        <v>1004</v>
      </c>
    </row>
    <row r="492" spans="1:10" ht="15" hidden="1" customHeight="1">
      <c r="A492" s="9">
        <v>488</v>
      </c>
      <c r="B492" s="10" t="s">
        <v>1849</v>
      </c>
      <c r="C492" s="10" t="s">
        <v>1850</v>
      </c>
      <c r="D492" s="10" t="s">
        <v>1004</v>
      </c>
      <c r="E492" s="10" t="s">
        <v>1829</v>
      </c>
      <c r="F492" s="10" t="s">
        <v>793</v>
      </c>
      <c r="G492" s="10" t="s">
        <v>1851</v>
      </c>
      <c r="H492" s="10" t="s">
        <v>978</v>
      </c>
      <c r="I492" s="10" t="s">
        <v>793</v>
      </c>
      <c r="J492" s="10" t="s">
        <v>1004</v>
      </c>
    </row>
    <row r="493" spans="1:10" ht="15" hidden="1" customHeight="1">
      <c r="A493" s="9">
        <v>489</v>
      </c>
      <c r="B493" s="10" t="s">
        <v>1852</v>
      </c>
      <c r="C493" s="10" t="s">
        <v>1853</v>
      </c>
      <c r="D493" s="10" t="s">
        <v>1004</v>
      </c>
      <c r="E493" s="10" t="s">
        <v>1829</v>
      </c>
      <c r="F493" s="10" t="s">
        <v>793</v>
      </c>
      <c r="G493" s="10" t="s">
        <v>1854</v>
      </c>
      <c r="H493" s="10" t="s">
        <v>978</v>
      </c>
      <c r="I493" s="10" t="s">
        <v>793</v>
      </c>
      <c r="J493" s="10" t="s">
        <v>1004</v>
      </c>
    </row>
    <row r="494" spans="1:10" ht="15" hidden="1" customHeight="1">
      <c r="A494" s="9">
        <v>490</v>
      </c>
      <c r="B494" s="10" t="s">
        <v>1855</v>
      </c>
      <c r="C494" s="10" t="s">
        <v>1856</v>
      </c>
      <c r="D494" s="10" t="s">
        <v>1004</v>
      </c>
      <c r="E494" s="10" t="s">
        <v>1815</v>
      </c>
      <c r="F494" s="10" t="s">
        <v>793</v>
      </c>
      <c r="G494" s="10" t="s">
        <v>1823</v>
      </c>
      <c r="H494" s="10" t="s">
        <v>978</v>
      </c>
      <c r="I494" s="10" t="s">
        <v>793</v>
      </c>
      <c r="J494" s="10" t="s">
        <v>1004</v>
      </c>
    </row>
    <row r="495" spans="1:10" ht="15" hidden="1" customHeight="1">
      <c r="A495" s="9">
        <v>491</v>
      </c>
      <c r="B495" s="10" t="s">
        <v>1857</v>
      </c>
      <c r="C495" s="10" t="s">
        <v>1858</v>
      </c>
      <c r="D495" s="10" t="s">
        <v>1004</v>
      </c>
      <c r="E495" s="10" t="s">
        <v>1856</v>
      </c>
      <c r="F495" s="10" t="s">
        <v>793</v>
      </c>
      <c r="G495" s="10" t="s">
        <v>1833</v>
      </c>
      <c r="H495" s="10" t="s">
        <v>978</v>
      </c>
      <c r="I495" s="10" t="s">
        <v>793</v>
      </c>
      <c r="J495" s="10" t="s">
        <v>1004</v>
      </c>
    </row>
    <row r="496" spans="1:10" ht="15" hidden="1" customHeight="1">
      <c r="A496" s="9">
        <v>492</v>
      </c>
      <c r="B496" s="10" t="s">
        <v>1859</v>
      </c>
      <c r="C496" s="10" t="s">
        <v>1860</v>
      </c>
      <c r="D496" s="10" t="s">
        <v>1004</v>
      </c>
      <c r="E496" s="10" t="s">
        <v>1856</v>
      </c>
      <c r="F496" s="10" t="s">
        <v>793</v>
      </c>
      <c r="G496" s="10" t="s">
        <v>1836</v>
      </c>
      <c r="H496" s="10" t="s">
        <v>978</v>
      </c>
      <c r="I496" s="10" t="s">
        <v>793</v>
      </c>
      <c r="J496" s="10" t="s">
        <v>1004</v>
      </c>
    </row>
    <row r="497" spans="1:10" ht="15" hidden="1" customHeight="1">
      <c r="A497" s="9">
        <v>493</v>
      </c>
      <c r="B497" s="10" t="s">
        <v>1861</v>
      </c>
      <c r="C497" s="10" t="s">
        <v>1862</v>
      </c>
      <c r="D497" s="10" t="s">
        <v>1004</v>
      </c>
      <c r="E497" s="10" t="s">
        <v>1856</v>
      </c>
      <c r="F497" s="10" t="s">
        <v>793</v>
      </c>
      <c r="G497" s="10" t="s">
        <v>1839</v>
      </c>
      <c r="H497" s="10" t="s">
        <v>978</v>
      </c>
      <c r="I497" s="10" t="s">
        <v>793</v>
      </c>
      <c r="J497" s="10" t="s">
        <v>1004</v>
      </c>
    </row>
    <row r="498" spans="1:10" ht="15" hidden="1" customHeight="1">
      <c r="A498" s="9">
        <v>494</v>
      </c>
      <c r="B498" s="10" t="s">
        <v>1863</v>
      </c>
      <c r="C498" s="10" t="s">
        <v>1864</v>
      </c>
      <c r="D498" s="10" t="s">
        <v>1004</v>
      </c>
      <c r="E498" s="10" t="s">
        <v>1856</v>
      </c>
      <c r="F498" s="10" t="s">
        <v>793</v>
      </c>
      <c r="G498" s="10" t="s">
        <v>1842</v>
      </c>
      <c r="H498" s="10" t="s">
        <v>978</v>
      </c>
      <c r="I498" s="10" t="s">
        <v>793</v>
      </c>
      <c r="J498" s="10" t="s">
        <v>1004</v>
      </c>
    </row>
    <row r="499" spans="1:10" ht="15" hidden="1" customHeight="1">
      <c r="A499" s="9">
        <v>495</v>
      </c>
      <c r="B499" s="10" t="s">
        <v>1865</v>
      </c>
      <c r="C499" s="10" t="s">
        <v>1866</v>
      </c>
      <c r="D499" s="10" t="s">
        <v>1004</v>
      </c>
      <c r="E499" s="10" t="s">
        <v>1856</v>
      </c>
      <c r="F499" s="10" t="s">
        <v>793</v>
      </c>
      <c r="G499" s="10" t="s">
        <v>1845</v>
      </c>
      <c r="H499" s="10" t="s">
        <v>978</v>
      </c>
      <c r="I499" s="10" t="s">
        <v>793</v>
      </c>
      <c r="J499" s="10" t="s">
        <v>1004</v>
      </c>
    </row>
    <row r="500" spans="1:10" ht="15" hidden="1" customHeight="1">
      <c r="A500" s="9">
        <v>496</v>
      </c>
      <c r="B500" s="10" t="s">
        <v>1867</v>
      </c>
      <c r="C500" s="10" t="s">
        <v>1868</v>
      </c>
      <c r="D500" s="10" t="s">
        <v>1004</v>
      </c>
      <c r="E500" s="10" t="s">
        <v>1856</v>
      </c>
      <c r="F500" s="10" t="s">
        <v>793</v>
      </c>
      <c r="G500" s="10" t="s">
        <v>1848</v>
      </c>
      <c r="H500" s="10" t="s">
        <v>978</v>
      </c>
      <c r="I500" s="10" t="s">
        <v>793</v>
      </c>
      <c r="J500" s="10" t="s">
        <v>1004</v>
      </c>
    </row>
    <row r="501" spans="1:10" ht="15" hidden="1" customHeight="1">
      <c r="A501" s="9">
        <v>497</v>
      </c>
      <c r="B501" s="10" t="s">
        <v>1869</v>
      </c>
      <c r="C501" s="10" t="s">
        <v>1870</v>
      </c>
      <c r="D501" s="10" t="s">
        <v>1004</v>
      </c>
      <c r="E501" s="10" t="s">
        <v>1856</v>
      </c>
      <c r="F501" s="10" t="s">
        <v>793</v>
      </c>
      <c r="G501" s="10" t="s">
        <v>1851</v>
      </c>
      <c r="H501" s="10" t="s">
        <v>978</v>
      </c>
      <c r="I501" s="10" t="s">
        <v>793</v>
      </c>
      <c r="J501" s="10" t="s">
        <v>1004</v>
      </c>
    </row>
    <row r="502" spans="1:10" ht="15" hidden="1" customHeight="1">
      <c r="A502" s="9">
        <v>498</v>
      </c>
      <c r="B502" s="10" t="s">
        <v>1871</v>
      </c>
      <c r="C502" s="10" t="s">
        <v>1872</v>
      </c>
      <c r="D502" s="10" t="s">
        <v>1004</v>
      </c>
      <c r="E502" s="10" t="s">
        <v>1856</v>
      </c>
      <c r="F502" s="10" t="s">
        <v>793</v>
      </c>
      <c r="G502" s="10" t="s">
        <v>1854</v>
      </c>
      <c r="H502" s="10" t="s">
        <v>978</v>
      </c>
      <c r="I502" s="10" t="s">
        <v>793</v>
      </c>
      <c r="J502" s="10" t="s">
        <v>1004</v>
      </c>
    </row>
    <row r="503" spans="1:10" ht="15" hidden="1" customHeight="1">
      <c r="A503" s="9">
        <v>499</v>
      </c>
      <c r="B503" s="10" t="s">
        <v>1873</v>
      </c>
      <c r="C503" s="10" t="s">
        <v>1874</v>
      </c>
      <c r="D503" s="10" t="s">
        <v>1004</v>
      </c>
      <c r="E503" s="10" t="s">
        <v>1875</v>
      </c>
      <c r="F503" s="10" t="s">
        <v>793</v>
      </c>
      <c r="G503" s="10" t="s">
        <v>1813</v>
      </c>
      <c r="H503" s="10" t="s">
        <v>1479</v>
      </c>
      <c r="I503" s="10" t="s">
        <v>793</v>
      </c>
      <c r="J503" s="10" t="s">
        <v>881</v>
      </c>
    </row>
    <row r="504" spans="1:10" ht="15" hidden="1" customHeight="1">
      <c r="A504" s="9">
        <v>500</v>
      </c>
      <c r="B504" s="10" t="s">
        <v>1876</v>
      </c>
      <c r="C504" s="10" t="s">
        <v>1875</v>
      </c>
      <c r="D504" s="10" t="s">
        <v>1004</v>
      </c>
      <c r="E504" s="10" t="s">
        <v>1815</v>
      </c>
      <c r="F504" s="10" t="s">
        <v>793</v>
      </c>
      <c r="G504" s="10" t="s">
        <v>1813</v>
      </c>
      <c r="H504" s="10" t="s">
        <v>1479</v>
      </c>
      <c r="I504" s="10" t="s">
        <v>793</v>
      </c>
      <c r="J504" s="10" t="s">
        <v>1004</v>
      </c>
    </row>
    <row r="505" spans="1:10" ht="15" hidden="1" customHeight="1">
      <c r="A505" s="9">
        <v>501</v>
      </c>
      <c r="B505" s="10" t="s">
        <v>1877</v>
      </c>
      <c r="C505" s="10" t="s">
        <v>1878</v>
      </c>
      <c r="D505" s="10" t="s">
        <v>1004</v>
      </c>
      <c r="E505" s="10" t="s">
        <v>1875</v>
      </c>
      <c r="F505" s="10" t="s">
        <v>793</v>
      </c>
      <c r="G505" s="10" t="s">
        <v>1813</v>
      </c>
      <c r="H505" s="10" t="s">
        <v>1479</v>
      </c>
      <c r="I505" s="10" t="s">
        <v>793</v>
      </c>
      <c r="J505" s="10" t="s">
        <v>881</v>
      </c>
    </row>
    <row r="506" spans="1:10" ht="15" hidden="1" customHeight="1">
      <c r="A506" s="9">
        <v>502</v>
      </c>
      <c r="B506" s="10" t="s">
        <v>1879</v>
      </c>
      <c r="C506" s="10" t="s">
        <v>1880</v>
      </c>
      <c r="D506" s="10" t="s">
        <v>1004</v>
      </c>
      <c r="E506" s="10" t="s">
        <v>1875</v>
      </c>
      <c r="F506" s="10" t="s">
        <v>794</v>
      </c>
      <c r="G506" s="10" t="s">
        <v>1813</v>
      </c>
      <c r="H506" s="10" t="s">
        <v>1479</v>
      </c>
      <c r="I506" s="10" t="s">
        <v>794</v>
      </c>
      <c r="J506" s="10" t="s">
        <v>1004</v>
      </c>
    </row>
    <row r="507" spans="1:10" ht="15" hidden="1" customHeight="1">
      <c r="A507" s="9">
        <v>503</v>
      </c>
      <c r="B507" s="10" t="s">
        <v>1881</v>
      </c>
      <c r="C507" s="10" t="s">
        <v>1882</v>
      </c>
      <c r="D507" s="10" t="s">
        <v>1004</v>
      </c>
      <c r="E507" s="10" t="s">
        <v>1812</v>
      </c>
      <c r="F507" s="10" t="s">
        <v>793</v>
      </c>
      <c r="G507" s="10" t="s">
        <v>1813</v>
      </c>
      <c r="H507" s="10" t="s">
        <v>1479</v>
      </c>
      <c r="I507" s="10" t="s">
        <v>793</v>
      </c>
      <c r="J507" s="10" t="s">
        <v>1004</v>
      </c>
    </row>
    <row r="508" spans="1:10" ht="15" hidden="1" customHeight="1">
      <c r="A508" s="9">
        <v>504</v>
      </c>
      <c r="B508" s="10" t="s">
        <v>1883</v>
      </c>
      <c r="C508" s="10" t="s">
        <v>1884</v>
      </c>
      <c r="D508" s="10" t="s">
        <v>1004</v>
      </c>
      <c r="E508" s="10" t="s">
        <v>1882</v>
      </c>
      <c r="F508" s="10" t="s">
        <v>793</v>
      </c>
      <c r="G508" s="10" t="s">
        <v>1885</v>
      </c>
      <c r="H508" s="10" t="s">
        <v>978</v>
      </c>
      <c r="I508" s="10" t="s">
        <v>793</v>
      </c>
      <c r="J508" s="10" t="s">
        <v>881</v>
      </c>
    </row>
    <row r="509" spans="1:10" ht="15" hidden="1" customHeight="1">
      <c r="A509" s="9">
        <v>505</v>
      </c>
      <c r="B509" s="10" t="s">
        <v>1886</v>
      </c>
      <c r="C509" s="10" t="s">
        <v>1887</v>
      </c>
      <c r="D509" s="10" t="s">
        <v>1004</v>
      </c>
      <c r="E509" s="10" t="s">
        <v>1815</v>
      </c>
      <c r="F509" s="10" t="s">
        <v>793</v>
      </c>
      <c r="G509" s="10" t="s">
        <v>1885</v>
      </c>
      <c r="H509" s="10" t="s">
        <v>978</v>
      </c>
      <c r="I509" s="10" t="s">
        <v>793</v>
      </c>
      <c r="J509" s="10" t="s">
        <v>881</v>
      </c>
    </row>
    <row r="510" spans="1:10" ht="15" hidden="1" customHeight="1">
      <c r="A510" s="9">
        <v>506</v>
      </c>
      <c r="B510" s="10" t="s">
        <v>1888</v>
      </c>
      <c r="C510" s="10" t="s">
        <v>1889</v>
      </c>
      <c r="D510" s="10" t="s">
        <v>1004</v>
      </c>
      <c r="E510" s="10" t="s">
        <v>1875</v>
      </c>
      <c r="F510" s="10" t="s">
        <v>793</v>
      </c>
      <c r="G510" s="10" t="s">
        <v>1890</v>
      </c>
      <c r="H510" s="10" t="s">
        <v>978</v>
      </c>
      <c r="I510" s="10" t="s">
        <v>793</v>
      </c>
      <c r="J510" s="10" t="s">
        <v>1004</v>
      </c>
    </row>
    <row r="511" spans="1:10" ht="15" hidden="1" customHeight="1">
      <c r="A511" s="9">
        <v>507</v>
      </c>
      <c r="B511" s="10" t="s">
        <v>1891</v>
      </c>
      <c r="C511" s="10" t="s">
        <v>1892</v>
      </c>
      <c r="D511" s="10" t="s">
        <v>1004</v>
      </c>
      <c r="E511" s="10" t="s">
        <v>1815</v>
      </c>
      <c r="F511" s="10" t="s">
        <v>793</v>
      </c>
      <c r="G511" s="10" t="s">
        <v>1890</v>
      </c>
      <c r="H511" s="10" t="s">
        <v>978</v>
      </c>
      <c r="I511" s="10" t="s">
        <v>793</v>
      </c>
      <c r="J511" s="10" t="s">
        <v>881</v>
      </c>
    </row>
    <row r="512" spans="1:10" ht="15" hidden="1" customHeight="1">
      <c r="A512" s="9">
        <v>508</v>
      </c>
      <c r="B512" s="10" t="s">
        <v>1893</v>
      </c>
      <c r="C512" s="10" t="s">
        <v>1894</v>
      </c>
      <c r="D512" s="10" t="s">
        <v>1004</v>
      </c>
      <c r="E512" s="10" t="s">
        <v>1882</v>
      </c>
      <c r="F512" s="10" t="s">
        <v>793</v>
      </c>
      <c r="G512" s="10" t="s">
        <v>977</v>
      </c>
      <c r="H512" s="10" t="s">
        <v>978</v>
      </c>
      <c r="I512" s="10" t="s">
        <v>793</v>
      </c>
      <c r="J512" s="10" t="s">
        <v>881</v>
      </c>
    </row>
    <row r="513" spans="1:10" ht="15" hidden="1" customHeight="1">
      <c r="A513" s="9">
        <v>509</v>
      </c>
      <c r="B513" s="10" t="s">
        <v>1895</v>
      </c>
      <c r="C513" s="10" t="s">
        <v>1896</v>
      </c>
      <c r="D513" s="10" t="s">
        <v>1004</v>
      </c>
      <c r="E513" s="10" t="s">
        <v>1812</v>
      </c>
      <c r="F513" s="10" t="s">
        <v>793</v>
      </c>
      <c r="G513" s="10" t="s">
        <v>1813</v>
      </c>
      <c r="H513" s="10" t="s">
        <v>1479</v>
      </c>
      <c r="I513" s="10" t="s">
        <v>793</v>
      </c>
      <c r="J513" s="10" t="s">
        <v>1004</v>
      </c>
    </row>
    <row r="514" spans="1:10" ht="15" hidden="1" customHeight="1">
      <c r="A514" s="9">
        <v>510</v>
      </c>
      <c r="B514" s="10" t="s">
        <v>1897</v>
      </c>
      <c r="C514" s="10" t="s">
        <v>1898</v>
      </c>
      <c r="D514" s="10" t="s">
        <v>1004</v>
      </c>
      <c r="E514" s="10" t="s">
        <v>1896</v>
      </c>
      <c r="F514" s="10" t="s">
        <v>793</v>
      </c>
      <c r="G514" s="10" t="s">
        <v>1899</v>
      </c>
      <c r="H514" s="10" t="s">
        <v>978</v>
      </c>
      <c r="I514" s="10" t="s">
        <v>793</v>
      </c>
      <c r="J514" s="10" t="s">
        <v>1004</v>
      </c>
    </row>
    <row r="515" spans="1:10" ht="15" hidden="1" customHeight="1">
      <c r="A515" s="9">
        <v>511</v>
      </c>
      <c r="B515" s="10" t="s">
        <v>1900</v>
      </c>
      <c r="C515" s="10" t="s">
        <v>1901</v>
      </c>
      <c r="D515" s="10" t="s">
        <v>1004</v>
      </c>
      <c r="E515" s="10" t="s">
        <v>1815</v>
      </c>
      <c r="F515" s="10" t="s">
        <v>793</v>
      </c>
      <c r="G515" s="10" t="s">
        <v>1899</v>
      </c>
      <c r="H515" s="10" t="s">
        <v>978</v>
      </c>
      <c r="I515" s="10" t="s">
        <v>793</v>
      </c>
      <c r="J515" s="10" t="s">
        <v>1004</v>
      </c>
    </row>
    <row r="516" spans="1:10" ht="15" hidden="1" customHeight="1">
      <c r="A516" s="9">
        <v>512</v>
      </c>
      <c r="B516" s="10" t="s">
        <v>1902</v>
      </c>
      <c r="C516" s="10" t="s">
        <v>1903</v>
      </c>
      <c r="D516" s="10" t="s">
        <v>1004</v>
      </c>
      <c r="E516" s="10" t="s">
        <v>1815</v>
      </c>
      <c r="F516" s="10" t="s">
        <v>793</v>
      </c>
      <c r="G516" s="10" t="s">
        <v>977</v>
      </c>
      <c r="H516" s="10" t="s">
        <v>978</v>
      </c>
      <c r="I516" s="10" t="s">
        <v>793</v>
      </c>
      <c r="J516" s="10" t="s">
        <v>881</v>
      </c>
    </row>
    <row r="517" spans="1:10" ht="15" hidden="1" customHeight="1">
      <c r="A517" s="9">
        <v>513</v>
      </c>
      <c r="B517" s="10" t="s">
        <v>1904</v>
      </c>
      <c r="C517" s="10" t="s">
        <v>1905</v>
      </c>
      <c r="D517" s="10" t="s">
        <v>1004</v>
      </c>
      <c r="E517" s="10" t="s">
        <v>1812</v>
      </c>
      <c r="F517" s="10" t="s">
        <v>793</v>
      </c>
      <c r="G517" s="10" t="s">
        <v>1813</v>
      </c>
      <c r="H517" s="10" t="s">
        <v>1479</v>
      </c>
      <c r="I517" s="10" t="s">
        <v>793</v>
      </c>
      <c r="J517" s="10" t="s">
        <v>1004</v>
      </c>
    </row>
    <row r="518" spans="1:10" ht="15" hidden="1" customHeight="1">
      <c r="A518" s="9">
        <v>514</v>
      </c>
      <c r="B518" s="10" t="s">
        <v>1906</v>
      </c>
      <c r="C518" s="10" t="s">
        <v>1907</v>
      </c>
      <c r="D518" s="10" t="s">
        <v>1004</v>
      </c>
      <c r="E518" s="10" t="s">
        <v>1905</v>
      </c>
      <c r="F518" s="10" t="s">
        <v>793</v>
      </c>
      <c r="G518" s="10" t="s">
        <v>1908</v>
      </c>
      <c r="H518" s="10" t="s">
        <v>978</v>
      </c>
      <c r="I518" s="10" t="s">
        <v>793</v>
      </c>
      <c r="J518" s="10" t="s">
        <v>795</v>
      </c>
    </row>
    <row r="519" spans="1:10" ht="15" hidden="1" customHeight="1">
      <c r="A519" s="9">
        <v>515</v>
      </c>
      <c r="B519" s="10" t="s">
        <v>1909</v>
      </c>
      <c r="C519" s="10" t="s">
        <v>1910</v>
      </c>
      <c r="D519" s="10" t="s">
        <v>1004</v>
      </c>
      <c r="E519" s="10" t="s">
        <v>1905</v>
      </c>
      <c r="F519" s="10" t="s">
        <v>793</v>
      </c>
      <c r="G519" s="10" t="s">
        <v>1908</v>
      </c>
      <c r="H519" s="10" t="s">
        <v>978</v>
      </c>
      <c r="I519" s="10" t="s">
        <v>793</v>
      </c>
      <c r="J519" s="10" t="s">
        <v>795</v>
      </c>
    </row>
    <row r="520" spans="1:10" ht="15" hidden="1" customHeight="1">
      <c r="A520" s="9">
        <v>516</v>
      </c>
      <c r="B520" s="10" t="s">
        <v>1911</v>
      </c>
      <c r="C520" s="10" t="s">
        <v>1912</v>
      </c>
      <c r="D520" s="10" t="s">
        <v>1004</v>
      </c>
      <c r="E520" s="10" t="s">
        <v>1812</v>
      </c>
      <c r="F520" s="10" t="s">
        <v>793</v>
      </c>
      <c r="G520" s="10" t="s">
        <v>1913</v>
      </c>
      <c r="H520" s="10" t="s">
        <v>978</v>
      </c>
      <c r="I520" s="10" t="s">
        <v>793</v>
      </c>
      <c r="J520" s="10" t="s">
        <v>1004</v>
      </c>
    </row>
    <row r="521" spans="1:10" ht="15" hidden="1" customHeight="1">
      <c r="A521" s="9">
        <v>517</v>
      </c>
      <c r="B521" s="10" t="s">
        <v>1914</v>
      </c>
      <c r="C521" s="10" t="s">
        <v>1915</v>
      </c>
      <c r="D521" s="10" t="s">
        <v>1004</v>
      </c>
      <c r="E521" s="10" t="s">
        <v>1815</v>
      </c>
      <c r="F521" s="10" t="s">
        <v>793</v>
      </c>
      <c r="G521" s="10" t="s">
        <v>1913</v>
      </c>
      <c r="H521" s="10" t="s">
        <v>978</v>
      </c>
      <c r="I521" s="10" t="s">
        <v>793</v>
      </c>
      <c r="J521" s="10" t="s">
        <v>1004</v>
      </c>
    </row>
    <row r="522" spans="1:10" ht="15" hidden="1" customHeight="1">
      <c r="A522" s="9">
        <v>518</v>
      </c>
      <c r="B522" s="10" t="s">
        <v>1916</v>
      </c>
      <c r="C522" s="10" t="s">
        <v>1917</v>
      </c>
      <c r="D522" s="10" t="s">
        <v>1004</v>
      </c>
      <c r="E522" s="10" t="s">
        <v>1812</v>
      </c>
      <c r="F522" s="10" t="s">
        <v>793</v>
      </c>
      <c r="G522" s="10" t="s">
        <v>1813</v>
      </c>
      <c r="H522" s="10" t="s">
        <v>1479</v>
      </c>
      <c r="I522" s="10" t="s">
        <v>793</v>
      </c>
      <c r="J522" s="10" t="s">
        <v>1004</v>
      </c>
    </row>
    <row r="523" spans="1:10" ht="15" hidden="1" customHeight="1">
      <c r="A523" s="9">
        <v>519</v>
      </c>
      <c r="B523" s="10" t="s">
        <v>1918</v>
      </c>
      <c r="C523" s="10" t="s">
        <v>1919</v>
      </c>
      <c r="D523" s="10" t="s">
        <v>1004</v>
      </c>
      <c r="E523" s="10" t="s">
        <v>1917</v>
      </c>
      <c r="F523" s="10" t="s">
        <v>793</v>
      </c>
      <c r="G523" s="10" t="s">
        <v>1920</v>
      </c>
      <c r="H523" s="10" t="s">
        <v>978</v>
      </c>
      <c r="I523" s="10" t="s">
        <v>793</v>
      </c>
      <c r="J523" s="10" t="s">
        <v>1004</v>
      </c>
    </row>
    <row r="524" spans="1:10" ht="15" hidden="1" customHeight="1">
      <c r="A524" s="9">
        <v>520</v>
      </c>
      <c r="B524" s="10" t="s">
        <v>1921</v>
      </c>
      <c r="C524" s="10" t="s">
        <v>1922</v>
      </c>
      <c r="D524" s="10" t="s">
        <v>1004</v>
      </c>
      <c r="E524" s="10" t="s">
        <v>1815</v>
      </c>
      <c r="F524" s="10" t="s">
        <v>793</v>
      </c>
      <c r="G524" s="10" t="s">
        <v>1920</v>
      </c>
      <c r="H524" s="10" t="s">
        <v>978</v>
      </c>
      <c r="I524" s="10" t="s">
        <v>793</v>
      </c>
      <c r="J524" s="10" t="s">
        <v>1004</v>
      </c>
    </row>
    <row r="525" spans="1:10" ht="15" hidden="1" customHeight="1">
      <c r="A525" s="9">
        <v>521</v>
      </c>
      <c r="B525" s="10" t="s">
        <v>1923</v>
      </c>
      <c r="C525" s="10" t="s">
        <v>1924</v>
      </c>
      <c r="D525" s="10" t="s">
        <v>1004</v>
      </c>
      <c r="E525" s="10" t="s">
        <v>1812</v>
      </c>
      <c r="F525" s="10" t="s">
        <v>793</v>
      </c>
      <c r="G525" s="10" t="s">
        <v>1925</v>
      </c>
      <c r="H525" s="10" t="s">
        <v>978</v>
      </c>
      <c r="I525" s="10" t="s">
        <v>793</v>
      </c>
      <c r="J525" s="10" t="s">
        <v>1004</v>
      </c>
    </row>
    <row r="526" spans="1:10" ht="15" hidden="1" customHeight="1">
      <c r="A526" s="9">
        <v>522</v>
      </c>
      <c r="B526" s="10" t="s">
        <v>1926</v>
      </c>
      <c r="C526" s="10" t="s">
        <v>1927</v>
      </c>
      <c r="D526" s="10" t="s">
        <v>1004</v>
      </c>
      <c r="E526" s="10" t="s">
        <v>1815</v>
      </c>
      <c r="F526" s="10" t="s">
        <v>793</v>
      </c>
      <c r="G526" s="10" t="s">
        <v>1925</v>
      </c>
      <c r="H526" s="10" t="s">
        <v>978</v>
      </c>
      <c r="I526" s="10" t="s">
        <v>793</v>
      </c>
      <c r="J526" s="10" t="s">
        <v>1004</v>
      </c>
    </row>
    <row r="527" spans="1:10" ht="15" hidden="1" customHeight="1">
      <c r="A527" s="9">
        <v>523</v>
      </c>
      <c r="B527" s="10" t="s">
        <v>1928</v>
      </c>
      <c r="C527" s="10" t="s">
        <v>1929</v>
      </c>
      <c r="D527" s="10" t="s">
        <v>1004</v>
      </c>
      <c r="E527" s="10" t="s">
        <v>1812</v>
      </c>
      <c r="F527" s="10" t="s">
        <v>793</v>
      </c>
      <c r="G527" s="10" t="s">
        <v>1813</v>
      </c>
      <c r="H527" s="10" t="s">
        <v>1479</v>
      </c>
      <c r="I527" s="10" t="s">
        <v>793</v>
      </c>
      <c r="J527" s="10" t="s">
        <v>1004</v>
      </c>
    </row>
    <row r="528" spans="1:10" ht="15" hidden="1" customHeight="1">
      <c r="A528" s="9">
        <v>524</v>
      </c>
      <c r="B528" s="10" t="s">
        <v>1930</v>
      </c>
      <c r="C528" s="10" t="s">
        <v>1931</v>
      </c>
      <c r="D528" s="10" t="s">
        <v>1004</v>
      </c>
      <c r="E528" s="10" t="s">
        <v>1929</v>
      </c>
      <c r="F528" s="10" t="s">
        <v>793</v>
      </c>
      <c r="G528" s="10" t="s">
        <v>1932</v>
      </c>
      <c r="H528" s="10" t="s">
        <v>978</v>
      </c>
      <c r="I528" s="10" t="s">
        <v>793</v>
      </c>
      <c r="J528" s="10" t="s">
        <v>1004</v>
      </c>
    </row>
    <row r="529" spans="1:10" ht="15" hidden="1" customHeight="1">
      <c r="A529" s="9">
        <v>525</v>
      </c>
      <c r="B529" s="10" t="s">
        <v>1933</v>
      </c>
      <c r="C529" s="10" t="s">
        <v>1934</v>
      </c>
      <c r="D529" s="10" t="s">
        <v>1004</v>
      </c>
      <c r="E529" s="10" t="s">
        <v>1815</v>
      </c>
      <c r="F529" s="10" t="s">
        <v>793</v>
      </c>
      <c r="G529" s="10" t="s">
        <v>1932</v>
      </c>
      <c r="H529" s="10" t="s">
        <v>978</v>
      </c>
      <c r="I529" s="10" t="s">
        <v>793</v>
      </c>
      <c r="J529" s="10" t="s">
        <v>1004</v>
      </c>
    </row>
    <row r="530" spans="1:10" ht="15" hidden="1" customHeight="1">
      <c r="A530" s="9">
        <v>526</v>
      </c>
      <c r="B530" s="10" t="s">
        <v>1935</v>
      </c>
      <c r="C530" s="10" t="s">
        <v>1936</v>
      </c>
      <c r="D530" s="10" t="s">
        <v>1460</v>
      </c>
      <c r="E530" s="10" t="s">
        <v>1497</v>
      </c>
      <c r="F530" s="10" t="s">
        <v>794</v>
      </c>
      <c r="G530" s="10" t="s">
        <v>1498</v>
      </c>
      <c r="H530" s="10" t="s">
        <v>1479</v>
      </c>
      <c r="I530" s="10" t="s">
        <v>794</v>
      </c>
      <c r="J530" s="10" t="s">
        <v>1475</v>
      </c>
    </row>
    <row r="531" spans="1:10" ht="15" hidden="1" customHeight="1">
      <c r="A531" s="9">
        <v>527</v>
      </c>
      <c r="B531" s="10" t="s">
        <v>1937</v>
      </c>
      <c r="C531" s="10" t="s">
        <v>1938</v>
      </c>
      <c r="D531" s="10" t="s">
        <v>1460</v>
      </c>
      <c r="E531" s="10" t="s">
        <v>1497</v>
      </c>
      <c r="F531" s="10" t="s">
        <v>794</v>
      </c>
      <c r="G531" s="10" t="s">
        <v>1498</v>
      </c>
      <c r="H531" s="10" t="s">
        <v>1479</v>
      </c>
      <c r="I531" s="10" t="s">
        <v>794</v>
      </c>
      <c r="J531" s="10" t="s">
        <v>1475</v>
      </c>
    </row>
    <row r="532" spans="1:10" ht="15" hidden="1" customHeight="1">
      <c r="A532" s="9">
        <v>528</v>
      </c>
      <c r="B532" s="10" t="s">
        <v>1939</v>
      </c>
      <c r="C532" s="10" t="s">
        <v>1940</v>
      </c>
      <c r="D532" s="10" t="s">
        <v>1460</v>
      </c>
      <c r="E532" s="10" t="s">
        <v>1497</v>
      </c>
      <c r="F532" s="10" t="s">
        <v>794</v>
      </c>
      <c r="G532" s="10" t="s">
        <v>1498</v>
      </c>
      <c r="H532" s="10" t="s">
        <v>1479</v>
      </c>
      <c r="I532" s="10" t="s">
        <v>794</v>
      </c>
      <c r="J532" s="10" t="s">
        <v>1475</v>
      </c>
    </row>
    <row r="533" spans="1:10" ht="15" hidden="1" customHeight="1">
      <c r="A533" s="9">
        <v>529</v>
      </c>
      <c r="B533" s="10" t="s">
        <v>1941</v>
      </c>
      <c r="C533" s="10" t="s">
        <v>1942</v>
      </c>
      <c r="D533" s="10" t="s">
        <v>1460</v>
      </c>
      <c r="E533" s="10" t="s">
        <v>1497</v>
      </c>
      <c r="F533" s="10" t="s">
        <v>794</v>
      </c>
      <c r="G533" s="10" t="s">
        <v>1498</v>
      </c>
      <c r="H533" s="10" t="s">
        <v>1479</v>
      </c>
      <c r="I533" s="10" t="s">
        <v>794</v>
      </c>
      <c r="J533" s="10" t="s">
        <v>1475</v>
      </c>
    </row>
    <row r="534" spans="1:10" ht="15" hidden="1" customHeight="1">
      <c r="A534" s="9">
        <v>530</v>
      </c>
      <c r="B534" s="10" t="s">
        <v>1943</v>
      </c>
      <c r="C534" s="10" t="s">
        <v>1944</v>
      </c>
      <c r="D534" s="10" t="s">
        <v>1460</v>
      </c>
      <c r="E534" s="10" t="s">
        <v>1497</v>
      </c>
      <c r="F534" s="10" t="s">
        <v>794</v>
      </c>
      <c r="G534" s="10" t="s">
        <v>1498</v>
      </c>
      <c r="H534" s="10" t="s">
        <v>1479</v>
      </c>
      <c r="I534" s="10" t="s">
        <v>794</v>
      </c>
      <c r="J534" s="10" t="s">
        <v>1475</v>
      </c>
    </row>
    <row r="535" spans="1:10" ht="15" hidden="1" customHeight="1">
      <c r="A535" s="9">
        <v>531</v>
      </c>
      <c r="B535" s="10" t="s">
        <v>1945</v>
      </c>
      <c r="C535" s="10" t="s">
        <v>1946</v>
      </c>
      <c r="D535" s="10" t="s">
        <v>1460</v>
      </c>
      <c r="E535" s="10" t="s">
        <v>1497</v>
      </c>
      <c r="F535" s="10" t="s">
        <v>794</v>
      </c>
      <c r="G535" s="10" t="s">
        <v>1501</v>
      </c>
      <c r="H535" s="10" t="s">
        <v>1479</v>
      </c>
      <c r="I535" s="10" t="s">
        <v>794</v>
      </c>
      <c r="J535" s="10" t="s">
        <v>1475</v>
      </c>
    </row>
    <row r="536" spans="1:10" ht="15" hidden="1" customHeight="1">
      <c r="A536" s="9">
        <v>532</v>
      </c>
      <c r="B536" s="10" t="s">
        <v>1947</v>
      </c>
      <c r="C536" s="10" t="s">
        <v>1948</v>
      </c>
      <c r="D536" s="10" t="s">
        <v>1460</v>
      </c>
      <c r="E536" s="10" t="s">
        <v>1497</v>
      </c>
      <c r="F536" s="10" t="s">
        <v>794</v>
      </c>
      <c r="G536" s="10" t="s">
        <v>1501</v>
      </c>
      <c r="H536" s="10" t="s">
        <v>1479</v>
      </c>
      <c r="I536" s="10" t="s">
        <v>794</v>
      </c>
      <c r="J536" s="10" t="s">
        <v>1475</v>
      </c>
    </row>
    <row r="537" spans="1:10" ht="15" hidden="1" customHeight="1">
      <c r="A537" s="9">
        <v>533</v>
      </c>
      <c r="B537" s="10" t="s">
        <v>1949</v>
      </c>
      <c r="C537" s="10" t="s">
        <v>1950</v>
      </c>
      <c r="D537" s="10" t="s">
        <v>1460</v>
      </c>
      <c r="E537" s="10" t="s">
        <v>1497</v>
      </c>
      <c r="F537" s="10" t="s">
        <v>794</v>
      </c>
      <c r="G537" s="10" t="s">
        <v>1501</v>
      </c>
      <c r="H537" s="10" t="s">
        <v>1479</v>
      </c>
      <c r="I537" s="10" t="s">
        <v>794</v>
      </c>
      <c r="J537" s="10" t="s">
        <v>1475</v>
      </c>
    </row>
    <row r="538" spans="1:10" ht="15" hidden="1" customHeight="1">
      <c r="A538" s="9">
        <v>534</v>
      </c>
      <c r="B538" s="10" t="s">
        <v>1951</v>
      </c>
      <c r="C538" s="10" t="s">
        <v>1952</v>
      </c>
      <c r="D538" s="10" t="s">
        <v>1460</v>
      </c>
      <c r="E538" s="10" t="s">
        <v>1497</v>
      </c>
      <c r="F538" s="10" t="s">
        <v>794</v>
      </c>
      <c r="G538" s="10" t="s">
        <v>1501</v>
      </c>
      <c r="H538" s="10" t="s">
        <v>1479</v>
      </c>
      <c r="I538" s="10" t="s">
        <v>794</v>
      </c>
      <c r="J538" s="10" t="s">
        <v>1475</v>
      </c>
    </row>
    <row r="539" spans="1:10" ht="15" hidden="1" customHeight="1">
      <c r="A539" s="9">
        <v>535</v>
      </c>
      <c r="B539" s="10" t="s">
        <v>1953</v>
      </c>
      <c r="C539" s="10" t="s">
        <v>1954</v>
      </c>
      <c r="D539" s="10" t="s">
        <v>1460</v>
      </c>
      <c r="E539" s="10" t="s">
        <v>1497</v>
      </c>
      <c r="F539" s="10" t="s">
        <v>794</v>
      </c>
      <c r="G539" s="10" t="s">
        <v>1501</v>
      </c>
      <c r="H539" s="10" t="s">
        <v>1479</v>
      </c>
      <c r="I539" s="10" t="s">
        <v>794</v>
      </c>
      <c r="J539" s="10" t="s">
        <v>1475</v>
      </c>
    </row>
    <row r="540" spans="1:10" ht="15" hidden="1" customHeight="1">
      <c r="A540" s="9">
        <v>536</v>
      </c>
      <c r="B540" s="10" t="s">
        <v>1955</v>
      </c>
      <c r="C540" s="10" t="s">
        <v>1956</v>
      </c>
      <c r="D540" s="10" t="s">
        <v>1460</v>
      </c>
      <c r="E540" s="10" t="s">
        <v>1503</v>
      </c>
      <c r="F540" s="10" t="s">
        <v>794</v>
      </c>
      <c r="G540" s="10" t="s">
        <v>1957</v>
      </c>
      <c r="H540" s="10" t="s">
        <v>1479</v>
      </c>
      <c r="I540" s="10" t="s">
        <v>794</v>
      </c>
      <c r="J540" s="10" t="s">
        <v>1475</v>
      </c>
    </row>
    <row r="541" spans="1:10" ht="15" hidden="1" customHeight="1">
      <c r="A541" s="9">
        <v>537</v>
      </c>
      <c r="B541" s="10" t="s">
        <v>1958</v>
      </c>
      <c r="C541" s="10" t="s">
        <v>1959</v>
      </c>
      <c r="D541" s="10" t="s">
        <v>1460</v>
      </c>
      <c r="E541" s="10" t="s">
        <v>1497</v>
      </c>
      <c r="F541" s="10" t="s">
        <v>794</v>
      </c>
      <c r="G541" s="10" t="s">
        <v>1957</v>
      </c>
      <c r="H541" s="10" t="s">
        <v>1479</v>
      </c>
      <c r="I541" s="10" t="s">
        <v>794</v>
      </c>
      <c r="J541" s="10" t="s">
        <v>1475</v>
      </c>
    </row>
    <row r="542" spans="1:10" ht="15" hidden="1" customHeight="1">
      <c r="A542" s="9">
        <v>538</v>
      </c>
      <c r="B542" s="10" t="s">
        <v>1960</v>
      </c>
      <c r="C542" s="10" t="s">
        <v>1961</v>
      </c>
      <c r="D542" s="10" t="s">
        <v>1460</v>
      </c>
      <c r="E542" s="10" t="s">
        <v>1497</v>
      </c>
      <c r="F542" s="10" t="s">
        <v>794</v>
      </c>
      <c r="G542" s="10" t="s">
        <v>1957</v>
      </c>
      <c r="H542" s="10" t="s">
        <v>1479</v>
      </c>
      <c r="I542" s="10" t="s">
        <v>794</v>
      </c>
      <c r="J542" s="10" t="s">
        <v>1475</v>
      </c>
    </row>
    <row r="543" spans="1:10" ht="15" hidden="1" customHeight="1">
      <c r="A543" s="9">
        <v>539</v>
      </c>
      <c r="B543" s="10" t="s">
        <v>1962</v>
      </c>
      <c r="C543" s="10" t="s">
        <v>1963</v>
      </c>
      <c r="D543" s="10" t="s">
        <v>1460</v>
      </c>
      <c r="E543" s="10" t="s">
        <v>1497</v>
      </c>
      <c r="F543" s="10" t="s">
        <v>794</v>
      </c>
      <c r="G543" s="10" t="s">
        <v>1957</v>
      </c>
      <c r="H543" s="10" t="s">
        <v>1479</v>
      </c>
      <c r="I543" s="10" t="s">
        <v>794</v>
      </c>
      <c r="J543" s="10" t="s">
        <v>1475</v>
      </c>
    </row>
    <row r="544" spans="1:10" ht="15" hidden="1" customHeight="1">
      <c r="A544" s="9">
        <v>540</v>
      </c>
      <c r="B544" s="10" t="s">
        <v>1964</v>
      </c>
      <c r="C544" s="10" t="s">
        <v>1965</v>
      </c>
      <c r="D544" s="10" t="s">
        <v>1460</v>
      </c>
      <c r="E544" s="10" t="s">
        <v>1497</v>
      </c>
      <c r="F544" s="10" t="s">
        <v>794</v>
      </c>
      <c r="G544" s="10" t="s">
        <v>1966</v>
      </c>
      <c r="H544" s="10" t="s">
        <v>1479</v>
      </c>
      <c r="I544" s="10" t="s">
        <v>794</v>
      </c>
      <c r="J544" s="10" t="s">
        <v>1475</v>
      </c>
    </row>
    <row r="545" spans="1:10" ht="15" hidden="1" customHeight="1">
      <c r="A545" s="9">
        <v>541</v>
      </c>
      <c r="B545" s="10" t="s">
        <v>1967</v>
      </c>
      <c r="C545" s="10" t="s">
        <v>1968</v>
      </c>
      <c r="D545" s="10" t="s">
        <v>1460</v>
      </c>
      <c r="E545" s="10" t="s">
        <v>1503</v>
      </c>
      <c r="F545" s="10" t="s">
        <v>794</v>
      </c>
      <c r="G545" s="10" t="s">
        <v>1966</v>
      </c>
      <c r="H545" s="10" t="s">
        <v>1479</v>
      </c>
      <c r="I545" s="10" t="s">
        <v>794</v>
      </c>
      <c r="J545" s="10" t="s">
        <v>1475</v>
      </c>
    </row>
    <row r="546" spans="1:10" ht="15" hidden="1" customHeight="1">
      <c r="A546" s="9">
        <v>542</v>
      </c>
      <c r="B546" s="10" t="s">
        <v>1969</v>
      </c>
      <c r="C546" s="10" t="s">
        <v>1970</v>
      </c>
      <c r="D546" s="10" t="s">
        <v>1460</v>
      </c>
      <c r="E546" s="10" t="s">
        <v>1497</v>
      </c>
      <c r="F546" s="10" t="s">
        <v>794</v>
      </c>
      <c r="G546" s="10" t="s">
        <v>1966</v>
      </c>
      <c r="H546" s="10" t="s">
        <v>1479</v>
      </c>
      <c r="I546" s="10" t="s">
        <v>794</v>
      </c>
      <c r="J546" s="10" t="s">
        <v>1475</v>
      </c>
    </row>
    <row r="547" spans="1:10" ht="15" hidden="1" customHeight="1">
      <c r="A547" s="9">
        <v>543</v>
      </c>
      <c r="B547" s="10" t="s">
        <v>1971</v>
      </c>
      <c r="C547" s="10" t="s">
        <v>1972</v>
      </c>
      <c r="D547" s="10" t="s">
        <v>1460</v>
      </c>
      <c r="E547" s="10" t="s">
        <v>1497</v>
      </c>
      <c r="F547" s="10" t="s">
        <v>794</v>
      </c>
      <c r="G547" s="10" t="s">
        <v>1498</v>
      </c>
      <c r="H547" s="10" t="s">
        <v>1479</v>
      </c>
      <c r="I547" s="10" t="s">
        <v>794</v>
      </c>
      <c r="J547" s="10" t="s">
        <v>1475</v>
      </c>
    </row>
    <row r="548" spans="1:10" ht="15" hidden="1" customHeight="1">
      <c r="A548" s="9">
        <v>544</v>
      </c>
      <c r="B548" s="10" t="s">
        <v>1973</v>
      </c>
      <c r="C548" s="10" t="s">
        <v>1974</v>
      </c>
      <c r="D548" s="10" t="s">
        <v>1460</v>
      </c>
      <c r="E548" s="10" t="s">
        <v>1507</v>
      </c>
      <c r="F548" s="10" t="s">
        <v>794</v>
      </c>
      <c r="G548" s="10" t="s">
        <v>1478</v>
      </c>
      <c r="H548" s="10" t="s">
        <v>1479</v>
      </c>
      <c r="I548" s="10" t="s">
        <v>794</v>
      </c>
      <c r="J548" s="10" t="s">
        <v>1475</v>
      </c>
    </row>
    <row r="549" spans="1:10" ht="15" hidden="1" customHeight="1">
      <c r="A549" s="9">
        <v>545</v>
      </c>
      <c r="B549" s="10" t="s">
        <v>1975</v>
      </c>
      <c r="C549" s="10" t="s">
        <v>1976</v>
      </c>
      <c r="D549" s="10" t="s">
        <v>1460</v>
      </c>
      <c r="E549" s="10" t="s">
        <v>1507</v>
      </c>
      <c r="F549" s="10" t="s">
        <v>794</v>
      </c>
      <c r="G549" s="10" t="s">
        <v>1482</v>
      </c>
      <c r="H549" s="10" t="s">
        <v>1479</v>
      </c>
      <c r="I549" s="10" t="s">
        <v>794</v>
      </c>
      <c r="J549" s="10" t="s">
        <v>1475</v>
      </c>
    </row>
    <row r="550" spans="1:10" ht="15" hidden="1" customHeight="1">
      <c r="A550" s="9">
        <v>546</v>
      </c>
      <c r="B550" s="10" t="s">
        <v>1977</v>
      </c>
      <c r="C550" s="10" t="s">
        <v>1978</v>
      </c>
      <c r="D550" s="10" t="s">
        <v>1460</v>
      </c>
      <c r="E550" s="10" t="s">
        <v>1507</v>
      </c>
      <c r="F550" s="10" t="s">
        <v>794</v>
      </c>
      <c r="G550" s="10" t="s">
        <v>1493</v>
      </c>
      <c r="H550" s="10" t="s">
        <v>1479</v>
      </c>
      <c r="I550" s="10" t="s">
        <v>794</v>
      </c>
      <c r="J550" s="10" t="s">
        <v>1475</v>
      </c>
    </row>
    <row r="551" spans="1:10" ht="15" hidden="1" customHeight="1">
      <c r="A551" s="9">
        <v>547</v>
      </c>
      <c r="B551" s="10" t="s">
        <v>1979</v>
      </c>
      <c r="C551" s="10" t="s">
        <v>1980</v>
      </c>
      <c r="D551" s="10" t="s">
        <v>1460</v>
      </c>
      <c r="E551" s="10" t="s">
        <v>1507</v>
      </c>
      <c r="F551" s="10" t="s">
        <v>794</v>
      </c>
      <c r="G551" s="10" t="s">
        <v>1478</v>
      </c>
      <c r="H551" s="10" t="s">
        <v>1479</v>
      </c>
      <c r="I551" s="10" t="s">
        <v>794</v>
      </c>
      <c r="J551" s="10" t="s">
        <v>1475</v>
      </c>
    </row>
    <row r="552" spans="1:10" ht="15" hidden="1" customHeight="1">
      <c r="A552" s="9">
        <v>548</v>
      </c>
      <c r="B552" s="10" t="s">
        <v>1981</v>
      </c>
      <c r="C552" s="10" t="s">
        <v>1982</v>
      </c>
      <c r="D552" s="10" t="s">
        <v>1460</v>
      </c>
      <c r="E552" s="10" t="s">
        <v>1507</v>
      </c>
      <c r="F552" s="10" t="s">
        <v>794</v>
      </c>
      <c r="G552" s="10" t="s">
        <v>1482</v>
      </c>
      <c r="H552" s="10" t="s">
        <v>1479</v>
      </c>
      <c r="I552" s="10" t="s">
        <v>794</v>
      </c>
      <c r="J552" s="10" t="s">
        <v>1475</v>
      </c>
    </row>
    <row r="553" spans="1:10" ht="15" hidden="1" customHeight="1">
      <c r="A553" s="9">
        <v>549</v>
      </c>
      <c r="B553" s="10" t="s">
        <v>1983</v>
      </c>
      <c r="C553" s="10" t="s">
        <v>1984</v>
      </c>
      <c r="D553" s="10" t="s">
        <v>1460</v>
      </c>
      <c r="E553" s="10" t="s">
        <v>1507</v>
      </c>
      <c r="F553" s="10" t="s">
        <v>794</v>
      </c>
      <c r="G553" s="10" t="s">
        <v>1493</v>
      </c>
      <c r="H553" s="10" t="s">
        <v>1479</v>
      </c>
      <c r="I553" s="10" t="s">
        <v>794</v>
      </c>
      <c r="J553" s="10" t="s">
        <v>1475</v>
      </c>
    </row>
    <row r="554" spans="1:10" ht="15" hidden="1" customHeight="1">
      <c r="A554" s="9">
        <v>550</v>
      </c>
      <c r="B554" s="10" t="s">
        <v>1985</v>
      </c>
      <c r="C554" s="10" t="s">
        <v>1986</v>
      </c>
      <c r="D554" s="10" t="s">
        <v>1460</v>
      </c>
      <c r="E554" s="10" t="s">
        <v>1507</v>
      </c>
      <c r="F554" s="10" t="s">
        <v>794</v>
      </c>
      <c r="G554" s="10" t="s">
        <v>1493</v>
      </c>
      <c r="H554" s="10" t="s">
        <v>1479</v>
      </c>
      <c r="I554" s="10" t="s">
        <v>794</v>
      </c>
      <c r="J554" s="10" t="s">
        <v>1475</v>
      </c>
    </row>
    <row r="555" spans="1:10" ht="15" hidden="1" customHeight="1">
      <c r="A555" s="9">
        <v>551</v>
      </c>
      <c r="B555" s="10" t="s">
        <v>1987</v>
      </c>
      <c r="C555" s="10" t="s">
        <v>1988</v>
      </c>
      <c r="D555" s="10" t="s">
        <v>1460</v>
      </c>
      <c r="E555" s="10" t="s">
        <v>1507</v>
      </c>
      <c r="F555" s="10" t="s">
        <v>794</v>
      </c>
      <c r="G555" s="10" t="s">
        <v>1771</v>
      </c>
      <c r="H555" s="10" t="s">
        <v>1479</v>
      </c>
      <c r="I555" s="10" t="s">
        <v>794</v>
      </c>
      <c r="J555" s="10" t="s">
        <v>1475</v>
      </c>
    </row>
    <row r="556" spans="1:10" ht="15" hidden="1" customHeight="1">
      <c r="A556" s="9">
        <v>552</v>
      </c>
      <c r="B556" s="10" t="s">
        <v>1989</v>
      </c>
      <c r="C556" s="10" t="s">
        <v>1990</v>
      </c>
      <c r="D556" s="10" t="s">
        <v>1460</v>
      </c>
      <c r="E556" s="10" t="s">
        <v>1507</v>
      </c>
      <c r="F556" s="10" t="s">
        <v>794</v>
      </c>
      <c r="G556" s="10" t="s">
        <v>1482</v>
      </c>
      <c r="H556" s="10" t="s">
        <v>1479</v>
      </c>
      <c r="I556" s="10" t="s">
        <v>794</v>
      </c>
      <c r="J556" s="10" t="s">
        <v>1475</v>
      </c>
    </row>
    <row r="557" spans="1:10" ht="15" hidden="1" customHeight="1">
      <c r="A557" s="9">
        <v>553</v>
      </c>
      <c r="B557" s="10" t="s">
        <v>1991</v>
      </c>
      <c r="C557" s="10" t="s">
        <v>1992</v>
      </c>
      <c r="D557" s="10" t="s">
        <v>1460</v>
      </c>
      <c r="E557" s="10" t="s">
        <v>1507</v>
      </c>
      <c r="F557" s="10" t="s">
        <v>794</v>
      </c>
      <c r="G557" s="10" t="s">
        <v>1498</v>
      </c>
      <c r="H557" s="10" t="s">
        <v>1479</v>
      </c>
      <c r="I557" s="10" t="s">
        <v>794</v>
      </c>
      <c r="J557" s="10" t="s">
        <v>1475</v>
      </c>
    </row>
    <row r="558" spans="1:10" ht="15" hidden="1" customHeight="1">
      <c r="A558" s="9">
        <v>554</v>
      </c>
      <c r="B558" s="10" t="s">
        <v>1993</v>
      </c>
      <c r="C558" s="10" t="s">
        <v>1994</v>
      </c>
      <c r="D558" s="10" t="s">
        <v>1460</v>
      </c>
      <c r="E558" s="10" t="s">
        <v>1507</v>
      </c>
      <c r="F558" s="10" t="s">
        <v>794</v>
      </c>
      <c r="G558" s="10" t="s">
        <v>1501</v>
      </c>
      <c r="H558" s="10" t="s">
        <v>1479</v>
      </c>
      <c r="I558" s="10" t="s">
        <v>794</v>
      </c>
      <c r="J558" s="10" t="s">
        <v>1475</v>
      </c>
    </row>
    <row r="559" spans="1:10" ht="15" hidden="1" customHeight="1">
      <c r="A559" s="9">
        <v>555</v>
      </c>
      <c r="B559" s="10" t="s">
        <v>1995</v>
      </c>
      <c r="C559" s="10" t="s">
        <v>1996</v>
      </c>
      <c r="D559" s="10" t="s">
        <v>1460</v>
      </c>
      <c r="E559" s="10" t="s">
        <v>1507</v>
      </c>
      <c r="F559" s="10" t="s">
        <v>794</v>
      </c>
      <c r="G559" s="10" t="s">
        <v>1957</v>
      </c>
      <c r="H559" s="10" t="s">
        <v>1479</v>
      </c>
      <c r="I559" s="10" t="s">
        <v>794</v>
      </c>
      <c r="J559" s="10" t="s">
        <v>1475</v>
      </c>
    </row>
    <row r="560" spans="1:10" ht="15" hidden="1" customHeight="1">
      <c r="A560" s="9">
        <v>556</v>
      </c>
      <c r="B560" s="10" t="s">
        <v>1997</v>
      </c>
      <c r="C560" s="10" t="s">
        <v>1998</v>
      </c>
      <c r="D560" s="10" t="s">
        <v>1460</v>
      </c>
      <c r="E560" s="10" t="s">
        <v>1507</v>
      </c>
      <c r="F560" s="10" t="s">
        <v>794</v>
      </c>
      <c r="G560" s="10" t="s">
        <v>1957</v>
      </c>
      <c r="H560" s="10" t="s">
        <v>1479</v>
      </c>
      <c r="I560" s="10" t="s">
        <v>794</v>
      </c>
      <c r="J560" s="10" t="s">
        <v>1475</v>
      </c>
    </row>
    <row r="561" spans="1:10" ht="15" hidden="1" customHeight="1">
      <c r="A561" s="9">
        <v>557</v>
      </c>
      <c r="B561" s="10" t="s">
        <v>1999</v>
      </c>
      <c r="C561" s="10" t="s">
        <v>2000</v>
      </c>
      <c r="D561" s="10" t="s">
        <v>1460</v>
      </c>
      <c r="E561" s="10" t="s">
        <v>1507</v>
      </c>
      <c r="F561" s="10" t="s">
        <v>794</v>
      </c>
      <c r="G561" s="10" t="s">
        <v>1478</v>
      </c>
      <c r="H561" s="10" t="s">
        <v>1479</v>
      </c>
      <c r="I561" s="10" t="s">
        <v>794</v>
      </c>
      <c r="J561" s="10" t="s">
        <v>1475</v>
      </c>
    </row>
    <row r="562" spans="1:10" ht="15" hidden="1" customHeight="1">
      <c r="A562" s="9">
        <v>558</v>
      </c>
      <c r="B562" s="10" t="s">
        <v>2001</v>
      </c>
      <c r="C562" s="10" t="s">
        <v>2002</v>
      </c>
      <c r="D562" s="10" t="s">
        <v>1460</v>
      </c>
      <c r="E562" s="10" t="s">
        <v>1524</v>
      </c>
      <c r="F562" s="10" t="s">
        <v>794</v>
      </c>
      <c r="G562" s="10" t="s">
        <v>1525</v>
      </c>
      <c r="H562" s="10" t="s">
        <v>1479</v>
      </c>
      <c r="I562" s="10" t="s">
        <v>794</v>
      </c>
      <c r="J562" s="10" t="s">
        <v>1520</v>
      </c>
    </row>
    <row r="563" spans="1:10" ht="15" hidden="1" customHeight="1">
      <c r="A563" s="9">
        <v>559</v>
      </c>
      <c r="B563" s="10" t="s">
        <v>2003</v>
      </c>
      <c r="C563" s="10" t="s">
        <v>2004</v>
      </c>
      <c r="D563" s="10" t="s">
        <v>1460</v>
      </c>
      <c r="E563" s="10" t="s">
        <v>1524</v>
      </c>
      <c r="F563" s="10" t="s">
        <v>794</v>
      </c>
      <c r="G563" s="10" t="s">
        <v>1525</v>
      </c>
      <c r="H563" s="10" t="s">
        <v>1479</v>
      </c>
      <c r="I563" s="10" t="s">
        <v>794</v>
      </c>
      <c r="J563" s="10" t="s">
        <v>1520</v>
      </c>
    </row>
    <row r="564" spans="1:10" ht="15" hidden="1" customHeight="1">
      <c r="A564" s="9">
        <v>560</v>
      </c>
      <c r="B564" s="10" t="s">
        <v>2005</v>
      </c>
      <c r="C564" s="10" t="s">
        <v>2006</v>
      </c>
      <c r="D564" s="10" t="s">
        <v>1460</v>
      </c>
      <c r="E564" s="10" t="s">
        <v>1524</v>
      </c>
      <c r="F564" s="10" t="s">
        <v>794</v>
      </c>
      <c r="G564" s="10" t="s">
        <v>1525</v>
      </c>
      <c r="H564" s="10" t="s">
        <v>1479</v>
      </c>
      <c r="I564" s="10" t="s">
        <v>794</v>
      </c>
      <c r="J564" s="10" t="s">
        <v>1520</v>
      </c>
    </row>
    <row r="565" spans="1:10" ht="15" hidden="1" customHeight="1">
      <c r="A565" s="9">
        <v>561</v>
      </c>
      <c r="B565" s="10" t="s">
        <v>2007</v>
      </c>
      <c r="C565" s="10" t="s">
        <v>2008</v>
      </c>
      <c r="D565" s="10" t="s">
        <v>1460</v>
      </c>
      <c r="E565" s="10" t="s">
        <v>1524</v>
      </c>
      <c r="F565" s="10" t="s">
        <v>794</v>
      </c>
      <c r="G565" s="10" t="s">
        <v>1525</v>
      </c>
      <c r="H565" s="10" t="s">
        <v>1479</v>
      </c>
      <c r="I565" s="10" t="s">
        <v>794</v>
      </c>
      <c r="J565" s="10" t="s">
        <v>1520</v>
      </c>
    </row>
    <row r="566" spans="1:10" ht="15" hidden="1" customHeight="1">
      <c r="A566" s="9">
        <v>562</v>
      </c>
      <c r="B566" s="10" t="s">
        <v>2009</v>
      </c>
      <c r="C566" s="10" t="s">
        <v>2010</v>
      </c>
      <c r="D566" s="10" t="s">
        <v>1460</v>
      </c>
      <c r="E566" s="10" t="s">
        <v>1524</v>
      </c>
      <c r="F566" s="10" t="s">
        <v>794</v>
      </c>
      <c r="G566" s="10" t="s">
        <v>1525</v>
      </c>
      <c r="H566" s="10" t="s">
        <v>1479</v>
      </c>
      <c r="I566" s="10" t="s">
        <v>794</v>
      </c>
      <c r="J566" s="10" t="s">
        <v>1520</v>
      </c>
    </row>
    <row r="567" spans="1:10" ht="15" hidden="1" customHeight="1">
      <c r="A567" s="9">
        <v>563</v>
      </c>
      <c r="B567" s="10" t="s">
        <v>2011</v>
      </c>
      <c r="C567" s="10" t="s">
        <v>2012</v>
      </c>
      <c r="D567" s="10" t="s">
        <v>1460</v>
      </c>
      <c r="E567" s="10" t="s">
        <v>1527</v>
      </c>
      <c r="F567" s="10" t="s">
        <v>794</v>
      </c>
      <c r="G567" s="10" t="s">
        <v>1528</v>
      </c>
      <c r="H567" s="10" t="s">
        <v>1479</v>
      </c>
      <c r="I567" s="10" t="s">
        <v>794</v>
      </c>
      <c r="J567" s="10" t="s">
        <v>1520</v>
      </c>
    </row>
    <row r="568" spans="1:10" ht="15" hidden="1" customHeight="1">
      <c r="A568" s="9">
        <v>564</v>
      </c>
      <c r="B568" s="10" t="s">
        <v>2013</v>
      </c>
      <c r="C568" s="10" t="s">
        <v>2014</v>
      </c>
      <c r="D568" s="10" t="s">
        <v>1460</v>
      </c>
      <c r="E568" s="10" t="s">
        <v>1527</v>
      </c>
      <c r="F568" s="10" t="s">
        <v>794</v>
      </c>
      <c r="G568" s="10" t="s">
        <v>1528</v>
      </c>
      <c r="H568" s="10" t="s">
        <v>1479</v>
      </c>
      <c r="I568" s="10" t="s">
        <v>794</v>
      </c>
      <c r="J568" s="10" t="s">
        <v>1520</v>
      </c>
    </row>
    <row r="569" spans="1:10" ht="15" hidden="1" customHeight="1">
      <c r="A569" s="9">
        <v>565</v>
      </c>
      <c r="B569" s="10" t="s">
        <v>2015</v>
      </c>
      <c r="C569" s="10" t="s">
        <v>2016</v>
      </c>
      <c r="D569" s="10" t="s">
        <v>1004</v>
      </c>
      <c r="E569" s="10" t="s">
        <v>1728</v>
      </c>
      <c r="F569" s="10" t="s">
        <v>794</v>
      </c>
      <c r="G569" s="10" t="s">
        <v>1729</v>
      </c>
      <c r="H569" s="10" t="s">
        <v>1479</v>
      </c>
      <c r="I569" s="10" t="s">
        <v>794</v>
      </c>
      <c r="J569" s="10" t="s">
        <v>119</v>
      </c>
    </row>
    <row r="570" spans="1:10" ht="15" hidden="1" customHeight="1">
      <c r="A570" s="9">
        <v>566</v>
      </c>
      <c r="B570" s="10" t="s">
        <v>2017</v>
      </c>
      <c r="C570" s="10" t="s">
        <v>2018</v>
      </c>
      <c r="D570" s="10" t="s">
        <v>1004</v>
      </c>
      <c r="E570" s="10" t="s">
        <v>1728</v>
      </c>
      <c r="F570" s="10" t="s">
        <v>794</v>
      </c>
      <c r="G570" s="10" t="s">
        <v>1729</v>
      </c>
      <c r="H570" s="10" t="s">
        <v>1479</v>
      </c>
      <c r="I570" s="10" t="s">
        <v>794</v>
      </c>
      <c r="J570" s="10" t="s">
        <v>119</v>
      </c>
    </row>
    <row r="571" spans="1:10" ht="15" hidden="1" customHeight="1">
      <c r="A571" s="9">
        <v>567</v>
      </c>
      <c r="B571" s="10" t="s">
        <v>2019</v>
      </c>
      <c r="C571" s="10" t="s">
        <v>2020</v>
      </c>
      <c r="D571" s="10" t="s">
        <v>1004</v>
      </c>
      <c r="E571" s="10" t="s">
        <v>1728</v>
      </c>
      <c r="F571" s="10" t="s">
        <v>794</v>
      </c>
      <c r="G571" s="10" t="s">
        <v>1729</v>
      </c>
      <c r="H571" s="10" t="s">
        <v>1479</v>
      </c>
      <c r="I571" s="10" t="s">
        <v>794</v>
      </c>
      <c r="J571" s="10" t="s">
        <v>119</v>
      </c>
    </row>
    <row r="572" spans="1:10" ht="15" hidden="1" customHeight="1">
      <c r="A572" s="9">
        <v>568</v>
      </c>
      <c r="B572" s="10" t="s">
        <v>2021</v>
      </c>
      <c r="C572" s="10" t="s">
        <v>2022</v>
      </c>
      <c r="D572" s="10" t="s">
        <v>1004</v>
      </c>
      <c r="E572" s="10" t="s">
        <v>1728</v>
      </c>
      <c r="F572" s="10" t="s">
        <v>794</v>
      </c>
      <c r="G572" s="10" t="s">
        <v>1729</v>
      </c>
      <c r="H572" s="10" t="s">
        <v>1479</v>
      </c>
      <c r="I572" s="10" t="s">
        <v>794</v>
      </c>
      <c r="J572" s="10" t="s">
        <v>119</v>
      </c>
    </row>
    <row r="573" spans="1:10" ht="15" hidden="1" customHeight="1">
      <c r="A573" s="9">
        <v>569</v>
      </c>
      <c r="B573" s="10" t="s">
        <v>2023</v>
      </c>
      <c r="C573" s="10" t="s">
        <v>2024</v>
      </c>
      <c r="D573" s="10" t="s">
        <v>1004</v>
      </c>
      <c r="E573" s="10" t="s">
        <v>1731</v>
      </c>
      <c r="F573" s="10" t="s">
        <v>794</v>
      </c>
      <c r="G573" s="10" t="s">
        <v>1729</v>
      </c>
      <c r="H573" s="10" t="s">
        <v>1479</v>
      </c>
      <c r="I573" s="10" t="s">
        <v>794</v>
      </c>
      <c r="J573" s="10" t="s">
        <v>1004</v>
      </c>
    </row>
    <row r="574" spans="1:10" ht="15" hidden="1" customHeight="1">
      <c r="A574" s="9">
        <v>570</v>
      </c>
      <c r="B574" s="10" t="s">
        <v>2025</v>
      </c>
      <c r="C574" s="10" t="s">
        <v>2026</v>
      </c>
      <c r="D574" s="10" t="s">
        <v>1004</v>
      </c>
      <c r="E574" s="10" t="s">
        <v>1731</v>
      </c>
      <c r="F574" s="10" t="s">
        <v>794</v>
      </c>
      <c r="G574" s="10" t="s">
        <v>1729</v>
      </c>
      <c r="H574" s="10" t="s">
        <v>1479</v>
      </c>
      <c r="I574" s="10" t="s">
        <v>794</v>
      </c>
      <c r="J574" s="10" t="s">
        <v>1004</v>
      </c>
    </row>
    <row r="575" spans="1:10" ht="15" hidden="1" customHeight="1">
      <c r="A575" s="9">
        <v>571</v>
      </c>
      <c r="B575" s="10" t="s">
        <v>2027</v>
      </c>
      <c r="C575" s="10" t="s">
        <v>2028</v>
      </c>
      <c r="D575" s="10" t="s">
        <v>1004</v>
      </c>
      <c r="E575" s="10" t="s">
        <v>1731</v>
      </c>
      <c r="F575" s="10" t="s">
        <v>794</v>
      </c>
      <c r="G575" s="10" t="s">
        <v>1729</v>
      </c>
      <c r="H575" s="10" t="s">
        <v>1479</v>
      </c>
      <c r="I575" s="10" t="s">
        <v>793</v>
      </c>
      <c r="J575" s="10" t="s">
        <v>1004</v>
      </c>
    </row>
    <row r="576" spans="1:10" ht="15" hidden="1" customHeight="1">
      <c r="A576" s="9">
        <v>572</v>
      </c>
      <c r="B576" s="10" t="s">
        <v>2029</v>
      </c>
      <c r="C576" s="10" t="s">
        <v>2030</v>
      </c>
      <c r="D576" s="10" t="s">
        <v>1004</v>
      </c>
      <c r="E576" s="10" t="s">
        <v>1718</v>
      </c>
      <c r="F576" s="10" t="s">
        <v>793</v>
      </c>
      <c r="G576" s="10"/>
      <c r="H576" s="10"/>
      <c r="I576" s="10" t="s">
        <v>794</v>
      </c>
      <c r="J576" s="10" t="s">
        <v>1004</v>
      </c>
    </row>
    <row r="577" spans="1:10" ht="15" hidden="1" customHeight="1">
      <c r="A577" s="9">
        <v>573</v>
      </c>
      <c r="B577" s="10" t="s">
        <v>2031</v>
      </c>
      <c r="C577" s="10" t="s">
        <v>2032</v>
      </c>
      <c r="D577" s="10" t="s">
        <v>1004</v>
      </c>
      <c r="E577" s="10" t="s">
        <v>2030</v>
      </c>
      <c r="F577" s="10" t="s">
        <v>793</v>
      </c>
      <c r="G577" s="10" t="s">
        <v>2033</v>
      </c>
      <c r="H577" s="10" t="s">
        <v>1479</v>
      </c>
      <c r="I577" s="10" t="s">
        <v>794</v>
      </c>
      <c r="J577" s="10" t="s">
        <v>119</v>
      </c>
    </row>
    <row r="578" spans="1:10" ht="15" hidden="1" customHeight="1">
      <c r="A578" s="9">
        <v>574</v>
      </c>
      <c r="B578" s="10" t="s">
        <v>2034</v>
      </c>
      <c r="C578" s="10" t="s">
        <v>2035</v>
      </c>
      <c r="D578" s="10" t="s">
        <v>1004</v>
      </c>
      <c r="E578" s="10" t="s">
        <v>1744</v>
      </c>
      <c r="F578" s="10" t="s">
        <v>794</v>
      </c>
      <c r="G578" s="10" t="s">
        <v>1747</v>
      </c>
      <c r="H578" s="10" t="s">
        <v>1479</v>
      </c>
      <c r="I578" s="10" t="s">
        <v>794</v>
      </c>
      <c r="J578" s="10" t="s">
        <v>795</v>
      </c>
    </row>
    <row r="579" spans="1:10" ht="15" hidden="1" customHeight="1">
      <c r="A579" s="9">
        <v>575</v>
      </c>
      <c r="B579" s="10" t="s">
        <v>2036</v>
      </c>
      <c r="C579" s="10" t="s">
        <v>2037</v>
      </c>
      <c r="D579" s="10" t="s">
        <v>1004</v>
      </c>
      <c r="E579" s="10" t="s">
        <v>1744</v>
      </c>
      <c r="F579" s="10" t="s">
        <v>794</v>
      </c>
      <c r="G579" s="10" t="s">
        <v>1747</v>
      </c>
      <c r="H579" s="10" t="s">
        <v>1479</v>
      </c>
      <c r="I579" s="10" t="s">
        <v>794</v>
      </c>
      <c r="J579" s="10" t="s">
        <v>795</v>
      </c>
    </row>
    <row r="580" spans="1:10" ht="15" hidden="1" customHeight="1">
      <c r="A580" s="9">
        <v>576</v>
      </c>
      <c r="B580" s="10" t="s">
        <v>2038</v>
      </c>
      <c r="C580" s="10" t="s">
        <v>2039</v>
      </c>
      <c r="D580" s="10" t="s">
        <v>1004</v>
      </c>
      <c r="E580" s="10" t="s">
        <v>1744</v>
      </c>
      <c r="F580" s="10" t="s">
        <v>794</v>
      </c>
      <c r="G580" s="10" t="s">
        <v>1750</v>
      </c>
      <c r="H580" s="10" t="s">
        <v>1479</v>
      </c>
      <c r="I580" s="10" t="s">
        <v>794</v>
      </c>
      <c r="J580" s="10" t="s">
        <v>795</v>
      </c>
    </row>
    <row r="581" spans="1:10" ht="15" hidden="1" customHeight="1">
      <c r="A581" s="9">
        <v>577</v>
      </c>
      <c r="B581" s="10" t="s">
        <v>2040</v>
      </c>
      <c r="C581" s="10" t="s">
        <v>2041</v>
      </c>
      <c r="D581" s="10" t="s">
        <v>1004</v>
      </c>
      <c r="E581" s="10" t="s">
        <v>1744</v>
      </c>
      <c r="F581" s="10" t="s">
        <v>794</v>
      </c>
      <c r="G581" s="10" t="s">
        <v>1750</v>
      </c>
      <c r="H581" s="10" t="s">
        <v>1479</v>
      </c>
      <c r="I581" s="10" t="s">
        <v>794</v>
      </c>
      <c r="J581" s="10" t="s">
        <v>795</v>
      </c>
    </row>
    <row r="582" spans="1:10" ht="15" hidden="1" customHeight="1">
      <c r="A582" s="9">
        <v>578</v>
      </c>
      <c r="B582" s="10" t="s">
        <v>2042</v>
      </c>
      <c r="C582" s="10" t="s">
        <v>2043</v>
      </c>
      <c r="D582" s="10" t="s">
        <v>1004</v>
      </c>
      <c r="E582" s="10" t="s">
        <v>1779</v>
      </c>
      <c r="F582" s="10" t="s">
        <v>794</v>
      </c>
      <c r="G582" s="10" t="s">
        <v>1747</v>
      </c>
      <c r="H582" s="10" t="s">
        <v>1479</v>
      </c>
      <c r="I582" s="10" t="s">
        <v>794</v>
      </c>
      <c r="J582" s="10" t="s">
        <v>795</v>
      </c>
    </row>
    <row r="583" spans="1:10" ht="15" hidden="1" customHeight="1">
      <c r="A583" s="9">
        <v>579</v>
      </c>
      <c r="B583" s="10" t="s">
        <v>2044</v>
      </c>
      <c r="C583" s="10" t="s">
        <v>2045</v>
      </c>
      <c r="D583" s="10" t="s">
        <v>1004</v>
      </c>
      <c r="E583" s="10" t="s">
        <v>1779</v>
      </c>
      <c r="F583" s="10" t="s">
        <v>794</v>
      </c>
      <c r="G583" s="10" t="s">
        <v>1747</v>
      </c>
      <c r="H583" s="10" t="s">
        <v>1479</v>
      </c>
      <c r="I583" s="10" t="s">
        <v>794</v>
      </c>
      <c r="J583" s="10" t="s">
        <v>795</v>
      </c>
    </row>
    <row r="584" spans="1:10" ht="15" hidden="1" customHeight="1">
      <c r="A584" s="9">
        <v>580</v>
      </c>
      <c r="B584" s="10" t="s">
        <v>2046</v>
      </c>
      <c r="C584" s="10" t="s">
        <v>2047</v>
      </c>
      <c r="D584" s="10" t="s">
        <v>1004</v>
      </c>
      <c r="E584" s="10" t="s">
        <v>1779</v>
      </c>
      <c r="F584" s="10" t="s">
        <v>794</v>
      </c>
      <c r="G584" s="10" t="s">
        <v>1750</v>
      </c>
      <c r="H584" s="10" t="s">
        <v>1479</v>
      </c>
      <c r="I584" s="10" t="s">
        <v>794</v>
      </c>
      <c r="J584" s="10" t="s">
        <v>795</v>
      </c>
    </row>
    <row r="585" spans="1:10" ht="15" hidden="1" customHeight="1">
      <c r="A585" s="9">
        <v>581</v>
      </c>
      <c r="B585" s="10" t="s">
        <v>2048</v>
      </c>
      <c r="C585" s="10" t="s">
        <v>2049</v>
      </c>
      <c r="D585" s="10" t="s">
        <v>1004</v>
      </c>
      <c r="E585" s="10" t="s">
        <v>1779</v>
      </c>
      <c r="F585" s="10" t="s">
        <v>794</v>
      </c>
      <c r="G585" s="10" t="s">
        <v>1750</v>
      </c>
      <c r="H585" s="10" t="s">
        <v>1479</v>
      </c>
      <c r="I585" s="10" t="s">
        <v>794</v>
      </c>
      <c r="J585" s="10" t="s">
        <v>795</v>
      </c>
    </row>
    <row r="586" spans="1:10" ht="15" hidden="1" customHeight="1">
      <c r="A586" s="9">
        <v>582</v>
      </c>
      <c r="B586" s="10" t="s">
        <v>2050</v>
      </c>
      <c r="C586" s="10" t="s">
        <v>2051</v>
      </c>
      <c r="D586" s="10" t="s">
        <v>1004</v>
      </c>
      <c r="E586" s="10" t="s">
        <v>1810</v>
      </c>
      <c r="F586" s="10" t="s">
        <v>794</v>
      </c>
      <c r="G586" s="10" t="s">
        <v>1747</v>
      </c>
      <c r="H586" s="10" t="s">
        <v>1479</v>
      </c>
      <c r="I586" s="10" t="s">
        <v>794</v>
      </c>
      <c r="J586" s="10" t="s">
        <v>2052</v>
      </c>
    </row>
    <row r="587" spans="1:10" ht="15" hidden="1" customHeight="1">
      <c r="A587" s="9">
        <v>583</v>
      </c>
      <c r="B587" s="10" t="s">
        <v>2053</v>
      </c>
      <c r="C587" s="10" t="s">
        <v>2054</v>
      </c>
      <c r="D587" s="10" t="s">
        <v>1004</v>
      </c>
      <c r="E587" s="10" t="s">
        <v>1819</v>
      </c>
      <c r="F587" s="10" t="s">
        <v>794</v>
      </c>
      <c r="G587" s="10" t="s">
        <v>1820</v>
      </c>
      <c r="H587" s="10" t="s">
        <v>978</v>
      </c>
      <c r="I587" s="10" t="s">
        <v>793</v>
      </c>
      <c r="J587" s="10" t="s">
        <v>881</v>
      </c>
    </row>
    <row r="588" spans="1:10" ht="15" hidden="1" customHeight="1">
      <c r="A588" s="9">
        <v>584</v>
      </c>
      <c r="B588" s="10" t="s">
        <v>2055</v>
      </c>
      <c r="C588" s="10" t="s">
        <v>2056</v>
      </c>
      <c r="D588" s="10" t="s">
        <v>1004</v>
      </c>
      <c r="E588" s="10" t="s">
        <v>1819</v>
      </c>
      <c r="F588" s="10" t="s">
        <v>794</v>
      </c>
      <c r="G588" s="10" t="s">
        <v>1820</v>
      </c>
      <c r="H588" s="10" t="s">
        <v>978</v>
      </c>
      <c r="I588" s="10" t="s">
        <v>793</v>
      </c>
      <c r="J588" s="10" t="s">
        <v>881</v>
      </c>
    </row>
    <row r="589" spans="1:10" ht="15" hidden="1" customHeight="1">
      <c r="A589" s="9">
        <v>585</v>
      </c>
      <c r="B589" s="10" t="s">
        <v>2057</v>
      </c>
      <c r="C589" s="10" t="s">
        <v>2058</v>
      </c>
      <c r="D589" s="10" t="s">
        <v>1004</v>
      </c>
      <c r="E589" s="10" t="s">
        <v>1819</v>
      </c>
      <c r="F589" s="10" t="s">
        <v>794</v>
      </c>
      <c r="G589" s="10" t="s">
        <v>1820</v>
      </c>
      <c r="H589" s="10" t="s">
        <v>978</v>
      </c>
      <c r="I589" s="10" t="s">
        <v>793</v>
      </c>
      <c r="J589" s="10" t="s">
        <v>881</v>
      </c>
    </row>
    <row r="590" spans="1:10" ht="15" hidden="1" customHeight="1">
      <c r="A590" s="9">
        <v>586</v>
      </c>
      <c r="B590" s="10" t="s">
        <v>2059</v>
      </c>
      <c r="C590" s="10" t="s">
        <v>2060</v>
      </c>
      <c r="D590" s="10" t="s">
        <v>1004</v>
      </c>
      <c r="E590" s="10" t="s">
        <v>1819</v>
      </c>
      <c r="F590" s="10" t="s">
        <v>794</v>
      </c>
      <c r="G590" s="10" t="s">
        <v>1820</v>
      </c>
      <c r="H590" s="10" t="s">
        <v>978</v>
      </c>
      <c r="I590" s="10" t="s">
        <v>793</v>
      </c>
      <c r="J590" s="10" t="s">
        <v>881</v>
      </c>
    </row>
    <row r="591" spans="1:10" ht="15" hidden="1" customHeight="1">
      <c r="A591" s="9">
        <v>587</v>
      </c>
      <c r="B591" s="10" t="s">
        <v>2061</v>
      </c>
      <c r="C591" s="10" t="s">
        <v>2062</v>
      </c>
      <c r="D591" s="10" t="s">
        <v>1004</v>
      </c>
      <c r="E591" s="10" t="s">
        <v>1819</v>
      </c>
      <c r="F591" s="10" t="s">
        <v>794</v>
      </c>
      <c r="G591" s="10" t="s">
        <v>1820</v>
      </c>
      <c r="H591" s="10" t="s">
        <v>978</v>
      </c>
      <c r="I591" s="10" t="s">
        <v>793</v>
      </c>
      <c r="J591" s="10" t="s">
        <v>881</v>
      </c>
    </row>
    <row r="592" spans="1:10" ht="15" hidden="1" customHeight="1">
      <c r="A592" s="9">
        <v>588</v>
      </c>
      <c r="B592" s="10" t="s">
        <v>2063</v>
      </c>
      <c r="C592" s="10" t="s">
        <v>2064</v>
      </c>
      <c r="D592" s="10" t="s">
        <v>1004</v>
      </c>
      <c r="E592" s="10" t="s">
        <v>1822</v>
      </c>
      <c r="F592" s="10" t="s">
        <v>794</v>
      </c>
      <c r="G592" s="10" t="s">
        <v>1823</v>
      </c>
      <c r="H592" s="10" t="s">
        <v>978</v>
      </c>
      <c r="I592" s="10" t="s">
        <v>793</v>
      </c>
      <c r="J592" s="10" t="s">
        <v>881</v>
      </c>
    </row>
    <row r="593" spans="1:10" ht="15" hidden="1" customHeight="1">
      <c r="A593" s="9">
        <v>589</v>
      </c>
      <c r="B593" s="10" t="s">
        <v>762</v>
      </c>
      <c r="C593" s="10" t="s">
        <v>2065</v>
      </c>
      <c r="D593" s="10" t="s">
        <v>1004</v>
      </c>
      <c r="E593" s="10" t="s">
        <v>1822</v>
      </c>
      <c r="F593" s="10" t="s">
        <v>794</v>
      </c>
      <c r="G593" s="10" t="s">
        <v>1823</v>
      </c>
      <c r="H593" s="10" t="s">
        <v>978</v>
      </c>
      <c r="I593" s="10" t="s">
        <v>793</v>
      </c>
      <c r="J593" s="10" t="s">
        <v>881</v>
      </c>
    </row>
    <row r="594" spans="1:10" ht="15" hidden="1" customHeight="1">
      <c r="A594" s="9">
        <v>590</v>
      </c>
      <c r="B594" s="10" t="s">
        <v>2066</v>
      </c>
      <c r="C594" s="10" t="s">
        <v>2067</v>
      </c>
      <c r="D594" s="10" t="s">
        <v>1004</v>
      </c>
      <c r="E594" s="10" t="s">
        <v>1822</v>
      </c>
      <c r="F594" s="10" t="s">
        <v>794</v>
      </c>
      <c r="G594" s="10" t="s">
        <v>1823</v>
      </c>
      <c r="H594" s="10" t="s">
        <v>978</v>
      </c>
      <c r="I594" s="10" t="s">
        <v>793</v>
      </c>
      <c r="J594" s="10" t="s">
        <v>881</v>
      </c>
    </row>
    <row r="595" spans="1:10" ht="15" hidden="1" customHeight="1">
      <c r="A595" s="9">
        <v>591</v>
      </c>
      <c r="B595" s="10" t="s">
        <v>2068</v>
      </c>
      <c r="C595" s="10" t="s">
        <v>2069</v>
      </c>
      <c r="D595" s="10" t="s">
        <v>1004</v>
      </c>
      <c r="E595" s="10" t="s">
        <v>1822</v>
      </c>
      <c r="F595" s="10" t="s">
        <v>794</v>
      </c>
      <c r="G595" s="10" t="s">
        <v>1823</v>
      </c>
      <c r="H595" s="10" t="s">
        <v>978</v>
      </c>
      <c r="I595" s="10" t="s">
        <v>793</v>
      </c>
      <c r="J595" s="10" t="s">
        <v>2070</v>
      </c>
    </row>
    <row r="596" spans="1:10" ht="15" hidden="1" customHeight="1">
      <c r="A596" s="9">
        <v>592</v>
      </c>
      <c r="B596" s="10" t="s">
        <v>2071</v>
      </c>
      <c r="C596" s="10" t="s">
        <v>2072</v>
      </c>
      <c r="D596" s="10" t="s">
        <v>1004</v>
      </c>
      <c r="E596" s="10" t="s">
        <v>1822</v>
      </c>
      <c r="F596" s="10" t="s">
        <v>794</v>
      </c>
      <c r="G596" s="10" t="s">
        <v>1823</v>
      </c>
      <c r="H596" s="10" t="s">
        <v>978</v>
      </c>
      <c r="I596" s="10" t="s">
        <v>793</v>
      </c>
      <c r="J596" s="10" t="s">
        <v>881</v>
      </c>
    </row>
    <row r="597" spans="1:10" ht="15" hidden="1" customHeight="1">
      <c r="A597" s="9">
        <v>593</v>
      </c>
      <c r="B597" s="10" t="s">
        <v>2073</v>
      </c>
      <c r="C597" s="10" t="s">
        <v>2074</v>
      </c>
      <c r="D597" s="10" t="s">
        <v>1004</v>
      </c>
      <c r="E597" s="10" t="s">
        <v>1878</v>
      </c>
      <c r="F597" s="10" t="s">
        <v>794</v>
      </c>
      <c r="G597" s="10" t="s">
        <v>1813</v>
      </c>
      <c r="H597" s="10" t="s">
        <v>1479</v>
      </c>
      <c r="I597" s="10" t="s">
        <v>793</v>
      </c>
      <c r="J597" s="10" t="s">
        <v>881</v>
      </c>
    </row>
    <row r="598" spans="1:10" ht="15" hidden="1" customHeight="1">
      <c r="A598" s="9">
        <v>594</v>
      </c>
      <c r="B598" s="10" t="s">
        <v>757</v>
      </c>
      <c r="C598" s="10" t="s">
        <v>2075</v>
      </c>
      <c r="D598" s="10" t="s">
        <v>1004</v>
      </c>
      <c r="E598" s="10" t="s">
        <v>1878</v>
      </c>
      <c r="F598" s="10" t="s">
        <v>794</v>
      </c>
      <c r="G598" s="10" t="s">
        <v>1830</v>
      </c>
      <c r="H598" s="10" t="s">
        <v>978</v>
      </c>
      <c r="I598" s="10" t="s">
        <v>793</v>
      </c>
      <c r="J598" s="10" t="s">
        <v>881</v>
      </c>
    </row>
    <row r="599" spans="1:10" ht="15" hidden="1" customHeight="1">
      <c r="A599" s="9">
        <v>595</v>
      </c>
      <c r="B599" s="10" t="s">
        <v>2076</v>
      </c>
      <c r="C599" s="10" t="s">
        <v>2077</v>
      </c>
      <c r="D599" s="10" t="s">
        <v>1004</v>
      </c>
      <c r="E599" s="10" t="s">
        <v>1878</v>
      </c>
      <c r="F599" s="10" t="s">
        <v>794</v>
      </c>
      <c r="G599" s="10" t="s">
        <v>1830</v>
      </c>
      <c r="H599" s="10" t="s">
        <v>978</v>
      </c>
      <c r="I599" s="10" t="s">
        <v>793</v>
      </c>
      <c r="J599" s="10" t="s">
        <v>881</v>
      </c>
    </row>
    <row r="600" spans="1:10" ht="15" hidden="1" customHeight="1">
      <c r="A600" s="9">
        <v>596</v>
      </c>
      <c r="B600" s="10" t="s">
        <v>2078</v>
      </c>
      <c r="C600" s="10" t="s">
        <v>2079</v>
      </c>
      <c r="D600" s="10" t="s">
        <v>1004</v>
      </c>
      <c r="E600" s="10" t="s">
        <v>1825</v>
      </c>
      <c r="F600" s="10" t="s">
        <v>794</v>
      </c>
      <c r="G600" s="10" t="s">
        <v>1830</v>
      </c>
      <c r="H600" s="10" t="s">
        <v>978</v>
      </c>
      <c r="I600" s="10" t="s">
        <v>793</v>
      </c>
      <c r="J600" s="10" t="s">
        <v>2070</v>
      </c>
    </row>
    <row r="601" spans="1:10" ht="15" hidden="1" customHeight="1">
      <c r="A601" s="9">
        <v>597</v>
      </c>
      <c r="B601" s="10" t="s">
        <v>2080</v>
      </c>
      <c r="C601" s="10" t="s">
        <v>2081</v>
      </c>
      <c r="D601" s="10" t="s">
        <v>1004</v>
      </c>
      <c r="E601" s="10" t="s">
        <v>1825</v>
      </c>
      <c r="F601" s="10" t="s">
        <v>794</v>
      </c>
      <c r="G601" s="10" t="s">
        <v>1813</v>
      </c>
      <c r="H601" s="10" t="s">
        <v>1479</v>
      </c>
      <c r="I601" s="10" t="s">
        <v>793</v>
      </c>
      <c r="J601" s="10" t="s">
        <v>881</v>
      </c>
    </row>
    <row r="602" spans="1:10" ht="15" hidden="1" customHeight="1">
      <c r="A602" s="9">
        <v>598</v>
      </c>
      <c r="B602" s="10" t="s">
        <v>2082</v>
      </c>
      <c r="C602" s="10" t="s">
        <v>2083</v>
      </c>
      <c r="D602" s="10" t="s">
        <v>1004</v>
      </c>
      <c r="E602" s="10" t="s">
        <v>1832</v>
      </c>
      <c r="F602" s="10" t="s">
        <v>794</v>
      </c>
      <c r="G602" s="10" t="s">
        <v>1833</v>
      </c>
      <c r="H602" s="10" t="s">
        <v>978</v>
      </c>
      <c r="I602" s="10" t="s">
        <v>793</v>
      </c>
      <c r="J602" s="10" t="s">
        <v>1004</v>
      </c>
    </row>
    <row r="603" spans="1:10" ht="15" hidden="1" customHeight="1">
      <c r="A603" s="9">
        <v>599</v>
      </c>
      <c r="B603" s="10" t="s">
        <v>2084</v>
      </c>
      <c r="C603" s="10" t="s">
        <v>2085</v>
      </c>
      <c r="D603" s="10" t="s">
        <v>1004</v>
      </c>
      <c r="E603" s="10" t="s">
        <v>1832</v>
      </c>
      <c r="F603" s="10" t="s">
        <v>794</v>
      </c>
      <c r="G603" s="10" t="s">
        <v>1833</v>
      </c>
      <c r="H603" s="10" t="s">
        <v>978</v>
      </c>
      <c r="I603" s="10" t="s">
        <v>793</v>
      </c>
      <c r="J603" s="10" t="s">
        <v>1004</v>
      </c>
    </row>
    <row r="604" spans="1:10" ht="15" hidden="1" customHeight="1">
      <c r="A604" s="9">
        <v>600</v>
      </c>
      <c r="B604" s="10" t="s">
        <v>2086</v>
      </c>
      <c r="C604" s="10" t="s">
        <v>2087</v>
      </c>
      <c r="D604" s="10" t="s">
        <v>1004</v>
      </c>
      <c r="E604" s="10" t="s">
        <v>1832</v>
      </c>
      <c r="F604" s="10" t="s">
        <v>794</v>
      </c>
      <c r="G604" s="10" t="s">
        <v>1833</v>
      </c>
      <c r="H604" s="10" t="s">
        <v>978</v>
      </c>
      <c r="I604" s="10" t="s">
        <v>793</v>
      </c>
      <c r="J604" s="10" t="s">
        <v>1004</v>
      </c>
    </row>
    <row r="605" spans="1:10" ht="15" hidden="1" customHeight="1">
      <c r="A605" s="9">
        <v>601</v>
      </c>
      <c r="B605" s="10" t="s">
        <v>2088</v>
      </c>
      <c r="C605" s="10" t="s">
        <v>2089</v>
      </c>
      <c r="D605" s="10" t="s">
        <v>1004</v>
      </c>
      <c r="E605" s="10" t="s">
        <v>1832</v>
      </c>
      <c r="F605" s="10" t="s">
        <v>794</v>
      </c>
      <c r="G605" s="10" t="s">
        <v>1833</v>
      </c>
      <c r="H605" s="10" t="s">
        <v>978</v>
      </c>
      <c r="I605" s="10" t="s">
        <v>793</v>
      </c>
      <c r="J605" s="10" t="s">
        <v>1004</v>
      </c>
    </row>
    <row r="606" spans="1:10" ht="15" hidden="1" customHeight="1">
      <c r="A606" s="9">
        <v>602</v>
      </c>
      <c r="B606" s="10" t="s">
        <v>2090</v>
      </c>
      <c r="C606" s="10" t="s">
        <v>2091</v>
      </c>
      <c r="D606" s="10" t="s">
        <v>1004</v>
      </c>
      <c r="E606" s="10" t="s">
        <v>1832</v>
      </c>
      <c r="F606" s="10" t="s">
        <v>794</v>
      </c>
      <c r="G606" s="10" t="s">
        <v>1833</v>
      </c>
      <c r="H606" s="10" t="s">
        <v>978</v>
      </c>
      <c r="I606" s="10" t="s">
        <v>793</v>
      </c>
      <c r="J606" s="10" t="s">
        <v>1004</v>
      </c>
    </row>
    <row r="607" spans="1:10" ht="15" hidden="1" customHeight="1">
      <c r="A607" s="9">
        <v>603</v>
      </c>
      <c r="B607" s="10" t="s">
        <v>2092</v>
      </c>
      <c r="C607" s="10" t="s">
        <v>2093</v>
      </c>
      <c r="D607" s="10" t="s">
        <v>1004</v>
      </c>
      <c r="E607" s="10" t="s">
        <v>1835</v>
      </c>
      <c r="F607" s="10" t="s">
        <v>794</v>
      </c>
      <c r="G607" s="10" t="s">
        <v>1836</v>
      </c>
      <c r="H607" s="10" t="s">
        <v>978</v>
      </c>
      <c r="I607" s="10" t="s">
        <v>793</v>
      </c>
      <c r="J607" s="10" t="s">
        <v>1004</v>
      </c>
    </row>
    <row r="608" spans="1:10" ht="15" hidden="1" customHeight="1">
      <c r="A608" s="9">
        <v>604</v>
      </c>
      <c r="B608" s="10" t="s">
        <v>2094</v>
      </c>
      <c r="C608" s="10" t="s">
        <v>2095</v>
      </c>
      <c r="D608" s="10" t="s">
        <v>1004</v>
      </c>
      <c r="E608" s="10" t="s">
        <v>1835</v>
      </c>
      <c r="F608" s="10" t="s">
        <v>794</v>
      </c>
      <c r="G608" s="10" t="s">
        <v>1836</v>
      </c>
      <c r="H608" s="10" t="s">
        <v>978</v>
      </c>
      <c r="I608" s="10" t="s">
        <v>793</v>
      </c>
      <c r="J608" s="10" t="s">
        <v>1004</v>
      </c>
    </row>
    <row r="609" spans="1:10" ht="15" hidden="1" customHeight="1">
      <c r="A609" s="9">
        <v>605</v>
      </c>
      <c r="B609" s="10" t="s">
        <v>2096</v>
      </c>
      <c r="C609" s="10" t="s">
        <v>2097</v>
      </c>
      <c r="D609" s="10" t="s">
        <v>1004</v>
      </c>
      <c r="E609" s="10" t="s">
        <v>1835</v>
      </c>
      <c r="F609" s="10" t="s">
        <v>794</v>
      </c>
      <c r="G609" s="10" t="s">
        <v>1836</v>
      </c>
      <c r="H609" s="10" t="s">
        <v>978</v>
      </c>
      <c r="I609" s="10" t="s">
        <v>793</v>
      </c>
      <c r="J609" s="10" t="s">
        <v>1004</v>
      </c>
    </row>
    <row r="610" spans="1:10" ht="15" hidden="1" customHeight="1">
      <c r="A610" s="9">
        <v>606</v>
      </c>
      <c r="B610" s="10" t="s">
        <v>2098</v>
      </c>
      <c r="C610" s="10" t="s">
        <v>2099</v>
      </c>
      <c r="D610" s="10" t="s">
        <v>1004</v>
      </c>
      <c r="E610" s="10" t="s">
        <v>1835</v>
      </c>
      <c r="F610" s="10" t="s">
        <v>794</v>
      </c>
      <c r="G610" s="10" t="s">
        <v>1836</v>
      </c>
      <c r="H610" s="10" t="s">
        <v>978</v>
      </c>
      <c r="I610" s="10" t="s">
        <v>793</v>
      </c>
      <c r="J610" s="10" t="s">
        <v>1004</v>
      </c>
    </row>
    <row r="611" spans="1:10" ht="15" hidden="1" customHeight="1">
      <c r="A611" s="9">
        <v>607</v>
      </c>
      <c r="B611" s="10" t="s">
        <v>2100</v>
      </c>
      <c r="C611" s="10" t="s">
        <v>2101</v>
      </c>
      <c r="D611" s="10" t="s">
        <v>1004</v>
      </c>
      <c r="E611" s="10" t="s">
        <v>1835</v>
      </c>
      <c r="F611" s="10" t="s">
        <v>794</v>
      </c>
      <c r="G611" s="10" t="s">
        <v>1836</v>
      </c>
      <c r="H611" s="10" t="s">
        <v>978</v>
      </c>
      <c r="I611" s="10" t="s">
        <v>793</v>
      </c>
      <c r="J611" s="10" t="s">
        <v>1004</v>
      </c>
    </row>
    <row r="612" spans="1:10" ht="15" hidden="1" customHeight="1">
      <c r="A612" s="9">
        <v>608</v>
      </c>
      <c r="B612" s="10" t="s">
        <v>2102</v>
      </c>
      <c r="C612" s="10" t="s">
        <v>2103</v>
      </c>
      <c r="D612" s="10" t="s">
        <v>1004</v>
      </c>
      <c r="E612" s="10" t="s">
        <v>1838</v>
      </c>
      <c r="F612" s="10" t="s">
        <v>794</v>
      </c>
      <c r="G612" s="10" t="s">
        <v>1839</v>
      </c>
      <c r="H612" s="10" t="s">
        <v>978</v>
      </c>
      <c r="I612" s="10" t="s">
        <v>793</v>
      </c>
      <c r="J612" s="10" t="s">
        <v>1004</v>
      </c>
    </row>
    <row r="613" spans="1:10" ht="15" hidden="1" customHeight="1">
      <c r="A613" s="9">
        <v>609</v>
      </c>
      <c r="B613" s="10" t="s">
        <v>2104</v>
      </c>
      <c r="C613" s="10" t="s">
        <v>2105</v>
      </c>
      <c r="D613" s="10" t="s">
        <v>1004</v>
      </c>
      <c r="E613" s="10" t="s">
        <v>1838</v>
      </c>
      <c r="F613" s="10" t="s">
        <v>794</v>
      </c>
      <c r="G613" s="10" t="s">
        <v>1839</v>
      </c>
      <c r="H613" s="10" t="s">
        <v>978</v>
      </c>
      <c r="I613" s="10" t="s">
        <v>793</v>
      </c>
      <c r="J613" s="10" t="s">
        <v>1004</v>
      </c>
    </row>
    <row r="614" spans="1:10" ht="15" hidden="1" customHeight="1">
      <c r="A614" s="9">
        <v>610</v>
      </c>
      <c r="B614" s="10" t="s">
        <v>2106</v>
      </c>
      <c r="C614" s="10" t="s">
        <v>2107</v>
      </c>
      <c r="D614" s="10" t="s">
        <v>1004</v>
      </c>
      <c r="E614" s="10" t="s">
        <v>1838</v>
      </c>
      <c r="F614" s="10" t="s">
        <v>794</v>
      </c>
      <c r="G614" s="10" t="s">
        <v>1839</v>
      </c>
      <c r="H614" s="10" t="s">
        <v>978</v>
      </c>
      <c r="I614" s="10" t="s">
        <v>793</v>
      </c>
      <c r="J614" s="10" t="s">
        <v>1004</v>
      </c>
    </row>
    <row r="615" spans="1:10" ht="15" hidden="1" customHeight="1">
      <c r="A615" s="9">
        <v>611</v>
      </c>
      <c r="B615" s="10" t="s">
        <v>2108</v>
      </c>
      <c r="C615" s="10" t="s">
        <v>2109</v>
      </c>
      <c r="D615" s="10" t="s">
        <v>1004</v>
      </c>
      <c r="E615" s="10" t="s">
        <v>1838</v>
      </c>
      <c r="F615" s="10" t="s">
        <v>794</v>
      </c>
      <c r="G615" s="10" t="s">
        <v>1839</v>
      </c>
      <c r="H615" s="10" t="s">
        <v>978</v>
      </c>
      <c r="I615" s="10" t="s">
        <v>793</v>
      </c>
      <c r="J615" s="10" t="s">
        <v>1004</v>
      </c>
    </row>
    <row r="616" spans="1:10" ht="15" hidden="1" customHeight="1">
      <c r="A616" s="9">
        <v>612</v>
      </c>
      <c r="B616" s="10" t="s">
        <v>2110</v>
      </c>
      <c r="C616" s="10" t="s">
        <v>2111</v>
      </c>
      <c r="D616" s="10" t="s">
        <v>1004</v>
      </c>
      <c r="E616" s="10" t="s">
        <v>1841</v>
      </c>
      <c r="F616" s="10" t="s">
        <v>794</v>
      </c>
      <c r="G616" s="10" t="s">
        <v>1842</v>
      </c>
      <c r="H616" s="10" t="s">
        <v>978</v>
      </c>
      <c r="I616" s="10" t="s">
        <v>793</v>
      </c>
      <c r="J616" s="10" t="s">
        <v>1004</v>
      </c>
    </row>
    <row r="617" spans="1:10" ht="15" hidden="1" customHeight="1">
      <c r="A617" s="9">
        <v>613</v>
      </c>
      <c r="B617" s="10" t="s">
        <v>2112</v>
      </c>
      <c r="C617" s="10" t="s">
        <v>2113</v>
      </c>
      <c r="D617" s="10" t="s">
        <v>1004</v>
      </c>
      <c r="E617" s="10" t="s">
        <v>1841</v>
      </c>
      <c r="F617" s="10" t="s">
        <v>794</v>
      </c>
      <c r="G617" s="10" t="s">
        <v>1842</v>
      </c>
      <c r="H617" s="10" t="s">
        <v>978</v>
      </c>
      <c r="I617" s="10" t="s">
        <v>793</v>
      </c>
      <c r="J617" s="10" t="s">
        <v>1004</v>
      </c>
    </row>
    <row r="618" spans="1:10" ht="15" hidden="1" customHeight="1">
      <c r="A618" s="9">
        <v>614</v>
      </c>
      <c r="B618" s="10" t="s">
        <v>2114</v>
      </c>
      <c r="C618" s="10" t="s">
        <v>2115</v>
      </c>
      <c r="D618" s="10" t="s">
        <v>1004</v>
      </c>
      <c r="E618" s="10" t="s">
        <v>1841</v>
      </c>
      <c r="F618" s="10" t="s">
        <v>794</v>
      </c>
      <c r="G618" s="10" t="s">
        <v>1842</v>
      </c>
      <c r="H618" s="10" t="s">
        <v>978</v>
      </c>
      <c r="I618" s="10" t="s">
        <v>793</v>
      </c>
      <c r="J618" s="10" t="s">
        <v>1004</v>
      </c>
    </row>
    <row r="619" spans="1:10" ht="15" hidden="1" customHeight="1">
      <c r="A619" s="9">
        <v>615</v>
      </c>
      <c r="B619" s="10" t="s">
        <v>2116</v>
      </c>
      <c r="C619" s="10" t="s">
        <v>2117</v>
      </c>
      <c r="D619" s="10" t="s">
        <v>1004</v>
      </c>
      <c r="E619" s="10" t="s">
        <v>1841</v>
      </c>
      <c r="F619" s="10" t="s">
        <v>794</v>
      </c>
      <c r="G619" s="10" t="s">
        <v>1842</v>
      </c>
      <c r="H619" s="10" t="s">
        <v>978</v>
      </c>
      <c r="I619" s="10" t="s">
        <v>793</v>
      </c>
      <c r="J619" s="10" t="s">
        <v>1004</v>
      </c>
    </row>
    <row r="620" spans="1:10" ht="15" hidden="1" customHeight="1">
      <c r="A620" s="9">
        <v>616</v>
      </c>
      <c r="B620" s="10" t="s">
        <v>2118</v>
      </c>
      <c r="C620" s="10" t="s">
        <v>2119</v>
      </c>
      <c r="D620" s="10" t="s">
        <v>1004</v>
      </c>
      <c r="E620" s="10" t="s">
        <v>1841</v>
      </c>
      <c r="F620" s="10" t="s">
        <v>794</v>
      </c>
      <c r="G620" s="10" t="s">
        <v>1842</v>
      </c>
      <c r="H620" s="10" t="s">
        <v>978</v>
      </c>
      <c r="I620" s="10" t="s">
        <v>793</v>
      </c>
      <c r="J620" s="10" t="s">
        <v>1004</v>
      </c>
    </row>
    <row r="621" spans="1:10" ht="15" hidden="1" customHeight="1">
      <c r="A621" s="9">
        <v>617</v>
      </c>
      <c r="B621" s="10" t="s">
        <v>2120</v>
      </c>
      <c r="C621" s="10" t="s">
        <v>2121</v>
      </c>
      <c r="D621" s="10" t="s">
        <v>1004</v>
      </c>
      <c r="E621" s="10" t="s">
        <v>1841</v>
      </c>
      <c r="F621" s="10" t="s">
        <v>794</v>
      </c>
      <c r="G621" s="10" t="s">
        <v>1842</v>
      </c>
      <c r="H621" s="10" t="s">
        <v>978</v>
      </c>
      <c r="I621" s="10" t="s">
        <v>793</v>
      </c>
      <c r="J621" s="10" t="s">
        <v>1004</v>
      </c>
    </row>
    <row r="622" spans="1:10" ht="15" hidden="1" customHeight="1">
      <c r="A622" s="9">
        <v>618</v>
      </c>
      <c r="B622" s="10" t="s">
        <v>2122</v>
      </c>
      <c r="C622" s="10" t="s">
        <v>2123</v>
      </c>
      <c r="D622" s="10" t="s">
        <v>1004</v>
      </c>
      <c r="E622" s="10" t="s">
        <v>1841</v>
      </c>
      <c r="F622" s="10" t="s">
        <v>794</v>
      </c>
      <c r="G622" s="10" t="s">
        <v>1842</v>
      </c>
      <c r="H622" s="10" t="s">
        <v>978</v>
      </c>
      <c r="I622" s="10" t="s">
        <v>793</v>
      </c>
      <c r="J622" s="10" t="s">
        <v>1004</v>
      </c>
    </row>
    <row r="623" spans="1:10" ht="15" hidden="1" customHeight="1">
      <c r="A623" s="9">
        <v>619</v>
      </c>
      <c r="B623" s="10" t="s">
        <v>2124</v>
      </c>
      <c r="C623" s="10" t="s">
        <v>2125</v>
      </c>
      <c r="D623" s="10" t="s">
        <v>1004</v>
      </c>
      <c r="E623" s="10" t="s">
        <v>1844</v>
      </c>
      <c r="F623" s="10" t="s">
        <v>794</v>
      </c>
      <c r="G623" s="10" t="s">
        <v>1845</v>
      </c>
      <c r="H623" s="10" t="s">
        <v>978</v>
      </c>
      <c r="I623" s="10" t="s">
        <v>793</v>
      </c>
      <c r="J623" s="10" t="s">
        <v>1004</v>
      </c>
    </row>
    <row r="624" spans="1:10" ht="15" hidden="1" customHeight="1">
      <c r="A624" s="9">
        <v>620</v>
      </c>
      <c r="B624" s="10" t="s">
        <v>2126</v>
      </c>
      <c r="C624" s="10" t="s">
        <v>2127</v>
      </c>
      <c r="D624" s="10" t="s">
        <v>1004</v>
      </c>
      <c r="E624" s="10" t="s">
        <v>1844</v>
      </c>
      <c r="F624" s="10" t="s">
        <v>794</v>
      </c>
      <c r="G624" s="10" t="s">
        <v>1845</v>
      </c>
      <c r="H624" s="10" t="s">
        <v>978</v>
      </c>
      <c r="I624" s="10" t="s">
        <v>793</v>
      </c>
      <c r="J624" s="10" t="s">
        <v>1004</v>
      </c>
    </row>
    <row r="625" spans="1:10" ht="15" hidden="1" customHeight="1">
      <c r="A625" s="9">
        <v>621</v>
      </c>
      <c r="B625" s="10" t="s">
        <v>2128</v>
      </c>
      <c r="C625" s="10" t="s">
        <v>2129</v>
      </c>
      <c r="D625" s="10" t="s">
        <v>1004</v>
      </c>
      <c r="E625" s="10" t="s">
        <v>1844</v>
      </c>
      <c r="F625" s="10" t="s">
        <v>794</v>
      </c>
      <c r="G625" s="10" t="s">
        <v>1845</v>
      </c>
      <c r="H625" s="10" t="s">
        <v>978</v>
      </c>
      <c r="I625" s="10" t="s">
        <v>793</v>
      </c>
      <c r="J625" s="10" t="s">
        <v>1004</v>
      </c>
    </row>
    <row r="626" spans="1:10" ht="15" hidden="1" customHeight="1">
      <c r="A626" s="9">
        <v>622</v>
      </c>
      <c r="B626" s="10" t="s">
        <v>2130</v>
      </c>
      <c r="C626" s="10" t="s">
        <v>2131</v>
      </c>
      <c r="D626" s="10" t="s">
        <v>1004</v>
      </c>
      <c r="E626" s="10" t="s">
        <v>1844</v>
      </c>
      <c r="F626" s="10" t="s">
        <v>794</v>
      </c>
      <c r="G626" s="10" t="s">
        <v>1845</v>
      </c>
      <c r="H626" s="10" t="s">
        <v>978</v>
      </c>
      <c r="I626" s="10" t="s">
        <v>793</v>
      </c>
      <c r="J626" s="10" t="s">
        <v>1004</v>
      </c>
    </row>
    <row r="627" spans="1:10" ht="15" hidden="1" customHeight="1">
      <c r="A627" s="9">
        <v>623</v>
      </c>
      <c r="B627" s="10" t="s">
        <v>2132</v>
      </c>
      <c r="C627" s="10" t="s">
        <v>2133</v>
      </c>
      <c r="D627" s="10" t="s">
        <v>1004</v>
      </c>
      <c r="E627" s="10" t="s">
        <v>1844</v>
      </c>
      <c r="F627" s="10" t="s">
        <v>794</v>
      </c>
      <c r="G627" s="10" t="s">
        <v>1845</v>
      </c>
      <c r="H627" s="10" t="s">
        <v>978</v>
      </c>
      <c r="I627" s="10" t="s">
        <v>793</v>
      </c>
      <c r="J627" s="10" t="s">
        <v>1004</v>
      </c>
    </row>
    <row r="628" spans="1:10" ht="15" hidden="1" customHeight="1">
      <c r="A628" s="9">
        <v>624</v>
      </c>
      <c r="B628" s="10" t="s">
        <v>2134</v>
      </c>
      <c r="C628" s="10" t="s">
        <v>2135</v>
      </c>
      <c r="D628" s="10" t="s">
        <v>1004</v>
      </c>
      <c r="E628" s="10" t="s">
        <v>1847</v>
      </c>
      <c r="F628" s="10" t="s">
        <v>794</v>
      </c>
      <c r="G628" s="10" t="s">
        <v>1848</v>
      </c>
      <c r="H628" s="10" t="s">
        <v>978</v>
      </c>
      <c r="I628" s="10" t="s">
        <v>793</v>
      </c>
      <c r="J628" s="10" t="s">
        <v>1004</v>
      </c>
    </row>
    <row r="629" spans="1:10" ht="15" hidden="1" customHeight="1">
      <c r="A629" s="9">
        <v>625</v>
      </c>
      <c r="B629" s="10" t="s">
        <v>2136</v>
      </c>
      <c r="C629" s="10" t="s">
        <v>2137</v>
      </c>
      <c r="D629" s="10" t="s">
        <v>1004</v>
      </c>
      <c r="E629" s="10" t="s">
        <v>1847</v>
      </c>
      <c r="F629" s="10" t="s">
        <v>794</v>
      </c>
      <c r="G629" s="10" t="s">
        <v>1848</v>
      </c>
      <c r="H629" s="10" t="s">
        <v>978</v>
      </c>
      <c r="I629" s="10" t="s">
        <v>793</v>
      </c>
      <c r="J629" s="10" t="s">
        <v>1004</v>
      </c>
    </row>
    <row r="630" spans="1:10" ht="15" hidden="1" customHeight="1">
      <c r="A630" s="9">
        <v>626</v>
      </c>
      <c r="B630" s="10" t="s">
        <v>2138</v>
      </c>
      <c r="C630" s="10" t="s">
        <v>2139</v>
      </c>
      <c r="D630" s="10" t="s">
        <v>1004</v>
      </c>
      <c r="E630" s="10" t="s">
        <v>1847</v>
      </c>
      <c r="F630" s="10" t="s">
        <v>794</v>
      </c>
      <c r="G630" s="10" t="s">
        <v>1848</v>
      </c>
      <c r="H630" s="10" t="s">
        <v>978</v>
      </c>
      <c r="I630" s="10" t="s">
        <v>793</v>
      </c>
      <c r="J630" s="10" t="s">
        <v>1004</v>
      </c>
    </row>
    <row r="631" spans="1:10" ht="15" hidden="1" customHeight="1">
      <c r="A631" s="9">
        <v>627</v>
      </c>
      <c r="B631" s="10" t="s">
        <v>2140</v>
      </c>
      <c r="C631" s="10" t="s">
        <v>2141</v>
      </c>
      <c r="D631" s="10" t="s">
        <v>1004</v>
      </c>
      <c r="E631" s="10" t="s">
        <v>1847</v>
      </c>
      <c r="F631" s="10" t="s">
        <v>794</v>
      </c>
      <c r="G631" s="10" t="s">
        <v>1848</v>
      </c>
      <c r="H631" s="10" t="s">
        <v>978</v>
      </c>
      <c r="I631" s="10" t="s">
        <v>793</v>
      </c>
      <c r="J631" s="10" t="s">
        <v>1004</v>
      </c>
    </row>
    <row r="632" spans="1:10" ht="15" hidden="1" customHeight="1">
      <c r="A632" s="9">
        <v>628</v>
      </c>
      <c r="B632" s="10" t="s">
        <v>2142</v>
      </c>
      <c r="C632" s="10" t="s">
        <v>2143</v>
      </c>
      <c r="D632" s="10" t="s">
        <v>1004</v>
      </c>
      <c r="E632" s="10" t="s">
        <v>1847</v>
      </c>
      <c r="F632" s="10" t="s">
        <v>794</v>
      </c>
      <c r="G632" s="10" t="s">
        <v>1848</v>
      </c>
      <c r="H632" s="10" t="s">
        <v>978</v>
      </c>
      <c r="I632" s="10" t="s">
        <v>793</v>
      </c>
      <c r="J632" s="10" t="s">
        <v>1004</v>
      </c>
    </row>
    <row r="633" spans="1:10" ht="15" hidden="1" customHeight="1">
      <c r="A633" s="9">
        <v>629</v>
      </c>
      <c r="B633" s="10" t="s">
        <v>2144</v>
      </c>
      <c r="C633" s="10" t="s">
        <v>2145</v>
      </c>
      <c r="D633" s="10" t="s">
        <v>1004</v>
      </c>
      <c r="E633" s="10" t="s">
        <v>1850</v>
      </c>
      <c r="F633" s="10" t="s">
        <v>794</v>
      </c>
      <c r="G633" s="10" t="s">
        <v>1851</v>
      </c>
      <c r="H633" s="10" t="s">
        <v>978</v>
      </c>
      <c r="I633" s="10" t="s">
        <v>793</v>
      </c>
      <c r="J633" s="10" t="s">
        <v>1004</v>
      </c>
    </row>
    <row r="634" spans="1:10" ht="15" hidden="1" customHeight="1">
      <c r="A634" s="9">
        <v>630</v>
      </c>
      <c r="B634" s="10" t="s">
        <v>2146</v>
      </c>
      <c r="C634" s="10" t="s">
        <v>2147</v>
      </c>
      <c r="D634" s="10" t="s">
        <v>1004</v>
      </c>
      <c r="E634" s="10" t="s">
        <v>1850</v>
      </c>
      <c r="F634" s="10" t="s">
        <v>794</v>
      </c>
      <c r="G634" s="10" t="s">
        <v>1851</v>
      </c>
      <c r="H634" s="10" t="s">
        <v>978</v>
      </c>
      <c r="I634" s="10" t="s">
        <v>793</v>
      </c>
      <c r="J634" s="10" t="s">
        <v>1004</v>
      </c>
    </row>
    <row r="635" spans="1:10" ht="15" hidden="1" customHeight="1">
      <c r="A635" s="9">
        <v>631</v>
      </c>
      <c r="B635" s="10" t="s">
        <v>2148</v>
      </c>
      <c r="C635" s="10" t="s">
        <v>2149</v>
      </c>
      <c r="D635" s="10" t="s">
        <v>1004</v>
      </c>
      <c r="E635" s="10" t="s">
        <v>1850</v>
      </c>
      <c r="F635" s="10" t="s">
        <v>794</v>
      </c>
      <c r="G635" s="10" t="s">
        <v>1851</v>
      </c>
      <c r="H635" s="10" t="s">
        <v>978</v>
      </c>
      <c r="I635" s="10" t="s">
        <v>793</v>
      </c>
      <c r="J635" s="10" t="s">
        <v>1004</v>
      </c>
    </row>
    <row r="636" spans="1:10" ht="15" hidden="1" customHeight="1">
      <c r="A636" s="9">
        <v>632</v>
      </c>
      <c r="B636" s="10" t="s">
        <v>2150</v>
      </c>
      <c r="C636" s="10" t="s">
        <v>2151</v>
      </c>
      <c r="D636" s="10" t="s">
        <v>1004</v>
      </c>
      <c r="E636" s="10" t="s">
        <v>1850</v>
      </c>
      <c r="F636" s="10" t="s">
        <v>794</v>
      </c>
      <c r="G636" s="10" t="s">
        <v>1851</v>
      </c>
      <c r="H636" s="10" t="s">
        <v>978</v>
      </c>
      <c r="I636" s="10" t="s">
        <v>793</v>
      </c>
      <c r="J636" s="10" t="s">
        <v>1004</v>
      </c>
    </row>
    <row r="637" spans="1:10" ht="15" hidden="1" customHeight="1">
      <c r="A637" s="9">
        <v>633</v>
      </c>
      <c r="B637" s="10" t="s">
        <v>2152</v>
      </c>
      <c r="C637" s="10" t="s">
        <v>2153</v>
      </c>
      <c r="D637" s="10" t="s">
        <v>1004</v>
      </c>
      <c r="E637" s="10" t="s">
        <v>1850</v>
      </c>
      <c r="F637" s="10" t="s">
        <v>794</v>
      </c>
      <c r="G637" s="10" t="s">
        <v>1851</v>
      </c>
      <c r="H637" s="10" t="s">
        <v>978</v>
      </c>
      <c r="I637" s="10" t="s">
        <v>793</v>
      </c>
      <c r="J637" s="10" t="s">
        <v>1004</v>
      </c>
    </row>
    <row r="638" spans="1:10" ht="15" hidden="1" customHeight="1">
      <c r="A638" s="9">
        <v>634</v>
      </c>
      <c r="B638" s="10" t="s">
        <v>2154</v>
      </c>
      <c r="C638" s="10" t="s">
        <v>2155</v>
      </c>
      <c r="D638" s="10" t="s">
        <v>1004</v>
      </c>
      <c r="E638" s="10" t="s">
        <v>1853</v>
      </c>
      <c r="F638" s="10" t="s">
        <v>794</v>
      </c>
      <c r="G638" s="10" t="s">
        <v>1854</v>
      </c>
      <c r="H638" s="10" t="s">
        <v>978</v>
      </c>
      <c r="I638" s="10" t="s">
        <v>793</v>
      </c>
      <c r="J638" s="10" t="s">
        <v>1004</v>
      </c>
    </row>
    <row r="639" spans="1:10" ht="15" hidden="1" customHeight="1">
      <c r="A639" s="9">
        <v>635</v>
      </c>
      <c r="B639" s="10" t="s">
        <v>2156</v>
      </c>
      <c r="C639" s="10" t="s">
        <v>2157</v>
      </c>
      <c r="D639" s="10" t="s">
        <v>1004</v>
      </c>
      <c r="E639" s="10" t="s">
        <v>1853</v>
      </c>
      <c r="F639" s="10" t="s">
        <v>794</v>
      </c>
      <c r="G639" s="10" t="s">
        <v>1854</v>
      </c>
      <c r="H639" s="10" t="s">
        <v>978</v>
      </c>
      <c r="I639" s="10" t="s">
        <v>793</v>
      </c>
      <c r="J639" s="10" t="s">
        <v>1004</v>
      </c>
    </row>
    <row r="640" spans="1:10" ht="15" hidden="1" customHeight="1">
      <c r="A640" s="9">
        <v>636</v>
      </c>
      <c r="B640" s="10" t="s">
        <v>2158</v>
      </c>
      <c r="C640" s="10" t="s">
        <v>2159</v>
      </c>
      <c r="D640" s="10" t="s">
        <v>1004</v>
      </c>
      <c r="E640" s="10" t="s">
        <v>1853</v>
      </c>
      <c r="F640" s="10" t="s">
        <v>794</v>
      </c>
      <c r="G640" s="10" t="s">
        <v>1854</v>
      </c>
      <c r="H640" s="10" t="s">
        <v>978</v>
      </c>
      <c r="I640" s="10" t="s">
        <v>793</v>
      </c>
      <c r="J640" s="10" t="s">
        <v>1004</v>
      </c>
    </row>
    <row r="641" spans="1:10" ht="15" hidden="1" customHeight="1">
      <c r="A641" s="9">
        <v>637</v>
      </c>
      <c r="B641" s="10" t="s">
        <v>2160</v>
      </c>
      <c r="C641" s="10" t="s">
        <v>2161</v>
      </c>
      <c r="D641" s="10" t="s">
        <v>1004</v>
      </c>
      <c r="E641" s="10" t="s">
        <v>1853</v>
      </c>
      <c r="F641" s="10" t="s">
        <v>794</v>
      </c>
      <c r="G641" s="10" t="s">
        <v>1854</v>
      </c>
      <c r="H641" s="10" t="s">
        <v>978</v>
      </c>
      <c r="I641" s="10" t="s">
        <v>793</v>
      </c>
      <c r="J641" s="10" t="s">
        <v>1004</v>
      </c>
    </row>
    <row r="642" spans="1:10" ht="15" hidden="1" customHeight="1">
      <c r="A642" s="9">
        <v>638</v>
      </c>
      <c r="B642" s="10" t="s">
        <v>2162</v>
      </c>
      <c r="C642" s="10" t="s">
        <v>2163</v>
      </c>
      <c r="D642" s="10" t="s">
        <v>1004</v>
      </c>
      <c r="E642" s="10" t="s">
        <v>1853</v>
      </c>
      <c r="F642" s="10" t="s">
        <v>794</v>
      </c>
      <c r="G642" s="10" t="s">
        <v>1854</v>
      </c>
      <c r="H642" s="10" t="s">
        <v>978</v>
      </c>
      <c r="I642" s="10" t="s">
        <v>793</v>
      </c>
      <c r="J642" s="10" t="s">
        <v>1004</v>
      </c>
    </row>
    <row r="643" spans="1:10" ht="15" hidden="1" customHeight="1">
      <c r="A643" s="9">
        <v>639</v>
      </c>
      <c r="B643" s="10" t="s">
        <v>2164</v>
      </c>
      <c r="C643" s="10" t="s">
        <v>2165</v>
      </c>
      <c r="D643" s="10" t="s">
        <v>1004</v>
      </c>
      <c r="E643" s="10" t="s">
        <v>1884</v>
      </c>
      <c r="F643" s="10" t="s">
        <v>794</v>
      </c>
      <c r="G643" s="10" t="s">
        <v>1885</v>
      </c>
      <c r="H643" s="10" t="s">
        <v>978</v>
      </c>
      <c r="I643" s="10" t="s">
        <v>793</v>
      </c>
      <c r="J643" s="10" t="s">
        <v>881</v>
      </c>
    </row>
    <row r="644" spans="1:10" ht="15" hidden="1" customHeight="1">
      <c r="A644" s="9">
        <v>640</v>
      </c>
      <c r="B644" s="10" t="s">
        <v>2166</v>
      </c>
      <c r="C644" s="10" t="s">
        <v>2167</v>
      </c>
      <c r="D644" s="10" t="s">
        <v>1004</v>
      </c>
      <c r="E644" s="10" t="s">
        <v>1884</v>
      </c>
      <c r="F644" s="10" t="s">
        <v>794</v>
      </c>
      <c r="G644" s="10" t="s">
        <v>1885</v>
      </c>
      <c r="H644" s="10" t="s">
        <v>978</v>
      </c>
      <c r="I644" s="10" t="s">
        <v>793</v>
      </c>
      <c r="J644" s="10" t="s">
        <v>881</v>
      </c>
    </row>
    <row r="645" spans="1:10" ht="15" hidden="1" customHeight="1">
      <c r="A645" s="9">
        <v>641</v>
      </c>
      <c r="B645" s="10" t="s">
        <v>2168</v>
      </c>
      <c r="C645" s="10" t="s">
        <v>2169</v>
      </c>
      <c r="D645" s="10" t="s">
        <v>1004</v>
      </c>
      <c r="E645" s="10" t="s">
        <v>1884</v>
      </c>
      <c r="F645" s="10" t="s">
        <v>794</v>
      </c>
      <c r="G645" s="10" t="s">
        <v>1885</v>
      </c>
      <c r="H645" s="10" t="s">
        <v>978</v>
      </c>
      <c r="I645" s="10" t="s">
        <v>793</v>
      </c>
      <c r="J645" s="10" t="s">
        <v>881</v>
      </c>
    </row>
    <row r="646" spans="1:10" ht="15" hidden="1" customHeight="1">
      <c r="A646" s="9">
        <v>642</v>
      </c>
      <c r="B646" s="10" t="s">
        <v>2170</v>
      </c>
      <c r="C646" s="10" t="s">
        <v>2171</v>
      </c>
      <c r="D646" s="10" t="s">
        <v>1004</v>
      </c>
      <c r="E646" s="10" t="s">
        <v>1884</v>
      </c>
      <c r="F646" s="10" t="s">
        <v>794</v>
      </c>
      <c r="G646" s="10" t="s">
        <v>1885</v>
      </c>
      <c r="H646" s="10" t="s">
        <v>978</v>
      </c>
      <c r="I646" s="10" t="s">
        <v>793</v>
      </c>
      <c r="J646" s="10" t="s">
        <v>881</v>
      </c>
    </row>
    <row r="647" spans="1:10" ht="15" hidden="1" customHeight="1">
      <c r="A647" s="9">
        <v>643</v>
      </c>
      <c r="B647" s="10" t="s">
        <v>2172</v>
      </c>
      <c r="C647" s="10" t="s">
        <v>2173</v>
      </c>
      <c r="D647" s="10" t="s">
        <v>1004</v>
      </c>
      <c r="E647" s="10" t="s">
        <v>1884</v>
      </c>
      <c r="F647" s="10" t="s">
        <v>794</v>
      </c>
      <c r="G647" s="10" t="s">
        <v>1885</v>
      </c>
      <c r="H647" s="10" t="s">
        <v>978</v>
      </c>
      <c r="I647" s="10" t="s">
        <v>793</v>
      </c>
      <c r="J647" s="10" t="s">
        <v>881</v>
      </c>
    </row>
    <row r="648" spans="1:10" ht="15" hidden="1" customHeight="1">
      <c r="A648" s="9">
        <v>644</v>
      </c>
      <c r="B648" s="10" t="s">
        <v>2174</v>
      </c>
      <c r="C648" s="10" t="s">
        <v>2175</v>
      </c>
      <c r="D648" s="10" t="s">
        <v>1004</v>
      </c>
      <c r="E648" s="10" t="s">
        <v>1884</v>
      </c>
      <c r="F648" s="10" t="s">
        <v>794</v>
      </c>
      <c r="G648" s="10" t="s">
        <v>1885</v>
      </c>
      <c r="H648" s="10" t="s">
        <v>978</v>
      </c>
      <c r="I648" s="10" t="s">
        <v>793</v>
      </c>
      <c r="J648" s="10" t="s">
        <v>881</v>
      </c>
    </row>
    <row r="649" spans="1:10" ht="15" hidden="1" customHeight="1">
      <c r="A649" s="9">
        <v>645</v>
      </c>
      <c r="B649" s="10" t="s">
        <v>2176</v>
      </c>
      <c r="C649" s="10" t="s">
        <v>2177</v>
      </c>
      <c r="D649" s="10" t="s">
        <v>1004</v>
      </c>
      <c r="E649" s="10" t="s">
        <v>1884</v>
      </c>
      <c r="F649" s="10" t="s">
        <v>794</v>
      </c>
      <c r="G649" s="10" t="s">
        <v>1885</v>
      </c>
      <c r="H649" s="10" t="s">
        <v>978</v>
      </c>
      <c r="I649" s="10" t="s">
        <v>793</v>
      </c>
      <c r="J649" s="10" t="s">
        <v>881</v>
      </c>
    </row>
    <row r="650" spans="1:10" ht="15" hidden="1" customHeight="1">
      <c r="A650" s="9">
        <v>646</v>
      </c>
      <c r="B650" s="10" t="s">
        <v>2178</v>
      </c>
      <c r="C650" s="10" t="s">
        <v>2179</v>
      </c>
      <c r="D650" s="10" t="s">
        <v>1004</v>
      </c>
      <c r="E650" s="10" t="s">
        <v>1884</v>
      </c>
      <c r="F650" s="10" t="s">
        <v>794</v>
      </c>
      <c r="G650" s="10" t="s">
        <v>1885</v>
      </c>
      <c r="H650" s="10" t="s">
        <v>978</v>
      </c>
      <c r="I650" s="10" t="s">
        <v>793</v>
      </c>
      <c r="J650" s="10" t="s">
        <v>881</v>
      </c>
    </row>
    <row r="651" spans="1:10" ht="15" hidden="1" customHeight="1">
      <c r="A651" s="9">
        <v>647</v>
      </c>
      <c r="B651" s="10" t="s">
        <v>2180</v>
      </c>
      <c r="C651" s="10" t="s">
        <v>2181</v>
      </c>
      <c r="D651" s="10" t="s">
        <v>1004</v>
      </c>
      <c r="E651" s="10" t="s">
        <v>1884</v>
      </c>
      <c r="F651" s="10" t="s">
        <v>794</v>
      </c>
      <c r="G651" s="10" t="s">
        <v>1885</v>
      </c>
      <c r="H651" s="10" t="s">
        <v>978</v>
      </c>
      <c r="I651" s="10" t="s">
        <v>793</v>
      </c>
      <c r="J651" s="10" t="s">
        <v>881</v>
      </c>
    </row>
    <row r="652" spans="1:10" ht="15" hidden="1" customHeight="1">
      <c r="A652" s="9">
        <v>648</v>
      </c>
      <c r="B652" s="10" t="s">
        <v>2182</v>
      </c>
      <c r="C652" s="10" t="s">
        <v>2183</v>
      </c>
      <c r="D652" s="10" t="s">
        <v>1004</v>
      </c>
      <c r="E652" s="10" t="s">
        <v>1884</v>
      </c>
      <c r="F652" s="10" t="s">
        <v>794</v>
      </c>
      <c r="G652" s="10" t="s">
        <v>1885</v>
      </c>
      <c r="H652" s="10" t="s">
        <v>978</v>
      </c>
      <c r="I652" s="10" t="s">
        <v>793</v>
      </c>
      <c r="J652" s="10" t="s">
        <v>2070</v>
      </c>
    </row>
    <row r="653" spans="1:10" ht="15" hidden="1" customHeight="1">
      <c r="A653" s="9">
        <v>649</v>
      </c>
      <c r="B653" s="10" t="s">
        <v>2184</v>
      </c>
      <c r="C653" s="10" t="s">
        <v>2185</v>
      </c>
      <c r="D653" s="10" t="s">
        <v>1004</v>
      </c>
      <c r="E653" s="10" t="s">
        <v>1884</v>
      </c>
      <c r="F653" s="10" t="s">
        <v>794</v>
      </c>
      <c r="G653" s="10" t="s">
        <v>1885</v>
      </c>
      <c r="H653" s="10" t="s">
        <v>978</v>
      </c>
      <c r="I653" s="10" t="s">
        <v>793</v>
      </c>
      <c r="J653" s="10" t="s">
        <v>881</v>
      </c>
    </row>
    <row r="654" spans="1:10" ht="15" hidden="1" customHeight="1">
      <c r="A654" s="9">
        <v>650</v>
      </c>
      <c r="B654" s="10" t="s">
        <v>2186</v>
      </c>
      <c r="C654" s="10" t="s">
        <v>2187</v>
      </c>
      <c r="D654" s="10" t="s">
        <v>1004</v>
      </c>
      <c r="E654" s="10" t="s">
        <v>1884</v>
      </c>
      <c r="F654" s="10" t="s">
        <v>794</v>
      </c>
      <c r="G654" s="10" t="s">
        <v>1885</v>
      </c>
      <c r="H654" s="10" t="s">
        <v>978</v>
      </c>
      <c r="I654" s="10" t="s">
        <v>793</v>
      </c>
      <c r="J654" s="10" t="s">
        <v>881</v>
      </c>
    </row>
    <row r="655" spans="1:10" ht="15" hidden="1" customHeight="1">
      <c r="A655" s="9">
        <v>651</v>
      </c>
      <c r="B655" s="10" t="s">
        <v>2188</v>
      </c>
      <c r="C655" s="10" t="s">
        <v>2189</v>
      </c>
      <c r="D655" s="10" t="s">
        <v>1004</v>
      </c>
      <c r="E655" s="10" t="s">
        <v>1884</v>
      </c>
      <c r="F655" s="10" t="s">
        <v>794</v>
      </c>
      <c r="G655" s="10" t="s">
        <v>1885</v>
      </c>
      <c r="H655" s="10" t="s">
        <v>978</v>
      </c>
      <c r="I655" s="10" t="s">
        <v>793</v>
      </c>
      <c r="J655" s="10" t="s">
        <v>881</v>
      </c>
    </row>
    <row r="656" spans="1:10" ht="15" hidden="1" customHeight="1">
      <c r="A656" s="9">
        <v>652</v>
      </c>
      <c r="B656" s="10" t="s">
        <v>2190</v>
      </c>
      <c r="C656" s="10" t="s">
        <v>2191</v>
      </c>
      <c r="D656" s="10" t="s">
        <v>1004</v>
      </c>
      <c r="E656" s="10" t="s">
        <v>1884</v>
      </c>
      <c r="F656" s="10" t="s">
        <v>794</v>
      </c>
      <c r="G656" s="10" t="s">
        <v>1885</v>
      </c>
      <c r="H656" s="10" t="s">
        <v>978</v>
      </c>
      <c r="I656" s="10" t="s">
        <v>793</v>
      </c>
      <c r="J656" s="10" t="s">
        <v>2070</v>
      </c>
    </row>
    <row r="657" spans="1:10" ht="15" hidden="1" customHeight="1">
      <c r="A657" s="9">
        <v>653</v>
      </c>
      <c r="B657" s="10" t="s">
        <v>2192</v>
      </c>
      <c r="C657" s="10" t="s">
        <v>2193</v>
      </c>
      <c r="D657" s="10" t="s">
        <v>1004</v>
      </c>
      <c r="E657" s="10" t="s">
        <v>1884</v>
      </c>
      <c r="F657" s="10" t="s">
        <v>794</v>
      </c>
      <c r="G657" s="10" t="s">
        <v>1885</v>
      </c>
      <c r="H657" s="10" t="s">
        <v>978</v>
      </c>
      <c r="I657" s="10" t="s">
        <v>793</v>
      </c>
      <c r="J657" s="10" t="s">
        <v>881</v>
      </c>
    </row>
    <row r="658" spans="1:10" ht="15" hidden="1" customHeight="1">
      <c r="A658" s="9">
        <v>654</v>
      </c>
      <c r="B658" s="10" t="s">
        <v>2194</v>
      </c>
      <c r="C658" s="10" t="s">
        <v>2195</v>
      </c>
      <c r="D658" s="10" t="s">
        <v>1004</v>
      </c>
      <c r="E658" s="10" t="s">
        <v>1884</v>
      </c>
      <c r="F658" s="10" t="s">
        <v>794</v>
      </c>
      <c r="G658" s="10" t="s">
        <v>1885</v>
      </c>
      <c r="H658" s="10" t="s">
        <v>978</v>
      </c>
      <c r="I658" s="10" t="s">
        <v>793</v>
      </c>
      <c r="J658" s="10" t="s">
        <v>881</v>
      </c>
    </row>
    <row r="659" spans="1:10" ht="15" hidden="1" customHeight="1">
      <c r="A659" s="9">
        <v>655</v>
      </c>
      <c r="B659" s="10" t="s">
        <v>2196</v>
      </c>
      <c r="C659" s="10" t="s">
        <v>2197</v>
      </c>
      <c r="D659" s="10" t="s">
        <v>1004</v>
      </c>
      <c r="E659" s="10" t="s">
        <v>1884</v>
      </c>
      <c r="F659" s="10" t="s">
        <v>794</v>
      </c>
      <c r="G659" s="10" t="s">
        <v>1885</v>
      </c>
      <c r="H659" s="10" t="s">
        <v>978</v>
      </c>
      <c r="I659" s="10" t="s">
        <v>793</v>
      </c>
      <c r="J659" s="10" t="s">
        <v>881</v>
      </c>
    </row>
    <row r="660" spans="1:10" ht="15" hidden="1" customHeight="1">
      <c r="A660" s="9">
        <v>656</v>
      </c>
      <c r="B660" s="10" t="s">
        <v>2198</v>
      </c>
      <c r="C660" s="10" t="s">
        <v>2199</v>
      </c>
      <c r="D660" s="10" t="s">
        <v>1004</v>
      </c>
      <c r="E660" s="10" t="s">
        <v>1884</v>
      </c>
      <c r="F660" s="10" t="s">
        <v>794</v>
      </c>
      <c r="G660" s="10" t="s">
        <v>1885</v>
      </c>
      <c r="H660" s="10" t="s">
        <v>978</v>
      </c>
      <c r="I660" s="10" t="s">
        <v>793</v>
      </c>
      <c r="J660" s="10" t="s">
        <v>2070</v>
      </c>
    </row>
    <row r="661" spans="1:10" ht="15" hidden="1" customHeight="1">
      <c r="A661" s="9">
        <v>657</v>
      </c>
      <c r="B661" s="10" t="s">
        <v>2200</v>
      </c>
      <c r="C661" s="10" t="s">
        <v>2201</v>
      </c>
      <c r="D661" s="10" t="s">
        <v>1004</v>
      </c>
      <c r="E661" s="10" t="s">
        <v>1884</v>
      </c>
      <c r="F661" s="10" t="s">
        <v>794</v>
      </c>
      <c r="G661" s="10" t="s">
        <v>1885</v>
      </c>
      <c r="H661" s="10" t="s">
        <v>978</v>
      </c>
      <c r="I661" s="10" t="s">
        <v>793</v>
      </c>
      <c r="J661" s="10" t="s">
        <v>881</v>
      </c>
    </row>
    <row r="662" spans="1:10" ht="15" hidden="1" customHeight="1">
      <c r="A662" s="9">
        <v>658</v>
      </c>
      <c r="B662" s="10" t="s">
        <v>2202</v>
      </c>
      <c r="C662" s="10" t="s">
        <v>2203</v>
      </c>
      <c r="D662" s="10" t="s">
        <v>1004</v>
      </c>
      <c r="E662" s="10" t="s">
        <v>1884</v>
      </c>
      <c r="F662" s="10" t="s">
        <v>794</v>
      </c>
      <c r="G662" s="10" t="s">
        <v>1885</v>
      </c>
      <c r="H662" s="10" t="s">
        <v>978</v>
      </c>
      <c r="I662" s="10" t="s">
        <v>793</v>
      </c>
      <c r="J662" s="10" t="s">
        <v>881</v>
      </c>
    </row>
    <row r="663" spans="1:10" ht="15" hidden="1" customHeight="1">
      <c r="A663" s="9">
        <v>659</v>
      </c>
      <c r="B663" s="10" t="s">
        <v>2204</v>
      </c>
      <c r="C663" s="10" t="s">
        <v>2205</v>
      </c>
      <c r="D663" s="10" t="s">
        <v>1004</v>
      </c>
      <c r="E663" s="10" t="s">
        <v>1884</v>
      </c>
      <c r="F663" s="10" t="s">
        <v>794</v>
      </c>
      <c r="G663" s="10" t="s">
        <v>1885</v>
      </c>
      <c r="H663" s="10" t="s">
        <v>978</v>
      </c>
      <c r="I663" s="10" t="s">
        <v>793</v>
      </c>
      <c r="J663" s="10" t="s">
        <v>881</v>
      </c>
    </row>
    <row r="664" spans="1:10" ht="15" hidden="1" customHeight="1">
      <c r="A664" s="9">
        <v>660</v>
      </c>
      <c r="B664" s="10" t="s">
        <v>2206</v>
      </c>
      <c r="C664" s="10" t="s">
        <v>2207</v>
      </c>
      <c r="D664" s="10" t="s">
        <v>1004</v>
      </c>
      <c r="E664" s="10" t="s">
        <v>1884</v>
      </c>
      <c r="F664" s="10" t="s">
        <v>794</v>
      </c>
      <c r="G664" s="10" t="s">
        <v>1885</v>
      </c>
      <c r="H664" s="10" t="s">
        <v>978</v>
      </c>
      <c r="I664" s="10" t="s">
        <v>793</v>
      </c>
      <c r="J664" s="10" t="s">
        <v>881</v>
      </c>
    </row>
    <row r="665" spans="1:10" ht="15" hidden="1" customHeight="1">
      <c r="A665" s="9">
        <v>661</v>
      </c>
      <c r="B665" s="10" t="s">
        <v>2208</v>
      </c>
      <c r="C665" s="10" t="s">
        <v>2209</v>
      </c>
      <c r="D665" s="10" t="s">
        <v>1004</v>
      </c>
      <c r="E665" s="10" t="s">
        <v>1884</v>
      </c>
      <c r="F665" s="10" t="s">
        <v>794</v>
      </c>
      <c r="G665" s="10" t="s">
        <v>1885</v>
      </c>
      <c r="H665" s="10" t="s">
        <v>978</v>
      </c>
      <c r="I665" s="10" t="s">
        <v>793</v>
      </c>
      <c r="J665" s="10" t="s">
        <v>881</v>
      </c>
    </row>
    <row r="666" spans="1:10" ht="15" hidden="1" customHeight="1">
      <c r="A666" s="9">
        <v>662</v>
      </c>
      <c r="B666" s="10" t="s">
        <v>2210</v>
      </c>
      <c r="C666" s="10" t="s">
        <v>2211</v>
      </c>
      <c r="D666" s="10" t="s">
        <v>1004</v>
      </c>
      <c r="E666" s="10" t="s">
        <v>1884</v>
      </c>
      <c r="F666" s="10" t="s">
        <v>794</v>
      </c>
      <c r="G666" s="10" t="s">
        <v>1885</v>
      </c>
      <c r="H666" s="10" t="s">
        <v>978</v>
      </c>
      <c r="I666" s="10" t="s">
        <v>793</v>
      </c>
      <c r="J666" s="10" t="s">
        <v>881</v>
      </c>
    </row>
    <row r="667" spans="1:10" ht="15" hidden="1" customHeight="1">
      <c r="A667" s="9">
        <v>663</v>
      </c>
      <c r="B667" s="10" t="s">
        <v>2212</v>
      </c>
      <c r="C667" s="10" t="s">
        <v>2213</v>
      </c>
      <c r="D667" s="10" t="s">
        <v>1004</v>
      </c>
      <c r="E667" s="10" t="s">
        <v>1884</v>
      </c>
      <c r="F667" s="10" t="s">
        <v>794</v>
      </c>
      <c r="G667" s="10" t="s">
        <v>1885</v>
      </c>
      <c r="H667" s="10" t="s">
        <v>978</v>
      </c>
      <c r="I667" s="10" t="s">
        <v>793</v>
      </c>
      <c r="J667" s="10" t="s">
        <v>881</v>
      </c>
    </row>
    <row r="668" spans="1:10" ht="15" hidden="1" customHeight="1">
      <c r="A668" s="9">
        <v>664</v>
      </c>
      <c r="B668" s="10" t="s">
        <v>2214</v>
      </c>
      <c r="C668" s="10" t="s">
        <v>2215</v>
      </c>
      <c r="D668" s="10" t="s">
        <v>1004</v>
      </c>
      <c r="E668" s="10" t="s">
        <v>1889</v>
      </c>
      <c r="F668" s="10" t="s">
        <v>794</v>
      </c>
      <c r="G668" s="10" t="s">
        <v>1890</v>
      </c>
      <c r="H668" s="10" t="s">
        <v>978</v>
      </c>
      <c r="I668" s="10" t="s">
        <v>793</v>
      </c>
      <c r="J668" s="10" t="s">
        <v>881</v>
      </c>
    </row>
    <row r="669" spans="1:10" ht="15" hidden="1" customHeight="1">
      <c r="A669" s="9">
        <v>665</v>
      </c>
      <c r="B669" s="10" t="s">
        <v>2216</v>
      </c>
      <c r="C669" s="10" t="s">
        <v>2217</v>
      </c>
      <c r="D669" s="10" t="s">
        <v>1004</v>
      </c>
      <c r="E669" s="10" t="s">
        <v>1889</v>
      </c>
      <c r="F669" s="10" t="s">
        <v>794</v>
      </c>
      <c r="G669" s="10" t="s">
        <v>1890</v>
      </c>
      <c r="H669" s="10" t="s">
        <v>978</v>
      </c>
      <c r="I669" s="10" t="s">
        <v>793</v>
      </c>
      <c r="J669" s="10" t="s">
        <v>881</v>
      </c>
    </row>
    <row r="670" spans="1:10" ht="15" hidden="1" customHeight="1">
      <c r="A670" s="9">
        <v>666</v>
      </c>
      <c r="B670" s="10" t="s">
        <v>2218</v>
      </c>
      <c r="C670" s="10" t="s">
        <v>2219</v>
      </c>
      <c r="D670" s="10" t="s">
        <v>1004</v>
      </c>
      <c r="E670" s="10" t="s">
        <v>1889</v>
      </c>
      <c r="F670" s="10" t="s">
        <v>794</v>
      </c>
      <c r="G670" s="10" t="s">
        <v>1890</v>
      </c>
      <c r="H670" s="10" t="s">
        <v>978</v>
      </c>
      <c r="I670" s="10" t="s">
        <v>793</v>
      </c>
      <c r="J670" s="10" t="s">
        <v>881</v>
      </c>
    </row>
    <row r="671" spans="1:10" ht="15" hidden="1" customHeight="1">
      <c r="A671" s="9">
        <v>667</v>
      </c>
      <c r="B671" s="10" t="s">
        <v>2220</v>
      </c>
      <c r="C671" s="10" t="s">
        <v>2221</v>
      </c>
      <c r="D671" s="10" t="s">
        <v>1004</v>
      </c>
      <c r="E671" s="10" t="s">
        <v>1889</v>
      </c>
      <c r="F671" s="10" t="s">
        <v>794</v>
      </c>
      <c r="G671" s="10" t="s">
        <v>1890</v>
      </c>
      <c r="H671" s="10" t="s">
        <v>978</v>
      </c>
      <c r="I671" s="10" t="s">
        <v>793</v>
      </c>
      <c r="J671" s="10" t="s">
        <v>119</v>
      </c>
    </row>
    <row r="672" spans="1:10" ht="15" hidden="1" customHeight="1">
      <c r="A672" s="9">
        <v>668</v>
      </c>
      <c r="B672" s="10" t="s">
        <v>2222</v>
      </c>
      <c r="C672" s="10" t="s">
        <v>2223</v>
      </c>
      <c r="D672" s="10" t="s">
        <v>1004</v>
      </c>
      <c r="E672" s="10" t="s">
        <v>1889</v>
      </c>
      <c r="F672" s="10" t="s">
        <v>794</v>
      </c>
      <c r="G672" s="10" t="s">
        <v>1890</v>
      </c>
      <c r="H672" s="10" t="s">
        <v>978</v>
      </c>
      <c r="I672" s="10" t="s">
        <v>793</v>
      </c>
      <c r="J672" s="10" t="s">
        <v>2070</v>
      </c>
    </row>
    <row r="673" spans="1:10" ht="15" hidden="1" customHeight="1">
      <c r="A673" s="9">
        <v>669</v>
      </c>
      <c r="B673" s="10" t="s">
        <v>2224</v>
      </c>
      <c r="C673" s="10" t="s">
        <v>2225</v>
      </c>
      <c r="D673" s="10" t="s">
        <v>1004</v>
      </c>
      <c r="E673" s="10" t="s">
        <v>1889</v>
      </c>
      <c r="F673" s="10" t="s">
        <v>794</v>
      </c>
      <c r="G673" s="10" t="s">
        <v>1890</v>
      </c>
      <c r="H673" s="10" t="s">
        <v>978</v>
      </c>
      <c r="I673" s="10" t="s">
        <v>793</v>
      </c>
      <c r="J673" s="10" t="s">
        <v>881</v>
      </c>
    </row>
    <row r="674" spans="1:10" ht="15" hidden="1" customHeight="1">
      <c r="A674" s="9">
        <v>670</v>
      </c>
      <c r="B674" s="10" t="s">
        <v>2226</v>
      </c>
      <c r="C674" s="10" t="s">
        <v>2227</v>
      </c>
      <c r="D674" s="10" t="s">
        <v>1004</v>
      </c>
      <c r="E674" s="10" t="s">
        <v>1894</v>
      </c>
      <c r="F674" s="10" t="s">
        <v>794</v>
      </c>
      <c r="G674" s="10" t="s">
        <v>977</v>
      </c>
      <c r="H674" s="10" t="s">
        <v>978</v>
      </c>
      <c r="I674" s="10" t="s">
        <v>793</v>
      </c>
      <c r="J674" s="10" t="s">
        <v>881</v>
      </c>
    </row>
    <row r="675" spans="1:10" ht="15" hidden="1" customHeight="1">
      <c r="A675" s="9">
        <v>671</v>
      </c>
      <c r="B675" s="10" t="s">
        <v>2228</v>
      </c>
      <c r="C675" s="10" t="s">
        <v>2229</v>
      </c>
      <c r="D675" s="10" t="s">
        <v>1004</v>
      </c>
      <c r="E675" s="10" t="s">
        <v>1894</v>
      </c>
      <c r="F675" s="10" t="s">
        <v>794</v>
      </c>
      <c r="G675" s="10" t="s">
        <v>977</v>
      </c>
      <c r="H675" s="10" t="s">
        <v>978</v>
      </c>
      <c r="I675" s="10" t="s">
        <v>793</v>
      </c>
      <c r="J675" s="10" t="s">
        <v>119</v>
      </c>
    </row>
    <row r="676" spans="1:10" ht="15" hidden="1" customHeight="1">
      <c r="A676" s="9">
        <v>672</v>
      </c>
      <c r="B676" s="10" t="s">
        <v>2230</v>
      </c>
      <c r="C676" s="10" t="s">
        <v>2231</v>
      </c>
      <c r="D676" s="10" t="s">
        <v>1004</v>
      </c>
      <c r="E676" s="10" t="s">
        <v>1894</v>
      </c>
      <c r="F676" s="10" t="s">
        <v>794</v>
      </c>
      <c r="G676" s="10" t="s">
        <v>977</v>
      </c>
      <c r="H676" s="10" t="s">
        <v>978</v>
      </c>
      <c r="I676" s="10" t="s">
        <v>793</v>
      </c>
      <c r="J676" s="10" t="s">
        <v>881</v>
      </c>
    </row>
    <row r="677" spans="1:10" ht="15" hidden="1" customHeight="1">
      <c r="A677" s="9">
        <v>673</v>
      </c>
      <c r="B677" s="10" t="s">
        <v>2232</v>
      </c>
      <c r="C677" s="10" t="s">
        <v>2233</v>
      </c>
      <c r="D677" s="10" t="s">
        <v>1004</v>
      </c>
      <c r="E677" s="10" t="s">
        <v>1894</v>
      </c>
      <c r="F677" s="10" t="s">
        <v>794</v>
      </c>
      <c r="G677" s="10" t="s">
        <v>977</v>
      </c>
      <c r="H677" s="10" t="s">
        <v>978</v>
      </c>
      <c r="I677" s="10" t="s">
        <v>793</v>
      </c>
      <c r="J677" s="10" t="s">
        <v>881</v>
      </c>
    </row>
    <row r="678" spans="1:10" ht="15" hidden="1" customHeight="1">
      <c r="A678" s="9">
        <v>674</v>
      </c>
      <c r="B678" s="10" t="s">
        <v>2234</v>
      </c>
      <c r="C678" s="10" t="s">
        <v>2235</v>
      </c>
      <c r="D678" s="10" t="s">
        <v>1004</v>
      </c>
      <c r="E678" s="10" t="s">
        <v>1894</v>
      </c>
      <c r="F678" s="10" t="s">
        <v>794</v>
      </c>
      <c r="G678" s="10" t="s">
        <v>977</v>
      </c>
      <c r="H678" s="10" t="s">
        <v>978</v>
      </c>
      <c r="I678" s="10" t="s">
        <v>793</v>
      </c>
      <c r="J678" s="10" t="s">
        <v>881</v>
      </c>
    </row>
    <row r="679" spans="1:10" ht="15" hidden="1" customHeight="1">
      <c r="A679" s="9">
        <v>675</v>
      </c>
      <c r="B679" s="10" t="s">
        <v>2236</v>
      </c>
      <c r="C679" s="10" t="s">
        <v>2237</v>
      </c>
      <c r="D679" s="10" t="s">
        <v>1004</v>
      </c>
      <c r="E679" s="10" t="s">
        <v>1894</v>
      </c>
      <c r="F679" s="10" t="s">
        <v>794</v>
      </c>
      <c r="G679" s="10" t="s">
        <v>977</v>
      </c>
      <c r="H679" s="10" t="s">
        <v>978</v>
      </c>
      <c r="I679" s="10" t="s">
        <v>793</v>
      </c>
      <c r="J679" s="10" t="s">
        <v>881</v>
      </c>
    </row>
    <row r="680" spans="1:10" ht="15" hidden="1" customHeight="1">
      <c r="A680" s="9">
        <v>676</v>
      </c>
      <c r="B680" s="10" t="s">
        <v>2238</v>
      </c>
      <c r="C680" s="10" t="s">
        <v>2239</v>
      </c>
      <c r="D680" s="10" t="s">
        <v>1004</v>
      </c>
      <c r="E680" s="10" t="s">
        <v>1894</v>
      </c>
      <c r="F680" s="10" t="s">
        <v>794</v>
      </c>
      <c r="G680" s="10" t="s">
        <v>977</v>
      </c>
      <c r="H680" s="10" t="s">
        <v>978</v>
      </c>
      <c r="I680" s="10" t="s">
        <v>793</v>
      </c>
      <c r="J680" s="10" t="s">
        <v>881</v>
      </c>
    </row>
    <row r="681" spans="1:10" ht="15" hidden="1" customHeight="1">
      <c r="A681" s="9">
        <v>677</v>
      </c>
      <c r="B681" s="10" t="s">
        <v>2240</v>
      </c>
      <c r="C681" s="10" t="s">
        <v>2241</v>
      </c>
      <c r="D681" s="10" t="s">
        <v>1004</v>
      </c>
      <c r="E681" s="10" t="s">
        <v>1894</v>
      </c>
      <c r="F681" s="10" t="s">
        <v>794</v>
      </c>
      <c r="G681" s="10" t="s">
        <v>977</v>
      </c>
      <c r="H681" s="10" t="s">
        <v>978</v>
      </c>
      <c r="I681" s="10" t="s">
        <v>793</v>
      </c>
      <c r="J681" s="10" t="s">
        <v>881</v>
      </c>
    </row>
    <row r="682" spans="1:10" ht="15" hidden="1" customHeight="1">
      <c r="A682" s="9">
        <v>678</v>
      </c>
      <c r="B682" s="10" t="s">
        <v>2242</v>
      </c>
      <c r="C682" s="10" t="s">
        <v>2243</v>
      </c>
      <c r="D682" s="10" t="s">
        <v>1004</v>
      </c>
      <c r="E682" s="10" t="s">
        <v>1894</v>
      </c>
      <c r="F682" s="10" t="s">
        <v>794</v>
      </c>
      <c r="G682" s="10" t="s">
        <v>977</v>
      </c>
      <c r="H682" s="10" t="s">
        <v>978</v>
      </c>
      <c r="I682" s="10" t="s">
        <v>793</v>
      </c>
      <c r="J682" s="10" t="s">
        <v>881</v>
      </c>
    </row>
    <row r="683" spans="1:10" ht="15" hidden="1" customHeight="1">
      <c r="A683" s="9">
        <v>679</v>
      </c>
      <c r="B683" s="10" t="s">
        <v>2244</v>
      </c>
      <c r="C683" s="10" t="s">
        <v>2245</v>
      </c>
      <c r="D683" s="10" t="s">
        <v>1004</v>
      </c>
      <c r="E683" s="10" t="s">
        <v>1894</v>
      </c>
      <c r="F683" s="10" t="s">
        <v>794</v>
      </c>
      <c r="G683" s="10" t="s">
        <v>977</v>
      </c>
      <c r="H683" s="10" t="s">
        <v>978</v>
      </c>
      <c r="I683" s="10" t="s">
        <v>793</v>
      </c>
      <c r="J683" s="10" t="s">
        <v>881</v>
      </c>
    </row>
    <row r="684" spans="1:10" ht="15" hidden="1" customHeight="1">
      <c r="A684" s="9">
        <v>680</v>
      </c>
      <c r="B684" s="10" t="s">
        <v>2246</v>
      </c>
      <c r="C684" s="10" t="s">
        <v>2247</v>
      </c>
      <c r="D684" s="10" t="s">
        <v>1004</v>
      </c>
      <c r="E684" s="10" t="s">
        <v>1894</v>
      </c>
      <c r="F684" s="10" t="s">
        <v>794</v>
      </c>
      <c r="G684" s="10" t="s">
        <v>977</v>
      </c>
      <c r="H684" s="10" t="s">
        <v>978</v>
      </c>
      <c r="I684" s="10" t="s">
        <v>793</v>
      </c>
      <c r="J684" s="10" t="s">
        <v>881</v>
      </c>
    </row>
    <row r="685" spans="1:10" ht="15" hidden="1" customHeight="1">
      <c r="A685" s="9">
        <v>681</v>
      </c>
      <c r="B685" s="10" t="s">
        <v>2248</v>
      </c>
      <c r="C685" s="10" t="s">
        <v>2249</v>
      </c>
      <c r="D685" s="10" t="s">
        <v>1004</v>
      </c>
      <c r="E685" s="10" t="s">
        <v>1894</v>
      </c>
      <c r="F685" s="10" t="s">
        <v>794</v>
      </c>
      <c r="G685" s="10" t="s">
        <v>977</v>
      </c>
      <c r="H685" s="10" t="s">
        <v>978</v>
      </c>
      <c r="I685" s="10" t="s">
        <v>793</v>
      </c>
      <c r="J685" s="10" t="s">
        <v>881</v>
      </c>
    </row>
    <row r="686" spans="1:10" ht="15" hidden="1" customHeight="1">
      <c r="A686" s="9">
        <v>682</v>
      </c>
      <c r="B686" s="10" t="s">
        <v>2250</v>
      </c>
      <c r="C686" s="10" t="s">
        <v>2251</v>
      </c>
      <c r="D686" s="10" t="s">
        <v>1004</v>
      </c>
      <c r="E686" s="10" t="s">
        <v>1894</v>
      </c>
      <c r="F686" s="10" t="s">
        <v>794</v>
      </c>
      <c r="G686" s="10" t="s">
        <v>977</v>
      </c>
      <c r="H686" s="10" t="s">
        <v>978</v>
      </c>
      <c r="I686" s="10" t="s">
        <v>793</v>
      </c>
      <c r="J686" s="10" t="s">
        <v>881</v>
      </c>
    </row>
    <row r="687" spans="1:10" ht="15" hidden="1" customHeight="1">
      <c r="A687" s="9">
        <v>683</v>
      </c>
      <c r="B687" s="10" t="s">
        <v>2252</v>
      </c>
      <c r="C687" s="10" t="s">
        <v>2253</v>
      </c>
      <c r="D687" s="10" t="s">
        <v>1004</v>
      </c>
      <c r="E687" s="10" t="s">
        <v>1894</v>
      </c>
      <c r="F687" s="10" t="s">
        <v>794</v>
      </c>
      <c r="G687" s="10" t="s">
        <v>977</v>
      </c>
      <c r="H687" s="10" t="s">
        <v>978</v>
      </c>
      <c r="I687" s="10" t="s">
        <v>793</v>
      </c>
      <c r="J687" s="10" t="s">
        <v>881</v>
      </c>
    </row>
    <row r="688" spans="1:10" ht="15" hidden="1" customHeight="1">
      <c r="A688" s="9">
        <v>684</v>
      </c>
      <c r="B688" s="10" t="s">
        <v>2254</v>
      </c>
      <c r="C688" s="10" t="s">
        <v>2255</v>
      </c>
      <c r="D688" s="10" t="s">
        <v>1004</v>
      </c>
      <c r="E688" s="10" t="s">
        <v>1894</v>
      </c>
      <c r="F688" s="10" t="s">
        <v>794</v>
      </c>
      <c r="G688" s="10" t="s">
        <v>977</v>
      </c>
      <c r="H688" s="10" t="s">
        <v>978</v>
      </c>
      <c r="I688" s="10" t="s">
        <v>793</v>
      </c>
      <c r="J688" s="10" t="s">
        <v>881</v>
      </c>
    </row>
    <row r="689" spans="1:10" ht="15" hidden="1" customHeight="1">
      <c r="A689" s="9">
        <v>685</v>
      </c>
      <c r="B689" s="10" t="s">
        <v>2256</v>
      </c>
      <c r="C689" s="10" t="s">
        <v>2257</v>
      </c>
      <c r="D689" s="10" t="s">
        <v>1004</v>
      </c>
      <c r="E689" s="10" t="s">
        <v>1894</v>
      </c>
      <c r="F689" s="10" t="s">
        <v>794</v>
      </c>
      <c r="G689" s="10" t="s">
        <v>977</v>
      </c>
      <c r="H689" s="10" t="s">
        <v>978</v>
      </c>
      <c r="I689" s="10" t="s">
        <v>793</v>
      </c>
      <c r="J689" s="10" t="s">
        <v>881</v>
      </c>
    </row>
    <row r="690" spans="1:10" ht="15" hidden="1" customHeight="1">
      <c r="A690" s="9">
        <v>686</v>
      </c>
      <c r="B690" s="10" t="s">
        <v>2258</v>
      </c>
      <c r="C690" s="10" t="s">
        <v>2259</v>
      </c>
      <c r="D690" s="10" t="s">
        <v>1004</v>
      </c>
      <c r="E690" s="10" t="s">
        <v>1894</v>
      </c>
      <c r="F690" s="10" t="s">
        <v>794</v>
      </c>
      <c r="G690" s="10" t="s">
        <v>977</v>
      </c>
      <c r="H690" s="10" t="s">
        <v>978</v>
      </c>
      <c r="I690" s="10" t="s">
        <v>793</v>
      </c>
      <c r="J690" s="10" t="s">
        <v>881</v>
      </c>
    </row>
    <row r="691" spans="1:10" ht="15" hidden="1" customHeight="1">
      <c r="A691" s="9">
        <v>687</v>
      </c>
      <c r="B691" s="10" t="s">
        <v>2260</v>
      </c>
      <c r="C691" s="10" t="s">
        <v>2261</v>
      </c>
      <c r="D691" s="10" t="s">
        <v>1004</v>
      </c>
      <c r="E691" s="10" t="s">
        <v>1894</v>
      </c>
      <c r="F691" s="10" t="s">
        <v>794</v>
      </c>
      <c r="G691" s="10" t="s">
        <v>977</v>
      </c>
      <c r="H691" s="10" t="s">
        <v>978</v>
      </c>
      <c r="I691" s="10" t="s">
        <v>793</v>
      </c>
      <c r="J691" s="10" t="s">
        <v>881</v>
      </c>
    </row>
    <row r="692" spans="1:10" ht="15" hidden="1" customHeight="1">
      <c r="A692" s="9">
        <v>688</v>
      </c>
      <c r="B692" s="10" t="s">
        <v>2262</v>
      </c>
      <c r="C692" s="10" t="s">
        <v>2263</v>
      </c>
      <c r="D692" s="10" t="s">
        <v>1004</v>
      </c>
      <c r="E692" s="10" t="s">
        <v>1894</v>
      </c>
      <c r="F692" s="10" t="s">
        <v>794</v>
      </c>
      <c r="G692" s="10" t="s">
        <v>977</v>
      </c>
      <c r="H692" s="10" t="s">
        <v>978</v>
      </c>
      <c r="I692" s="10" t="s">
        <v>793</v>
      </c>
      <c r="J692" s="10" t="s">
        <v>881</v>
      </c>
    </row>
    <row r="693" spans="1:10" ht="15" hidden="1" customHeight="1">
      <c r="A693" s="9">
        <v>689</v>
      </c>
      <c r="B693" s="10" t="s">
        <v>2264</v>
      </c>
      <c r="C693" s="10" t="s">
        <v>2265</v>
      </c>
      <c r="D693" s="10" t="s">
        <v>1004</v>
      </c>
      <c r="E693" s="10" t="s">
        <v>1894</v>
      </c>
      <c r="F693" s="10" t="s">
        <v>794</v>
      </c>
      <c r="G693" s="10" t="s">
        <v>977</v>
      </c>
      <c r="H693" s="10" t="s">
        <v>978</v>
      </c>
      <c r="I693" s="10" t="s">
        <v>793</v>
      </c>
      <c r="J693" s="10" t="s">
        <v>119</v>
      </c>
    </row>
    <row r="694" spans="1:10" ht="15" hidden="1" customHeight="1">
      <c r="A694" s="9">
        <v>690</v>
      </c>
      <c r="B694" s="10" t="s">
        <v>2266</v>
      </c>
      <c r="C694" s="10" t="s">
        <v>2267</v>
      </c>
      <c r="D694" s="10" t="s">
        <v>1004</v>
      </c>
      <c r="E694" s="10" t="s">
        <v>1894</v>
      </c>
      <c r="F694" s="10" t="s">
        <v>794</v>
      </c>
      <c r="G694" s="10" t="s">
        <v>977</v>
      </c>
      <c r="H694" s="10" t="s">
        <v>978</v>
      </c>
      <c r="I694" s="10" t="s">
        <v>793</v>
      </c>
      <c r="J694" s="10" t="s">
        <v>881</v>
      </c>
    </row>
    <row r="695" spans="1:10" ht="15" hidden="1" customHeight="1">
      <c r="A695" s="9">
        <v>691</v>
      </c>
      <c r="B695" s="10" t="s">
        <v>2268</v>
      </c>
      <c r="C695" s="10" t="s">
        <v>2269</v>
      </c>
      <c r="D695" s="10" t="s">
        <v>1004</v>
      </c>
      <c r="E695" s="10" t="s">
        <v>1894</v>
      </c>
      <c r="F695" s="10" t="s">
        <v>794</v>
      </c>
      <c r="G695" s="10" t="s">
        <v>977</v>
      </c>
      <c r="H695" s="10" t="s">
        <v>978</v>
      </c>
      <c r="I695" s="10" t="s">
        <v>793</v>
      </c>
      <c r="J695" s="10" t="s">
        <v>881</v>
      </c>
    </row>
    <row r="696" spans="1:10" ht="15" hidden="1" customHeight="1">
      <c r="A696" s="9">
        <v>692</v>
      </c>
      <c r="B696" s="10" t="s">
        <v>2270</v>
      </c>
      <c r="C696" s="10" t="s">
        <v>2271</v>
      </c>
      <c r="D696" s="10" t="s">
        <v>1004</v>
      </c>
      <c r="E696" s="10" t="s">
        <v>1894</v>
      </c>
      <c r="F696" s="10" t="s">
        <v>794</v>
      </c>
      <c r="G696" s="10" t="s">
        <v>977</v>
      </c>
      <c r="H696" s="10" t="s">
        <v>978</v>
      </c>
      <c r="I696" s="10" t="s">
        <v>793</v>
      </c>
      <c r="J696" s="10" t="s">
        <v>881</v>
      </c>
    </row>
    <row r="697" spans="1:10" ht="15" hidden="1" customHeight="1">
      <c r="A697" s="9">
        <v>693</v>
      </c>
      <c r="B697" s="10" t="s">
        <v>2272</v>
      </c>
      <c r="C697" s="10" t="s">
        <v>2273</v>
      </c>
      <c r="D697" s="10" t="s">
        <v>1004</v>
      </c>
      <c r="E697" s="10" t="s">
        <v>1894</v>
      </c>
      <c r="F697" s="10" t="s">
        <v>794</v>
      </c>
      <c r="G697" s="10" t="s">
        <v>977</v>
      </c>
      <c r="H697" s="10" t="s">
        <v>978</v>
      </c>
      <c r="I697" s="10" t="s">
        <v>793</v>
      </c>
      <c r="J697" s="10" t="s">
        <v>881</v>
      </c>
    </row>
    <row r="698" spans="1:10" ht="15" hidden="1" customHeight="1">
      <c r="A698" s="9">
        <v>694</v>
      </c>
      <c r="B698" s="10" t="s">
        <v>2274</v>
      </c>
      <c r="C698" s="10" t="s">
        <v>2275</v>
      </c>
      <c r="D698" s="10" t="s">
        <v>1004</v>
      </c>
      <c r="E698" s="10" t="s">
        <v>1894</v>
      </c>
      <c r="F698" s="10" t="s">
        <v>794</v>
      </c>
      <c r="G698" s="10" t="s">
        <v>977</v>
      </c>
      <c r="H698" s="10" t="s">
        <v>978</v>
      </c>
      <c r="I698" s="10" t="s">
        <v>793</v>
      </c>
      <c r="J698" s="10" t="s">
        <v>881</v>
      </c>
    </row>
    <row r="699" spans="1:10" ht="15" hidden="1" customHeight="1">
      <c r="A699" s="9">
        <v>695</v>
      </c>
      <c r="B699" s="10" t="s">
        <v>2276</v>
      </c>
      <c r="C699" s="10" t="s">
        <v>2277</v>
      </c>
      <c r="D699" s="10" t="s">
        <v>1004</v>
      </c>
      <c r="E699" s="10" t="s">
        <v>1894</v>
      </c>
      <c r="F699" s="10" t="s">
        <v>794</v>
      </c>
      <c r="G699" s="10" t="s">
        <v>977</v>
      </c>
      <c r="H699" s="10" t="s">
        <v>978</v>
      </c>
      <c r="I699" s="10" t="s">
        <v>793</v>
      </c>
      <c r="J699" s="10" t="s">
        <v>881</v>
      </c>
    </row>
    <row r="700" spans="1:10" ht="15" hidden="1" customHeight="1">
      <c r="A700" s="9">
        <v>696</v>
      </c>
      <c r="B700" s="10" t="s">
        <v>2278</v>
      </c>
      <c r="C700" s="10" t="s">
        <v>2279</v>
      </c>
      <c r="D700" s="10" t="s">
        <v>1004</v>
      </c>
      <c r="E700" s="10" t="s">
        <v>1894</v>
      </c>
      <c r="F700" s="10" t="s">
        <v>794</v>
      </c>
      <c r="G700" s="10" t="s">
        <v>977</v>
      </c>
      <c r="H700" s="10" t="s">
        <v>978</v>
      </c>
      <c r="I700" s="10" t="s">
        <v>793</v>
      </c>
      <c r="J700" s="10" t="s">
        <v>881</v>
      </c>
    </row>
    <row r="701" spans="1:10" ht="15" hidden="1" customHeight="1">
      <c r="A701" s="9">
        <v>697</v>
      </c>
      <c r="B701" s="10" t="s">
        <v>2280</v>
      </c>
      <c r="C701" s="10" t="s">
        <v>2281</v>
      </c>
      <c r="D701" s="10" t="s">
        <v>1004</v>
      </c>
      <c r="E701" s="10" t="s">
        <v>1894</v>
      </c>
      <c r="F701" s="10" t="s">
        <v>794</v>
      </c>
      <c r="G701" s="10" t="s">
        <v>977</v>
      </c>
      <c r="H701" s="10" t="s">
        <v>978</v>
      </c>
      <c r="I701" s="10" t="s">
        <v>793</v>
      </c>
      <c r="J701" s="10" t="s">
        <v>881</v>
      </c>
    </row>
    <row r="702" spans="1:10" ht="15" hidden="1" customHeight="1">
      <c r="A702" s="9">
        <v>698</v>
      </c>
      <c r="B702" s="10" t="s">
        <v>2282</v>
      </c>
      <c r="C702" s="10" t="s">
        <v>2283</v>
      </c>
      <c r="D702" s="10" t="s">
        <v>1004</v>
      </c>
      <c r="E702" s="10" t="s">
        <v>1894</v>
      </c>
      <c r="F702" s="10" t="s">
        <v>794</v>
      </c>
      <c r="G702" s="10" t="s">
        <v>977</v>
      </c>
      <c r="H702" s="10" t="s">
        <v>978</v>
      </c>
      <c r="I702" s="10" t="s">
        <v>793</v>
      </c>
      <c r="J702" s="10" t="s">
        <v>881</v>
      </c>
    </row>
    <row r="703" spans="1:10" ht="15" hidden="1" customHeight="1">
      <c r="A703" s="9">
        <v>699</v>
      </c>
      <c r="B703" s="10" t="s">
        <v>2284</v>
      </c>
      <c r="C703" s="10" t="s">
        <v>2285</v>
      </c>
      <c r="D703" s="10" t="s">
        <v>1004</v>
      </c>
      <c r="E703" s="10" t="s">
        <v>1894</v>
      </c>
      <c r="F703" s="10" t="s">
        <v>794</v>
      </c>
      <c r="G703" s="10" t="s">
        <v>977</v>
      </c>
      <c r="H703" s="10" t="s">
        <v>978</v>
      </c>
      <c r="I703" s="10" t="s">
        <v>793</v>
      </c>
      <c r="J703" s="10" t="s">
        <v>2070</v>
      </c>
    </row>
    <row r="704" spans="1:10" ht="15" hidden="1" customHeight="1">
      <c r="A704" s="9">
        <v>700</v>
      </c>
      <c r="B704" s="10" t="s">
        <v>2286</v>
      </c>
      <c r="C704" s="10" t="s">
        <v>2287</v>
      </c>
      <c r="D704" s="10" t="s">
        <v>1004</v>
      </c>
      <c r="E704" s="10" t="s">
        <v>1894</v>
      </c>
      <c r="F704" s="10" t="s">
        <v>794</v>
      </c>
      <c r="G704" s="10" t="s">
        <v>977</v>
      </c>
      <c r="H704" s="10" t="s">
        <v>978</v>
      </c>
      <c r="I704" s="10" t="s">
        <v>793</v>
      </c>
      <c r="J704" s="10" t="s">
        <v>881</v>
      </c>
    </row>
    <row r="705" spans="1:10" ht="15" hidden="1" customHeight="1">
      <c r="A705" s="9">
        <v>701</v>
      </c>
      <c r="B705" s="10" t="s">
        <v>2288</v>
      </c>
      <c r="C705" s="10" t="s">
        <v>2289</v>
      </c>
      <c r="D705" s="10" t="s">
        <v>1004</v>
      </c>
      <c r="E705" s="10" t="s">
        <v>1894</v>
      </c>
      <c r="F705" s="10" t="s">
        <v>794</v>
      </c>
      <c r="G705" s="10" t="s">
        <v>977</v>
      </c>
      <c r="H705" s="10" t="s">
        <v>978</v>
      </c>
      <c r="I705" s="10" t="s">
        <v>793</v>
      </c>
      <c r="J705" s="10" t="s">
        <v>881</v>
      </c>
    </row>
    <row r="706" spans="1:10" ht="15" hidden="1" customHeight="1">
      <c r="A706" s="9">
        <v>702</v>
      </c>
      <c r="B706" s="10" t="s">
        <v>2290</v>
      </c>
      <c r="C706" s="10" t="s">
        <v>2291</v>
      </c>
      <c r="D706" s="10" t="s">
        <v>1004</v>
      </c>
      <c r="E706" s="10" t="s">
        <v>1894</v>
      </c>
      <c r="F706" s="10" t="s">
        <v>794</v>
      </c>
      <c r="G706" s="10" t="s">
        <v>977</v>
      </c>
      <c r="H706" s="10" t="s">
        <v>978</v>
      </c>
      <c r="I706" s="10" t="s">
        <v>793</v>
      </c>
      <c r="J706" s="10" t="s">
        <v>881</v>
      </c>
    </row>
    <row r="707" spans="1:10" ht="15" hidden="1" customHeight="1">
      <c r="A707" s="9">
        <v>703</v>
      </c>
      <c r="B707" s="10" t="s">
        <v>2292</v>
      </c>
      <c r="C707" s="10" t="s">
        <v>2293</v>
      </c>
      <c r="D707" s="10" t="s">
        <v>1004</v>
      </c>
      <c r="E707" s="10" t="s">
        <v>1894</v>
      </c>
      <c r="F707" s="10" t="s">
        <v>794</v>
      </c>
      <c r="G707" s="10" t="s">
        <v>977</v>
      </c>
      <c r="H707" s="10" t="s">
        <v>978</v>
      </c>
      <c r="I707" s="10" t="s">
        <v>793</v>
      </c>
      <c r="J707" s="10" t="s">
        <v>881</v>
      </c>
    </row>
    <row r="708" spans="1:10" ht="15" hidden="1" customHeight="1">
      <c r="A708" s="9">
        <v>704</v>
      </c>
      <c r="B708" s="10" t="s">
        <v>2294</v>
      </c>
      <c r="C708" s="10" t="s">
        <v>2295</v>
      </c>
      <c r="D708" s="10" t="s">
        <v>1004</v>
      </c>
      <c r="E708" s="10" t="s">
        <v>1894</v>
      </c>
      <c r="F708" s="10" t="s">
        <v>794</v>
      </c>
      <c r="G708" s="10" t="s">
        <v>977</v>
      </c>
      <c r="H708" s="10" t="s">
        <v>978</v>
      </c>
      <c r="I708" s="10" t="s">
        <v>793</v>
      </c>
      <c r="J708" s="10" t="s">
        <v>881</v>
      </c>
    </row>
    <row r="709" spans="1:10" ht="15" hidden="1" customHeight="1">
      <c r="A709" s="9">
        <v>705</v>
      </c>
      <c r="B709" s="10" t="s">
        <v>2296</v>
      </c>
      <c r="C709" s="10" t="s">
        <v>2297</v>
      </c>
      <c r="D709" s="10" t="s">
        <v>1004</v>
      </c>
      <c r="E709" s="10" t="s">
        <v>1894</v>
      </c>
      <c r="F709" s="10" t="s">
        <v>794</v>
      </c>
      <c r="G709" s="10" t="s">
        <v>977</v>
      </c>
      <c r="H709" s="10" t="s">
        <v>978</v>
      </c>
      <c r="I709" s="10" t="s">
        <v>793</v>
      </c>
      <c r="J709" s="10" t="s">
        <v>881</v>
      </c>
    </row>
    <row r="710" spans="1:10" ht="15" hidden="1" customHeight="1">
      <c r="A710" s="9">
        <v>706</v>
      </c>
      <c r="B710" s="10" t="s">
        <v>2298</v>
      </c>
      <c r="C710" s="10" t="s">
        <v>2299</v>
      </c>
      <c r="D710" s="10" t="s">
        <v>1004</v>
      </c>
      <c r="E710" s="10" t="s">
        <v>1898</v>
      </c>
      <c r="F710" s="10" t="s">
        <v>794</v>
      </c>
      <c r="G710" s="10" t="s">
        <v>1899</v>
      </c>
      <c r="H710" s="10" t="s">
        <v>978</v>
      </c>
      <c r="I710" s="10" t="s">
        <v>793</v>
      </c>
      <c r="J710" s="10" t="s">
        <v>1004</v>
      </c>
    </row>
    <row r="711" spans="1:10" ht="15" hidden="1" customHeight="1">
      <c r="A711" s="9">
        <v>707</v>
      </c>
      <c r="B711" s="10" t="s">
        <v>2300</v>
      </c>
      <c r="C711" s="10" t="s">
        <v>2301</v>
      </c>
      <c r="D711" s="10" t="s">
        <v>1004</v>
      </c>
      <c r="E711" s="10" t="s">
        <v>1898</v>
      </c>
      <c r="F711" s="10" t="s">
        <v>794</v>
      </c>
      <c r="G711" s="10" t="s">
        <v>1899</v>
      </c>
      <c r="H711" s="10" t="s">
        <v>978</v>
      </c>
      <c r="I711" s="10" t="s">
        <v>793</v>
      </c>
      <c r="J711" s="10" t="s">
        <v>1004</v>
      </c>
    </row>
    <row r="712" spans="1:10" ht="15" hidden="1" customHeight="1">
      <c r="A712" s="9">
        <v>708</v>
      </c>
      <c r="B712" s="10" t="s">
        <v>2302</v>
      </c>
      <c r="C712" s="10" t="s">
        <v>2303</v>
      </c>
      <c r="D712" s="10" t="s">
        <v>1004</v>
      </c>
      <c r="E712" s="10" t="s">
        <v>1898</v>
      </c>
      <c r="F712" s="10" t="s">
        <v>794</v>
      </c>
      <c r="G712" s="10" t="s">
        <v>1899</v>
      </c>
      <c r="H712" s="10" t="s">
        <v>978</v>
      </c>
      <c r="I712" s="10" t="s">
        <v>793</v>
      </c>
      <c r="J712" s="10" t="s">
        <v>1004</v>
      </c>
    </row>
    <row r="713" spans="1:10" ht="15" hidden="1" customHeight="1">
      <c r="A713" s="9">
        <v>709</v>
      </c>
      <c r="B713" s="10" t="s">
        <v>2304</v>
      </c>
      <c r="C713" s="10" t="s">
        <v>2305</v>
      </c>
      <c r="D713" s="10" t="s">
        <v>1004</v>
      </c>
      <c r="E713" s="10" t="s">
        <v>1898</v>
      </c>
      <c r="F713" s="10" t="s">
        <v>794</v>
      </c>
      <c r="G713" s="10" t="s">
        <v>1899</v>
      </c>
      <c r="H713" s="10" t="s">
        <v>978</v>
      </c>
      <c r="I713" s="10" t="s">
        <v>793</v>
      </c>
      <c r="J713" s="10" t="s">
        <v>1004</v>
      </c>
    </row>
    <row r="714" spans="1:10" ht="15" hidden="1" customHeight="1">
      <c r="A714" s="9">
        <v>710</v>
      </c>
      <c r="B714" s="10" t="s">
        <v>2306</v>
      </c>
      <c r="C714" s="10" t="s">
        <v>2307</v>
      </c>
      <c r="D714" s="10" t="s">
        <v>1004</v>
      </c>
      <c r="E714" s="10" t="s">
        <v>1898</v>
      </c>
      <c r="F714" s="10" t="s">
        <v>794</v>
      </c>
      <c r="G714" s="10" t="s">
        <v>1899</v>
      </c>
      <c r="H714" s="10" t="s">
        <v>978</v>
      </c>
      <c r="I714" s="10" t="s">
        <v>793</v>
      </c>
      <c r="J714" s="10" t="s">
        <v>1004</v>
      </c>
    </row>
    <row r="715" spans="1:10" ht="15" hidden="1" customHeight="1">
      <c r="A715" s="9">
        <v>711</v>
      </c>
      <c r="B715" s="10" t="s">
        <v>2308</v>
      </c>
      <c r="C715" s="10" t="s">
        <v>2309</v>
      </c>
      <c r="D715" s="10" t="s">
        <v>1004</v>
      </c>
      <c r="E715" s="10" t="s">
        <v>1898</v>
      </c>
      <c r="F715" s="10" t="s">
        <v>794</v>
      </c>
      <c r="G715" s="10" t="s">
        <v>1899</v>
      </c>
      <c r="H715" s="10" t="s">
        <v>978</v>
      </c>
      <c r="I715" s="10" t="s">
        <v>793</v>
      </c>
      <c r="J715" s="10" t="s">
        <v>1004</v>
      </c>
    </row>
    <row r="716" spans="1:10" ht="15" hidden="1" customHeight="1">
      <c r="A716" s="9">
        <v>712</v>
      </c>
      <c r="B716" s="10" t="s">
        <v>2310</v>
      </c>
      <c r="C716" s="10" t="s">
        <v>2311</v>
      </c>
      <c r="D716" s="10" t="s">
        <v>1004</v>
      </c>
      <c r="E716" s="10" t="s">
        <v>1898</v>
      </c>
      <c r="F716" s="10" t="s">
        <v>794</v>
      </c>
      <c r="G716" s="10" t="s">
        <v>1899</v>
      </c>
      <c r="H716" s="10" t="s">
        <v>978</v>
      </c>
      <c r="I716" s="10" t="s">
        <v>793</v>
      </c>
      <c r="J716" s="10" t="s">
        <v>1004</v>
      </c>
    </row>
    <row r="717" spans="1:10" ht="15" hidden="1" customHeight="1">
      <c r="A717" s="9">
        <v>713</v>
      </c>
      <c r="B717" s="10" t="s">
        <v>2312</v>
      </c>
      <c r="C717" s="10" t="s">
        <v>2313</v>
      </c>
      <c r="D717" s="10" t="s">
        <v>1004</v>
      </c>
      <c r="E717" s="10" t="s">
        <v>1898</v>
      </c>
      <c r="F717" s="10" t="s">
        <v>794</v>
      </c>
      <c r="G717" s="10" t="s">
        <v>1899</v>
      </c>
      <c r="H717" s="10" t="s">
        <v>978</v>
      </c>
      <c r="I717" s="10" t="s">
        <v>793</v>
      </c>
      <c r="J717" s="10" t="s">
        <v>1004</v>
      </c>
    </row>
    <row r="718" spans="1:10" ht="15" hidden="1" customHeight="1">
      <c r="A718" s="9">
        <v>714</v>
      </c>
      <c r="B718" s="10" t="s">
        <v>2314</v>
      </c>
      <c r="C718" s="10" t="s">
        <v>2315</v>
      </c>
      <c r="D718" s="10" t="s">
        <v>1004</v>
      </c>
      <c r="E718" s="10" t="s">
        <v>1898</v>
      </c>
      <c r="F718" s="10" t="s">
        <v>794</v>
      </c>
      <c r="G718" s="10" t="s">
        <v>1899</v>
      </c>
      <c r="H718" s="10" t="s">
        <v>978</v>
      </c>
      <c r="I718" s="10" t="s">
        <v>793</v>
      </c>
      <c r="J718" s="10" t="s">
        <v>1004</v>
      </c>
    </row>
    <row r="719" spans="1:10" ht="15" hidden="1" customHeight="1">
      <c r="A719" s="9">
        <v>715</v>
      </c>
      <c r="B719" s="10" t="s">
        <v>2316</v>
      </c>
      <c r="C719" s="10" t="s">
        <v>2317</v>
      </c>
      <c r="D719" s="10" t="s">
        <v>1004</v>
      </c>
      <c r="E719" s="10" t="s">
        <v>1898</v>
      </c>
      <c r="F719" s="10" t="s">
        <v>794</v>
      </c>
      <c r="G719" s="10" t="s">
        <v>1899</v>
      </c>
      <c r="H719" s="10" t="s">
        <v>978</v>
      </c>
      <c r="I719" s="10" t="s">
        <v>793</v>
      </c>
      <c r="J719" s="10" t="s">
        <v>1004</v>
      </c>
    </row>
    <row r="720" spans="1:10" ht="15" hidden="1" customHeight="1">
      <c r="A720" s="9">
        <v>716</v>
      </c>
      <c r="B720" s="10" t="s">
        <v>2318</v>
      </c>
      <c r="C720" s="10" t="s">
        <v>2319</v>
      </c>
      <c r="D720" s="10" t="s">
        <v>1004</v>
      </c>
      <c r="E720" s="10" t="s">
        <v>1898</v>
      </c>
      <c r="F720" s="10" t="s">
        <v>794</v>
      </c>
      <c r="G720" s="10" t="s">
        <v>1899</v>
      </c>
      <c r="H720" s="10" t="s">
        <v>978</v>
      </c>
      <c r="I720" s="10" t="s">
        <v>793</v>
      </c>
      <c r="J720" s="10" t="s">
        <v>1004</v>
      </c>
    </row>
    <row r="721" spans="1:10" ht="15" hidden="1" customHeight="1">
      <c r="A721" s="9">
        <v>717</v>
      </c>
      <c r="B721" s="10" t="s">
        <v>2320</v>
      </c>
      <c r="C721" s="10" t="s">
        <v>2321</v>
      </c>
      <c r="D721" s="10" t="s">
        <v>1004</v>
      </c>
      <c r="E721" s="10" t="s">
        <v>1898</v>
      </c>
      <c r="F721" s="10" t="s">
        <v>794</v>
      </c>
      <c r="G721" s="10" t="s">
        <v>1899</v>
      </c>
      <c r="H721" s="10" t="s">
        <v>978</v>
      </c>
      <c r="I721" s="10" t="s">
        <v>793</v>
      </c>
      <c r="J721" s="10" t="s">
        <v>1004</v>
      </c>
    </row>
    <row r="722" spans="1:10" ht="15" hidden="1" customHeight="1">
      <c r="A722" s="9">
        <v>718</v>
      </c>
      <c r="B722" s="10" t="s">
        <v>2322</v>
      </c>
      <c r="C722" s="10" t="s">
        <v>2323</v>
      </c>
      <c r="D722" s="10" t="s">
        <v>1004</v>
      </c>
      <c r="E722" s="10" t="s">
        <v>1898</v>
      </c>
      <c r="F722" s="10" t="s">
        <v>794</v>
      </c>
      <c r="G722" s="10" t="s">
        <v>1899</v>
      </c>
      <c r="H722" s="10" t="s">
        <v>978</v>
      </c>
      <c r="I722" s="10" t="s">
        <v>793</v>
      </c>
      <c r="J722" s="10" t="s">
        <v>1004</v>
      </c>
    </row>
    <row r="723" spans="1:10" ht="15" hidden="1" customHeight="1">
      <c r="A723" s="9">
        <v>719</v>
      </c>
      <c r="B723" s="10" t="s">
        <v>2324</v>
      </c>
      <c r="C723" s="10" t="s">
        <v>2325</v>
      </c>
      <c r="D723" s="10" t="s">
        <v>1004</v>
      </c>
      <c r="E723" s="10" t="s">
        <v>1898</v>
      </c>
      <c r="F723" s="10" t="s">
        <v>794</v>
      </c>
      <c r="G723" s="10" t="s">
        <v>1899</v>
      </c>
      <c r="H723" s="10" t="s">
        <v>978</v>
      </c>
      <c r="I723" s="10" t="s">
        <v>793</v>
      </c>
      <c r="J723" s="10" t="s">
        <v>1004</v>
      </c>
    </row>
    <row r="724" spans="1:10" ht="15" hidden="1" customHeight="1">
      <c r="A724" s="9">
        <v>720</v>
      </c>
      <c r="B724" s="10" t="s">
        <v>2326</v>
      </c>
      <c r="C724" s="10" t="s">
        <v>2327</v>
      </c>
      <c r="D724" s="10" t="s">
        <v>1004</v>
      </c>
      <c r="E724" s="10" t="s">
        <v>1898</v>
      </c>
      <c r="F724" s="10" t="s">
        <v>794</v>
      </c>
      <c r="G724" s="10" t="s">
        <v>1899</v>
      </c>
      <c r="H724" s="10" t="s">
        <v>978</v>
      </c>
      <c r="I724" s="10" t="s">
        <v>793</v>
      </c>
      <c r="J724" s="10" t="s">
        <v>1004</v>
      </c>
    </row>
    <row r="725" spans="1:10" ht="15" hidden="1" customHeight="1">
      <c r="A725" s="9">
        <v>721</v>
      </c>
      <c r="B725" s="10" t="s">
        <v>2328</v>
      </c>
      <c r="C725" s="10" t="s">
        <v>2329</v>
      </c>
      <c r="D725" s="10" t="s">
        <v>1004</v>
      </c>
      <c r="E725" s="10" t="s">
        <v>1898</v>
      </c>
      <c r="F725" s="10" t="s">
        <v>794</v>
      </c>
      <c r="G725" s="10" t="s">
        <v>1899</v>
      </c>
      <c r="H725" s="10" t="s">
        <v>978</v>
      </c>
      <c r="I725" s="10" t="s">
        <v>793</v>
      </c>
      <c r="J725" s="10" t="s">
        <v>1004</v>
      </c>
    </row>
    <row r="726" spans="1:10" ht="15" hidden="1" customHeight="1">
      <c r="A726" s="9">
        <v>722</v>
      </c>
      <c r="B726" s="10" t="s">
        <v>2330</v>
      </c>
      <c r="C726" s="10" t="s">
        <v>2331</v>
      </c>
      <c r="D726" s="10" t="s">
        <v>1004</v>
      </c>
      <c r="E726" s="10" t="s">
        <v>1907</v>
      </c>
      <c r="F726" s="10" t="s">
        <v>794</v>
      </c>
      <c r="G726" s="10" t="s">
        <v>1908</v>
      </c>
      <c r="H726" s="10" t="s">
        <v>978</v>
      </c>
      <c r="I726" s="10" t="s">
        <v>793</v>
      </c>
      <c r="J726" s="10" t="s">
        <v>119</v>
      </c>
    </row>
    <row r="727" spans="1:10" ht="15" hidden="1" customHeight="1">
      <c r="A727" s="9">
        <v>723</v>
      </c>
      <c r="B727" s="10" t="s">
        <v>2332</v>
      </c>
      <c r="C727" s="10" t="s">
        <v>2333</v>
      </c>
      <c r="D727" s="10" t="s">
        <v>1004</v>
      </c>
      <c r="E727" s="10" t="s">
        <v>1907</v>
      </c>
      <c r="F727" s="10" t="s">
        <v>794</v>
      </c>
      <c r="G727" s="10" t="s">
        <v>1908</v>
      </c>
      <c r="H727" s="10" t="s">
        <v>978</v>
      </c>
      <c r="I727" s="10" t="s">
        <v>793</v>
      </c>
      <c r="J727" s="10" t="s">
        <v>119</v>
      </c>
    </row>
    <row r="728" spans="1:10" ht="15" hidden="1" customHeight="1">
      <c r="A728" s="9">
        <v>724</v>
      </c>
      <c r="B728" s="10" t="s">
        <v>2334</v>
      </c>
      <c r="C728" s="10" t="s">
        <v>2335</v>
      </c>
      <c r="D728" s="10" t="s">
        <v>1004</v>
      </c>
      <c r="E728" s="10" t="s">
        <v>1907</v>
      </c>
      <c r="F728" s="10" t="s">
        <v>794</v>
      </c>
      <c r="G728" s="10" t="s">
        <v>1908</v>
      </c>
      <c r="H728" s="10" t="s">
        <v>978</v>
      </c>
      <c r="I728" s="10" t="s">
        <v>793</v>
      </c>
      <c r="J728" s="10" t="s">
        <v>119</v>
      </c>
    </row>
    <row r="729" spans="1:10" ht="15" hidden="1" customHeight="1">
      <c r="A729" s="9">
        <v>725</v>
      </c>
      <c r="B729" s="10" t="s">
        <v>2336</v>
      </c>
      <c r="C729" s="10" t="s">
        <v>2337</v>
      </c>
      <c r="D729" s="10" t="s">
        <v>1004</v>
      </c>
      <c r="E729" s="10" t="s">
        <v>1907</v>
      </c>
      <c r="F729" s="10" t="s">
        <v>794</v>
      </c>
      <c r="G729" s="10" t="s">
        <v>1908</v>
      </c>
      <c r="H729" s="10" t="s">
        <v>978</v>
      </c>
      <c r="I729" s="10" t="s">
        <v>793</v>
      </c>
      <c r="J729" s="10" t="s">
        <v>119</v>
      </c>
    </row>
    <row r="730" spans="1:10" ht="15" hidden="1" customHeight="1">
      <c r="A730" s="9">
        <v>726</v>
      </c>
      <c r="B730" s="10" t="s">
        <v>2338</v>
      </c>
      <c r="C730" s="10" t="s">
        <v>2339</v>
      </c>
      <c r="D730" s="10" t="s">
        <v>1004</v>
      </c>
      <c r="E730" s="10" t="s">
        <v>1912</v>
      </c>
      <c r="F730" s="10" t="s">
        <v>794</v>
      </c>
      <c r="G730" s="10" t="s">
        <v>1913</v>
      </c>
      <c r="H730" s="10" t="s">
        <v>978</v>
      </c>
      <c r="I730" s="10" t="s">
        <v>793</v>
      </c>
      <c r="J730" s="10" t="s">
        <v>1004</v>
      </c>
    </row>
    <row r="731" spans="1:10" ht="15" hidden="1" customHeight="1">
      <c r="A731" s="9">
        <v>727</v>
      </c>
      <c r="B731" s="10" t="s">
        <v>2340</v>
      </c>
      <c r="C731" s="10" t="s">
        <v>2341</v>
      </c>
      <c r="D731" s="10" t="s">
        <v>1004</v>
      </c>
      <c r="E731" s="10" t="s">
        <v>1912</v>
      </c>
      <c r="F731" s="10" t="s">
        <v>794</v>
      </c>
      <c r="G731" s="10" t="s">
        <v>1913</v>
      </c>
      <c r="H731" s="10" t="s">
        <v>978</v>
      </c>
      <c r="I731" s="10" t="s">
        <v>793</v>
      </c>
      <c r="J731" s="10" t="s">
        <v>1004</v>
      </c>
    </row>
    <row r="732" spans="1:10" ht="15" hidden="1" customHeight="1">
      <c r="A732" s="9">
        <v>728</v>
      </c>
      <c r="B732" s="10" t="s">
        <v>2342</v>
      </c>
      <c r="C732" s="10" t="s">
        <v>2343</v>
      </c>
      <c r="D732" s="10" t="s">
        <v>1004</v>
      </c>
      <c r="E732" s="10" t="s">
        <v>1912</v>
      </c>
      <c r="F732" s="10" t="s">
        <v>794</v>
      </c>
      <c r="G732" s="10" t="s">
        <v>1913</v>
      </c>
      <c r="H732" s="10" t="s">
        <v>978</v>
      </c>
      <c r="I732" s="10" t="s">
        <v>793</v>
      </c>
      <c r="J732" s="10" t="s">
        <v>1004</v>
      </c>
    </row>
    <row r="733" spans="1:10" ht="15" hidden="1" customHeight="1">
      <c r="A733" s="9">
        <v>729</v>
      </c>
      <c r="B733" s="10" t="s">
        <v>2344</v>
      </c>
      <c r="C733" s="10" t="s">
        <v>2345</v>
      </c>
      <c r="D733" s="10" t="s">
        <v>1004</v>
      </c>
      <c r="E733" s="10" t="s">
        <v>1912</v>
      </c>
      <c r="F733" s="10" t="s">
        <v>794</v>
      </c>
      <c r="G733" s="10" t="s">
        <v>1913</v>
      </c>
      <c r="H733" s="10" t="s">
        <v>978</v>
      </c>
      <c r="I733" s="10" t="s">
        <v>793</v>
      </c>
      <c r="J733" s="10" t="s">
        <v>1004</v>
      </c>
    </row>
    <row r="734" spans="1:10" ht="15" hidden="1" customHeight="1">
      <c r="A734" s="9">
        <v>730</v>
      </c>
      <c r="B734" s="10" t="s">
        <v>2346</v>
      </c>
      <c r="C734" s="10" t="s">
        <v>2347</v>
      </c>
      <c r="D734" s="10" t="s">
        <v>1004</v>
      </c>
      <c r="E734" s="10" t="s">
        <v>1912</v>
      </c>
      <c r="F734" s="10" t="s">
        <v>794</v>
      </c>
      <c r="G734" s="10" t="s">
        <v>1913</v>
      </c>
      <c r="H734" s="10" t="s">
        <v>978</v>
      </c>
      <c r="I734" s="10" t="s">
        <v>793</v>
      </c>
      <c r="J734" s="10" t="s">
        <v>1004</v>
      </c>
    </row>
    <row r="735" spans="1:10" ht="15" hidden="1" customHeight="1">
      <c r="A735" s="9">
        <v>731</v>
      </c>
      <c r="B735" s="10" t="s">
        <v>2348</v>
      </c>
      <c r="C735" s="10" t="s">
        <v>2349</v>
      </c>
      <c r="D735" s="10" t="s">
        <v>1004</v>
      </c>
      <c r="E735" s="10" t="s">
        <v>1912</v>
      </c>
      <c r="F735" s="10" t="s">
        <v>794</v>
      </c>
      <c r="G735" s="10" t="s">
        <v>1913</v>
      </c>
      <c r="H735" s="10" t="s">
        <v>978</v>
      </c>
      <c r="I735" s="10" t="s">
        <v>793</v>
      </c>
      <c r="J735" s="10" t="s">
        <v>1004</v>
      </c>
    </row>
    <row r="736" spans="1:10" ht="15" hidden="1" customHeight="1">
      <c r="A736" s="9">
        <v>732</v>
      </c>
      <c r="B736" s="10" t="s">
        <v>2350</v>
      </c>
      <c r="C736" s="10" t="s">
        <v>2351</v>
      </c>
      <c r="D736" s="10" t="s">
        <v>1004</v>
      </c>
      <c r="E736" s="10" t="s">
        <v>1912</v>
      </c>
      <c r="F736" s="10" t="s">
        <v>794</v>
      </c>
      <c r="G736" s="10" t="s">
        <v>1913</v>
      </c>
      <c r="H736" s="10" t="s">
        <v>978</v>
      </c>
      <c r="I736" s="10" t="s">
        <v>793</v>
      </c>
      <c r="J736" s="10" t="s">
        <v>1004</v>
      </c>
    </row>
    <row r="737" spans="1:10" ht="15" hidden="1" customHeight="1">
      <c r="A737" s="9">
        <v>733</v>
      </c>
      <c r="B737" s="10" t="s">
        <v>2352</v>
      </c>
      <c r="C737" s="10" t="s">
        <v>2353</v>
      </c>
      <c r="D737" s="10" t="s">
        <v>1004</v>
      </c>
      <c r="E737" s="10" t="s">
        <v>1912</v>
      </c>
      <c r="F737" s="10" t="s">
        <v>794</v>
      </c>
      <c r="G737" s="10" t="s">
        <v>1913</v>
      </c>
      <c r="H737" s="10" t="s">
        <v>978</v>
      </c>
      <c r="I737" s="10" t="s">
        <v>793</v>
      </c>
      <c r="J737" s="10" t="s">
        <v>1004</v>
      </c>
    </row>
    <row r="738" spans="1:10" ht="15" hidden="1" customHeight="1">
      <c r="A738" s="9">
        <v>734</v>
      </c>
      <c r="B738" s="10" t="s">
        <v>2354</v>
      </c>
      <c r="C738" s="10" t="s">
        <v>2355</v>
      </c>
      <c r="D738" s="10" t="s">
        <v>1004</v>
      </c>
      <c r="E738" s="10" t="s">
        <v>1912</v>
      </c>
      <c r="F738" s="10" t="s">
        <v>794</v>
      </c>
      <c r="G738" s="10" t="s">
        <v>1913</v>
      </c>
      <c r="H738" s="10" t="s">
        <v>978</v>
      </c>
      <c r="I738" s="10" t="s">
        <v>793</v>
      </c>
      <c r="J738" s="10" t="s">
        <v>1004</v>
      </c>
    </row>
    <row r="739" spans="1:10" ht="15" hidden="1" customHeight="1">
      <c r="A739" s="9">
        <v>735</v>
      </c>
      <c r="B739" s="10" t="s">
        <v>2356</v>
      </c>
      <c r="C739" s="10" t="s">
        <v>2357</v>
      </c>
      <c r="D739" s="10" t="s">
        <v>1004</v>
      </c>
      <c r="E739" s="10" t="s">
        <v>1912</v>
      </c>
      <c r="F739" s="10" t="s">
        <v>794</v>
      </c>
      <c r="G739" s="10" t="s">
        <v>1913</v>
      </c>
      <c r="H739" s="10" t="s">
        <v>978</v>
      </c>
      <c r="I739" s="10" t="s">
        <v>793</v>
      </c>
      <c r="J739" s="10" t="s">
        <v>1004</v>
      </c>
    </row>
    <row r="740" spans="1:10" ht="15" hidden="1" customHeight="1">
      <c r="A740" s="9">
        <v>736</v>
      </c>
      <c r="B740" s="10" t="s">
        <v>2358</v>
      </c>
      <c r="C740" s="10" t="s">
        <v>2359</v>
      </c>
      <c r="D740" s="10" t="s">
        <v>1004</v>
      </c>
      <c r="E740" s="10" t="s">
        <v>1912</v>
      </c>
      <c r="F740" s="10" t="s">
        <v>794</v>
      </c>
      <c r="G740" s="10" t="s">
        <v>1913</v>
      </c>
      <c r="H740" s="10" t="s">
        <v>978</v>
      </c>
      <c r="I740" s="10" t="s">
        <v>793</v>
      </c>
      <c r="J740" s="10" t="s">
        <v>1004</v>
      </c>
    </row>
    <row r="741" spans="1:10" ht="15" hidden="1" customHeight="1">
      <c r="A741" s="9">
        <v>737</v>
      </c>
      <c r="B741" s="10" t="s">
        <v>2360</v>
      </c>
      <c r="C741" s="10" t="s">
        <v>2361</v>
      </c>
      <c r="D741" s="10" t="s">
        <v>1004</v>
      </c>
      <c r="E741" s="10" t="s">
        <v>1912</v>
      </c>
      <c r="F741" s="10" t="s">
        <v>794</v>
      </c>
      <c r="G741" s="10" t="s">
        <v>1913</v>
      </c>
      <c r="H741" s="10" t="s">
        <v>978</v>
      </c>
      <c r="I741" s="10" t="s">
        <v>793</v>
      </c>
      <c r="J741" s="10" t="s">
        <v>1004</v>
      </c>
    </row>
    <row r="742" spans="1:10" ht="15" hidden="1" customHeight="1">
      <c r="A742" s="9">
        <v>738</v>
      </c>
      <c r="B742" s="10" t="s">
        <v>2362</v>
      </c>
      <c r="C742" s="10" t="s">
        <v>2363</v>
      </c>
      <c r="D742" s="10" t="s">
        <v>1004</v>
      </c>
      <c r="E742" s="10" t="s">
        <v>1912</v>
      </c>
      <c r="F742" s="10" t="s">
        <v>794</v>
      </c>
      <c r="G742" s="10" t="s">
        <v>1913</v>
      </c>
      <c r="H742" s="10" t="s">
        <v>978</v>
      </c>
      <c r="I742" s="10" t="s">
        <v>793</v>
      </c>
      <c r="J742" s="10" t="s">
        <v>1004</v>
      </c>
    </row>
    <row r="743" spans="1:10" ht="15" hidden="1" customHeight="1">
      <c r="A743" s="9">
        <v>739</v>
      </c>
      <c r="B743" s="10" t="s">
        <v>2364</v>
      </c>
      <c r="C743" s="10" t="s">
        <v>2365</v>
      </c>
      <c r="D743" s="10" t="s">
        <v>1004</v>
      </c>
      <c r="E743" s="10" t="s">
        <v>1912</v>
      </c>
      <c r="F743" s="10" t="s">
        <v>794</v>
      </c>
      <c r="G743" s="10" t="s">
        <v>1913</v>
      </c>
      <c r="H743" s="10" t="s">
        <v>978</v>
      </c>
      <c r="I743" s="10" t="s">
        <v>793</v>
      </c>
      <c r="J743" s="10" t="s">
        <v>1004</v>
      </c>
    </row>
    <row r="744" spans="1:10" ht="15" hidden="1" customHeight="1">
      <c r="A744" s="9">
        <v>740</v>
      </c>
      <c r="B744" s="10" t="s">
        <v>2366</v>
      </c>
      <c r="C744" s="10" t="s">
        <v>2367</v>
      </c>
      <c r="D744" s="10" t="s">
        <v>1004</v>
      </c>
      <c r="E744" s="10" t="s">
        <v>1912</v>
      </c>
      <c r="F744" s="10" t="s">
        <v>794</v>
      </c>
      <c r="G744" s="10" t="s">
        <v>1913</v>
      </c>
      <c r="H744" s="10" t="s">
        <v>978</v>
      </c>
      <c r="I744" s="10" t="s">
        <v>793</v>
      </c>
      <c r="J744" s="10" t="s">
        <v>1004</v>
      </c>
    </row>
    <row r="745" spans="1:10" ht="15" hidden="1" customHeight="1">
      <c r="A745" s="9">
        <v>741</v>
      </c>
      <c r="B745" s="10" t="s">
        <v>2368</v>
      </c>
      <c r="C745" s="10" t="s">
        <v>2369</v>
      </c>
      <c r="D745" s="10" t="s">
        <v>1004</v>
      </c>
      <c r="E745" s="10" t="s">
        <v>1912</v>
      </c>
      <c r="F745" s="10" t="s">
        <v>794</v>
      </c>
      <c r="G745" s="10" t="s">
        <v>1913</v>
      </c>
      <c r="H745" s="10" t="s">
        <v>978</v>
      </c>
      <c r="I745" s="10" t="s">
        <v>793</v>
      </c>
      <c r="J745" s="10" t="s">
        <v>1004</v>
      </c>
    </row>
    <row r="746" spans="1:10" ht="15" hidden="1" customHeight="1">
      <c r="A746" s="9">
        <v>742</v>
      </c>
      <c r="B746" s="10" t="s">
        <v>2370</v>
      </c>
      <c r="C746" s="10" t="s">
        <v>2371</v>
      </c>
      <c r="D746" s="10" t="s">
        <v>1004</v>
      </c>
      <c r="E746" s="10" t="s">
        <v>1912</v>
      </c>
      <c r="F746" s="10" t="s">
        <v>794</v>
      </c>
      <c r="G746" s="10" t="s">
        <v>1913</v>
      </c>
      <c r="H746" s="10" t="s">
        <v>978</v>
      </c>
      <c r="I746" s="10" t="s">
        <v>793</v>
      </c>
      <c r="J746" s="10" t="s">
        <v>1004</v>
      </c>
    </row>
    <row r="747" spans="1:10" ht="15" hidden="1" customHeight="1">
      <c r="A747" s="9">
        <v>743</v>
      </c>
      <c r="B747" s="10" t="s">
        <v>2372</v>
      </c>
      <c r="C747" s="10" t="s">
        <v>2373</v>
      </c>
      <c r="D747" s="10" t="s">
        <v>1004</v>
      </c>
      <c r="E747" s="10" t="s">
        <v>1912</v>
      </c>
      <c r="F747" s="10" t="s">
        <v>794</v>
      </c>
      <c r="G747" s="10" t="s">
        <v>1913</v>
      </c>
      <c r="H747" s="10" t="s">
        <v>978</v>
      </c>
      <c r="I747" s="10" t="s">
        <v>793</v>
      </c>
      <c r="J747" s="10" t="s">
        <v>1004</v>
      </c>
    </row>
    <row r="748" spans="1:10" ht="15" hidden="1" customHeight="1">
      <c r="A748" s="9">
        <v>744</v>
      </c>
      <c r="B748" s="10" t="s">
        <v>2374</v>
      </c>
      <c r="C748" s="10" t="s">
        <v>2375</v>
      </c>
      <c r="D748" s="10" t="s">
        <v>1004</v>
      </c>
      <c r="E748" s="10" t="s">
        <v>1912</v>
      </c>
      <c r="F748" s="10" t="s">
        <v>794</v>
      </c>
      <c r="G748" s="10" t="s">
        <v>1913</v>
      </c>
      <c r="H748" s="10" t="s">
        <v>978</v>
      </c>
      <c r="I748" s="10" t="s">
        <v>793</v>
      </c>
      <c r="J748" s="10" t="s">
        <v>1004</v>
      </c>
    </row>
    <row r="749" spans="1:10" ht="15" hidden="1" customHeight="1">
      <c r="A749" s="9">
        <v>745</v>
      </c>
      <c r="B749" s="10" t="s">
        <v>2376</v>
      </c>
      <c r="C749" s="10" t="s">
        <v>2377</v>
      </c>
      <c r="D749" s="10" t="s">
        <v>1004</v>
      </c>
      <c r="E749" s="10" t="s">
        <v>1912</v>
      </c>
      <c r="F749" s="10" t="s">
        <v>794</v>
      </c>
      <c r="G749" s="10" t="s">
        <v>1913</v>
      </c>
      <c r="H749" s="10" t="s">
        <v>978</v>
      </c>
      <c r="I749" s="10" t="s">
        <v>793</v>
      </c>
      <c r="J749" s="10" t="s">
        <v>1004</v>
      </c>
    </row>
    <row r="750" spans="1:10" ht="15" hidden="1" customHeight="1">
      <c r="A750" s="9">
        <v>746</v>
      </c>
      <c r="B750" s="10" t="s">
        <v>2378</v>
      </c>
      <c r="C750" s="10" t="s">
        <v>2379</v>
      </c>
      <c r="D750" s="10" t="s">
        <v>1004</v>
      </c>
      <c r="E750" s="10" t="s">
        <v>1912</v>
      </c>
      <c r="F750" s="10" t="s">
        <v>794</v>
      </c>
      <c r="G750" s="10" t="s">
        <v>1913</v>
      </c>
      <c r="H750" s="10" t="s">
        <v>978</v>
      </c>
      <c r="I750" s="10" t="s">
        <v>793</v>
      </c>
      <c r="J750" s="10" t="s">
        <v>1004</v>
      </c>
    </row>
    <row r="751" spans="1:10" ht="15" hidden="1" customHeight="1">
      <c r="A751" s="9">
        <v>747</v>
      </c>
      <c r="B751" s="10" t="s">
        <v>2380</v>
      </c>
      <c r="C751" s="10" t="s">
        <v>2381</v>
      </c>
      <c r="D751" s="10" t="s">
        <v>1004</v>
      </c>
      <c r="E751" s="10" t="s">
        <v>1919</v>
      </c>
      <c r="F751" s="10" t="s">
        <v>794</v>
      </c>
      <c r="G751" s="10" t="s">
        <v>1920</v>
      </c>
      <c r="H751" s="10" t="s">
        <v>978</v>
      </c>
      <c r="I751" s="10" t="s">
        <v>793</v>
      </c>
      <c r="J751" s="10" t="s">
        <v>1004</v>
      </c>
    </row>
    <row r="752" spans="1:10" ht="15" hidden="1" customHeight="1">
      <c r="A752" s="9">
        <v>748</v>
      </c>
      <c r="B752" s="10" t="s">
        <v>2382</v>
      </c>
      <c r="C752" s="10" t="s">
        <v>2383</v>
      </c>
      <c r="D752" s="10" t="s">
        <v>1004</v>
      </c>
      <c r="E752" s="10" t="s">
        <v>1919</v>
      </c>
      <c r="F752" s="10" t="s">
        <v>794</v>
      </c>
      <c r="G752" s="10" t="s">
        <v>1920</v>
      </c>
      <c r="H752" s="10" t="s">
        <v>978</v>
      </c>
      <c r="I752" s="10" t="s">
        <v>793</v>
      </c>
      <c r="J752" s="10" t="s">
        <v>1004</v>
      </c>
    </row>
    <row r="753" spans="1:10" ht="15" hidden="1" customHeight="1">
      <c r="A753" s="9">
        <v>749</v>
      </c>
      <c r="B753" s="10" t="s">
        <v>2384</v>
      </c>
      <c r="C753" s="10" t="s">
        <v>2385</v>
      </c>
      <c r="D753" s="10" t="s">
        <v>1004</v>
      </c>
      <c r="E753" s="10" t="s">
        <v>1919</v>
      </c>
      <c r="F753" s="10" t="s">
        <v>794</v>
      </c>
      <c r="G753" s="10" t="s">
        <v>1920</v>
      </c>
      <c r="H753" s="10" t="s">
        <v>978</v>
      </c>
      <c r="I753" s="10" t="s">
        <v>793</v>
      </c>
      <c r="J753" s="10" t="s">
        <v>1004</v>
      </c>
    </row>
    <row r="754" spans="1:10" ht="15" hidden="1" customHeight="1">
      <c r="A754" s="9">
        <v>750</v>
      </c>
      <c r="B754" s="10" t="s">
        <v>2386</v>
      </c>
      <c r="C754" s="10" t="s">
        <v>2387</v>
      </c>
      <c r="D754" s="10" t="s">
        <v>1004</v>
      </c>
      <c r="E754" s="10" t="s">
        <v>1919</v>
      </c>
      <c r="F754" s="10" t="s">
        <v>794</v>
      </c>
      <c r="G754" s="10" t="s">
        <v>1920</v>
      </c>
      <c r="H754" s="10" t="s">
        <v>978</v>
      </c>
      <c r="I754" s="10" t="s">
        <v>793</v>
      </c>
      <c r="J754" s="10" t="s">
        <v>1004</v>
      </c>
    </row>
    <row r="755" spans="1:10" ht="15" hidden="1" customHeight="1">
      <c r="A755" s="9">
        <v>751</v>
      </c>
      <c r="B755" s="10" t="s">
        <v>2388</v>
      </c>
      <c r="C755" s="10" t="s">
        <v>2389</v>
      </c>
      <c r="D755" s="10" t="s">
        <v>1004</v>
      </c>
      <c r="E755" s="10" t="s">
        <v>1919</v>
      </c>
      <c r="F755" s="10" t="s">
        <v>794</v>
      </c>
      <c r="G755" s="10" t="s">
        <v>1920</v>
      </c>
      <c r="H755" s="10" t="s">
        <v>978</v>
      </c>
      <c r="I755" s="10" t="s">
        <v>793</v>
      </c>
      <c r="J755" s="10" t="s">
        <v>1004</v>
      </c>
    </row>
    <row r="756" spans="1:10" ht="15" hidden="1" customHeight="1">
      <c r="A756" s="9">
        <v>752</v>
      </c>
      <c r="B756" s="10" t="s">
        <v>2390</v>
      </c>
      <c r="C756" s="10" t="s">
        <v>2391</v>
      </c>
      <c r="D756" s="10" t="s">
        <v>1004</v>
      </c>
      <c r="E756" s="10" t="s">
        <v>1919</v>
      </c>
      <c r="F756" s="10" t="s">
        <v>794</v>
      </c>
      <c r="G756" s="10" t="s">
        <v>1920</v>
      </c>
      <c r="H756" s="10" t="s">
        <v>978</v>
      </c>
      <c r="I756" s="10" t="s">
        <v>793</v>
      </c>
      <c r="J756" s="10" t="s">
        <v>1004</v>
      </c>
    </row>
    <row r="757" spans="1:10" ht="15" hidden="1" customHeight="1">
      <c r="A757" s="9">
        <v>753</v>
      </c>
      <c r="B757" s="10" t="s">
        <v>2392</v>
      </c>
      <c r="C757" s="10" t="s">
        <v>2393</v>
      </c>
      <c r="D757" s="10" t="s">
        <v>1004</v>
      </c>
      <c r="E757" s="10" t="s">
        <v>1919</v>
      </c>
      <c r="F757" s="10" t="s">
        <v>794</v>
      </c>
      <c r="G757" s="10" t="s">
        <v>1920</v>
      </c>
      <c r="H757" s="10" t="s">
        <v>978</v>
      </c>
      <c r="I757" s="10" t="s">
        <v>793</v>
      </c>
      <c r="J757" s="10" t="s">
        <v>1004</v>
      </c>
    </row>
    <row r="758" spans="1:10" ht="15" hidden="1" customHeight="1">
      <c r="A758" s="9">
        <v>754</v>
      </c>
      <c r="B758" s="10" t="s">
        <v>2394</v>
      </c>
      <c r="C758" s="10" t="s">
        <v>2395</v>
      </c>
      <c r="D758" s="10" t="s">
        <v>1004</v>
      </c>
      <c r="E758" s="10" t="s">
        <v>1919</v>
      </c>
      <c r="F758" s="10" t="s">
        <v>794</v>
      </c>
      <c r="G758" s="10" t="s">
        <v>1920</v>
      </c>
      <c r="H758" s="10" t="s">
        <v>978</v>
      </c>
      <c r="I758" s="10" t="s">
        <v>793</v>
      </c>
      <c r="J758" s="10" t="s">
        <v>1004</v>
      </c>
    </row>
    <row r="759" spans="1:10" ht="15" hidden="1" customHeight="1">
      <c r="A759" s="9">
        <v>755</v>
      </c>
      <c r="B759" s="10" t="s">
        <v>2396</v>
      </c>
      <c r="C759" s="10" t="s">
        <v>2397</v>
      </c>
      <c r="D759" s="10" t="s">
        <v>1004</v>
      </c>
      <c r="E759" s="10" t="s">
        <v>1919</v>
      </c>
      <c r="F759" s="10" t="s">
        <v>794</v>
      </c>
      <c r="G759" s="10" t="s">
        <v>1920</v>
      </c>
      <c r="H759" s="10" t="s">
        <v>978</v>
      </c>
      <c r="I759" s="10" t="s">
        <v>793</v>
      </c>
      <c r="J759" s="10" t="s">
        <v>1004</v>
      </c>
    </row>
    <row r="760" spans="1:10" ht="15" hidden="1" customHeight="1">
      <c r="A760" s="9">
        <v>756</v>
      </c>
      <c r="B760" s="10" t="s">
        <v>2398</v>
      </c>
      <c r="C760" s="10" t="s">
        <v>2399</v>
      </c>
      <c r="D760" s="10" t="s">
        <v>1004</v>
      </c>
      <c r="E760" s="10" t="s">
        <v>1919</v>
      </c>
      <c r="F760" s="10" t="s">
        <v>794</v>
      </c>
      <c r="G760" s="10" t="s">
        <v>1920</v>
      </c>
      <c r="H760" s="10" t="s">
        <v>978</v>
      </c>
      <c r="I760" s="10" t="s">
        <v>793</v>
      </c>
      <c r="J760" s="10" t="s">
        <v>1004</v>
      </c>
    </row>
    <row r="761" spans="1:10" ht="15" hidden="1" customHeight="1">
      <c r="A761" s="9">
        <v>757</v>
      </c>
      <c r="B761" s="10" t="s">
        <v>2400</v>
      </c>
      <c r="C761" s="10" t="s">
        <v>2401</v>
      </c>
      <c r="D761" s="10" t="s">
        <v>1004</v>
      </c>
      <c r="E761" s="10" t="s">
        <v>1919</v>
      </c>
      <c r="F761" s="10" t="s">
        <v>794</v>
      </c>
      <c r="G761" s="10" t="s">
        <v>1920</v>
      </c>
      <c r="H761" s="10" t="s">
        <v>978</v>
      </c>
      <c r="I761" s="10" t="s">
        <v>793</v>
      </c>
      <c r="J761" s="10" t="s">
        <v>1004</v>
      </c>
    </row>
    <row r="762" spans="1:10" ht="15" hidden="1" customHeight="1">
      <c r="A762" s="9">
        <v>758</v>
      </c>
      <c r="B762" s="10" t="s">
        <v>2402</v>
      </c>
      <c r="C762" s="10" t="s">
        <v>2403</v>
      </c>
      <c r="D762" s="10" t="s">
        <v>1004</v>
      </c>
      <c r="E762" s="10" t="s">
        <v>1919</v>
      </c>
      <c r="F762" s="10" t="s">
        <v>794</v>
      </c>
      <c r="G762" s="10" t="s">
        <v>1920</v>
      </c>
      <c r="H762" s="10" t="s">
        <v>978</v>
      </c>
      <c r="I762" s="10" t="s">
        <v>793</v>
      </c>
      <c r="J762" s="10" t="s">
        <v>1004</v>
      </c>
    </row>
    <row r="763" spans="1:10" ht="15" hidden="1" customHeight="1">
      <c r="A763" s="9">
        <v>759</v>
      </c>
      <c r="B763" s="10" t="s">
        <v>2404</v>
      </c>
      <c r="C763" s="10" t="s">
        <v>2405</v>
      </c>
      <c r="D763" s="10" t="s">
        <v>1004</v>
      </c>
      <c r="E763" s="10" t="s">
        <v>1919</v>
      </c>
      <c r="F763" s="10" t="s">
        <v>794</v>
      </c>
      <c r="G763" s="10" t="s">
        <v>1920</v>
      </c>
      <c r="H763" s="10" t="s">
        <v>978</v>
      </c>
      <c r="I763" s="10" t="s">
        <v>793</v>
      </c>
      <c r="J763" s="10" t="s">
        <v>1004</v>
      </c>
    </row>
    <row r="764" spans="1:10" ht="15" hidden="1" customHeight="1">
      <c r="A764" s="9">
        <v>760</v>
      </c>
      <c r="B764" s="10" t="s">
        <v>2406</v>
      </c>
      <c r="C764" s="10" t="s">
        <v>2407</v>
      </c>
      <c r="D764" s="10" t="s">
        <v>1004</v>
      </c>
      <c r="E764" s="10" t="s">
        <v>1919</v>
      </c>
      <c r="F764" s="10" t="s">
        <v>794</v>
      </c>
      <c r="G764" s="10" t="s">
        <v>1920</v>
      </c>
      <c r="H764" s="10" t="s">
        <v>978</v>
      </c>
      <c r="I764" s="10" t="s">
        <v>793</v>
      </c>
      <c r="J764" s="10" t="s">
        <v>1004</v>
      </c>
    </row>
    <row r="765" spans="1:10" ht="15" hidden="1" customHeight="1">
      <c r="A765" s="9">
        <v>761</v>
      </c>
      <c r="B765" s="10" t="s">
        <v>2408</v>
      </c>
      <c r="C765" s="10" t="s">
        <v>2409</v>
      </c>
      <c r="D765" s="10" t="s">
        <v>1004</v>
      </c>
      <c r="E765" s="10" t="s">
        <v>1924</v>
      </c>
      <c r="F765" s="10" t="s">
        <v>794</v>
      </c>
      <c r="G765" s="10" t="s">
        <v>1925</v>
      </c>
      <c r="H765" s="10" t="s">
        <v>978</v>
      </c>
      <c r="I765" s="10" t="s">
        <v>793</v>
      </c>
      <c r="J765" s="10" t="s">
        <v>1004</v>
      </c>
    </row>
    <row r="766" spans="1:10" ht="15" hidden="1" customHeight="1">
      <c r="A766" s="9">
        <v>762</v>
      </c>
      <c r="B766" s="10" t="s">
        <v>2410</v>
      </c>
      <c r="C766" s="10" t="s">
        <v>2411</v>
      </c>
      <c r="D766" s="10" t="s">
        <v>1004</v>
      </c>
      <c r="E766" s="10" t="s">
        <v>1924</v>
      </c>
      <c r="F766" s="10" t="s">
        <v>794</v>
      </c>
      <c r="G766" s="10" t="s">
        <v>1925</v>
      </c>
      <c r="H766" s="10" t="s">
        <v>978</v>
      </c>
      <c r="I766" s="10" t="s">
        <v>793</v>
      </c>
      <c r="J766" s="10" t="s">
        <v>1004</v>
      </c>
    </row>
    <row r="767" spans="1:10" ht="15" hidden="1" customHeight="1">
      <c r="A767" s="9">
        <v>763</v>
      </c>
      <c r="B767" s="10" t="s">
        <v>2412</v>
      </c>
      <c r="C767" s="10" t="s">
        <v>2413</v>
      </c>
      <c r="D767" s="10" t="s">
        <v>1004</v>
      </c>
      <c r="E767" s="10" t="s">
        <v>1924</v>
      </c>
      <c r="F767" s="10" t="s">
        <v>794</v>
      </c>
      <c r="G767" s="10" t="s">
        <v>1925</v>
      </c>
      <c r="H767" s="10" t="s">
        <v>978</v>
      </c>
      <c r="I767" s="10" t="s">
        <v>793</v>
      </c>
      <c r="J767" s="10" t="s">
        <v>1004</v>
      </c>
    </row>
    <row r="768" spans="1:10" ht="15" hidden="1" customHeight="1">
      <c r="A768" s="9">
        <v>764</v>
      </c>
      <c r="B768" s="10" t="s">
        <v>2414</v>
      </c>
      <c r="C768" s="10" t="s">
        <v>2415</v>
      </c>
      <c r="D768" s="10" t="s">
        <v>1004</v>
      </c>
      <c r="E768" s="10" t="s">
        <v>1924</v>
      </c>
      <c r="F768" s="10" t="s">
        <v>794</v>
      </c>
      <c r="G768" s="10" t="s">
        <v>1925</v>
      </c>
      <c r="H768" s="10" t="s">
        <v>978</v>
      </c>
      <c r="I768" s="10" t="s">
        <v>793</v>
      </c>
      <c r="J768" s="10" t="s">
        <v>1004</v>
      </c>
    </row>
    <row r="769" spans="1:10" ht="15" hidden="1" customHeight="1">
      <c r="A769" s="9">
        <v>765</v>
      </c>
      <c r="B769" s="10" t="s">
        <v>2416</v>
      </c>
      <c r="C769" s="10" t="s">
        <v>2417</v>
      </c>
      <c r="D769" s="10" t="s">
        <v>1004</v>
      </c>
      <c r="E769" s="10" t="s">
        <v>1924</v>
      </c>
      <c r="F769" s="10" t="s">
        <v>794</v>
      </c>
      <c r="G769" s="10" t="s">
        <v>1925</v>
      </c>
      <c r="H769" s="10" t="s">
        <v>978</v>
      </c>
      <c r="I769" s="10" t="s">
        <v>793</v>
      </c>
      <c r="J769" s="10" t="s">
        <v>1004</v>
      </c>
    </row>
    <row r="770" spans="1:10" ht="15" hidden="1" customHeight="1">
      <c r="A770" s="9">
        <v>766</v>
      </c>
      <c r="B770" s="10" t="s">
        <v>2418</v>
      </c>
      <c r="C770" s="10" t="s">
        <v>2419</v>
      </c>
      <c r="D770" s="10" t="s">
        <v>1004</v>
      </c>
      <c r="E770" s="10" t="s">
        <v>1924</v>
      </c>
      <c r="F770" s="10" t="s">
        <v>794</v>
      </c>
      <c r="G770" s="10" t="s">
        <v>1925</v>
      </c>
      <c r="H770" s="10" t="s">
        <v>978</v>
      </c>
      <c r="I770" s="10" t="s">
        <v>793</v>
      </c>
      <c r="J770" s="10" t="s">
        <v>1004</v>
      </c>
    </row>
    <row r="771" spans="1:10" ht="15" hidden="1" customHeight="1">
      <c r="A771" s="9">
        <v>767</v>
      </c>
      <c r="B771" s="10" t="s">
        <v>2420</v>
      </c>
      <c r="C771" s="10" t="s">
        <v>2421</v>
      </c>
      <c r="D771" s="10" t="s">
        <v>1004</v>
      </c>
      <c r="E771" s="10" t="s">
        <v>1924</v>
      </c>
      <c r="F771" s="10" t="s">
        <v>794</v>
      </c>
      <c r="G771" s="10" t="s">
        <v>1925</v>
      </c>
      <c r="H771" s="10" t="s">
        <v>978</v>
      </c>
      <c r="I771" s="10" t="s">
        <v>793</v>
      </c>
      <c r="J771" s="10" t="s">
        <v>1004</v>
      </c>
    </row>
    <row r="772" spans="1:10" ht="15" hidden="1" customHeight="1">
      <c r="A772" s="9">
        <v>768</v>
      </c>
      <c r="B772" s="10" t="s">
        <v>2422</v>
      </c>
      <c r="C772" s="10" t="s">
        <v>2423</v>
      </c>
      <c r="D772" s="10" t="s">
        <v>1004</v>
      </c>
      <c r="E772" s="10" t="s">
        <v>1924</v>
      </c>
      <c r="F772" s="10" t="s">
        <v>794</v>
      </c>
      <c r="G772" s="10" t="s">
        <v>1925</v>
      </c>
      <c r="H772" s="10" t="s">
        <v>978</v>
      </c>
      <c r="I772" s="10" t="s">
        <v>793</v>
      </c>
      <c r="J772" s="10" t="s">
        <v>1004</v>
      </c>
    </row>
    <row r="773" spans="1:10" ht="15" hidden="1" customHeight="1">
      <c r="A773" s="9">
        <v>769</v>
      </c>
      <c r="B773" s="10" t="s">
        <v>2424</v>
      </c>
      <c r="C773" s="10" t="s">
        <v>2425</v>
      </c>
      <c r="D773" s="10" t="s">
        <v>1004</v>
      </c>
      <c r="E773" s="10" t="s">
        <v>1924</v>
      </c>
      <c r="F773" s="10" t="s">
        <v>794</v>
      </c>
      <c r="G773" s="10" t="s">
        <v>1925</v>
      </c>
      <c r="H773" s="10" t="s">
        <v>978</v>
      </c>
      <c r="I773" s="10" t="s">
        <v>793</v>
      </c>
      <c r="J773" s="10" t="s">
        <v>1004</v>
      </c>
    </row>
    <row r="774" spans="1:10" ht="15" hidden="1" customHeight="1">
      <c r="A774" s="9">
        <v>770</v>
      </c>
      <c r="B774" s="10" t="s">
        <v>2426</v>
      </c>
      <c r="C774" s="10" t="s">
        <v>2427</v>
      </c>
      <c r="D774" s="10" t="s">
        <v>1004</v>
      </c>
      <c r="E774" s="10" t="s">
        <v>1924</v>
      </c>
      <c r="F774" s="10" t="s">
        <v>794</v>
      </c>
      <c r="G774" s="10" t="s">
        <v>1925</v>
      </c>
      <c r="H774" s="10" t="s">
        <v>978</v>
      </c>
      <c r="I774" s="10" t="s">
        <v>793</v>
      </c>
      <c r="J774" s="10" t="s">
        <v>1004</v>
      </c>
    </row>
    <row r="775" spans="1:10" ht="15" hidden="1" customHeight="1">
      <c r="A775" s="9">
        <v>771</v>
      </c>
      <c r="B775" s="10" t="s">
        <v>2428</v>
      </c>
      <c r="C775" s="10" t="s">
        <v>2429</v>
      </c>
      <c r="D775" s="10" t="s">
        <v>1004</v>
      </c>
      <c r="E775" s="10" t="s">
        <v>1924</v>
      </c>
      <c r="F775" s="10" t="s">
        <v>794</v>
      </c>
      <c r="G775" s="10" t="s">
        <v>1925</v>
      </c>
      <c r="H775" s="10" t="s">
        <v>978</v>
      </c>
      <c r="I775" s="10" t="s">
        <v>793</v>
      </c>
      <c r="J775" s="10" t="s">
        <v>881</v>
      </c>
    </row>
    <row r="776" spans="1:10" ht="15" hidden="1" customHeight="1">
      <c r="A776" s="9">
        <v>772</v>
      </c>
      <c r="B776" s="10" t="s">
        <v>2430</v>
      </c>
      <c r="C776" s="10" t="s">
        <v>2431</v>
      </c>
      <c r="D776" s="10" t="s">
        <v>1004</v>
      </c>
      <c r="E776" s="10" t="s">
        <v>1924</v>
      </c>
      <c r="F776" s="10" t="s">
        <v>794</v>
      </c>
      <c r="G776" s="10" t="s">
        <v>1925</v>
      </c>
      <c r="H776" s="10" t="s">
        <v>978</v>
      </c>
      <c r="I776" s="10" t="s">
        <v>793</v>
      </c>
      <c r="J776" s="10" t="s">
        <v>1004</v>
      </c>
    </row>
    <row r="777" spans="1:10" ht="15" hidden="1" customHeight="1">
      <c r="A777" s="9">
        <v>773</v>
      </c>
      <c r="B777" s="10" t="s">
        <v>2432</v>
      </c>
      <c r="C777" s="10" t="s">
        <v>2433</v>
      </c>
      <c r="D777" s="10" t="s">
        <v>1004</v>
      </c>
      <c r="E777" s="10" t="s">
        <v>1924</v>
      </c>
      <c r="F777" s="10" t="s">
        <v>794</v>
      </c>
      <c r="G777" s="10" t="s">
        <v>1925</v>
      </c>
      <c r="H777" s="10" t="s">
        <v>978</v>
      </c>
      <c r="I777" s="10" t="s">
        <v>793</v>
      </c>
      <c r="J777" s="10" t="s">
        <v>1004</v>
      </c>
    </row>
    <row r="778" spans="1:10" ht="15" hidden="1" customHeight="1">
      <c r="A778" s="9">
        <v>774</v>
      </c>
      <c r="B778" s="10" t="s">
        <v>2434</v>
      </c>
      <c r="C778" s="10" t="s">
        <v>2435</v>
      </c>
      <c r="D778" s="10" t="s">
        <v>1004</v>
      </c>
      <c r="E778" s="10" t="s">
        <v>1924</v>
      </c>
      <c r="F778" s="10" t="s">
        <v>794</v>
      </c>
      <c r="G778" s="10" t="s">
        <v>1925</v>
      </c>
      <c r="H778" s="10" t="s">
        <v>978</v>
      </c>
      <c r="I778" s="10" t="s">
        <v>793</v>
      </c>
      <c r="J778" s="10" t="s">
        <v>1004</v>
      </c>
    </row>
    <row r="779" spans="1:10" ht="15" hidden="1" customHeight="1">
      <c r="A779" s="9">
        <v>775</v>
      </c>
      <c r="B779" s="10" t="s">
        <v>2436</v>
      </c>
      <c r="C779" s="10" t="s">
        <v>2437</v>
      </c>
      <c r="D779" s="10" t="s">
        <v>1004</v>
      </c>
      <c r="E779" s="10" t="s">
        <v>1924</v>
      </c>
      <c r="F779" s="10" t="s">
        <v>794</v>
      </c>
      <c r="G779" s="10" t="s">
        <v>1925</v>
      </c>
      <c r="H779" s="10" t="s">
        <v>978</v>
      </c>
      <c r="I779" s="10" t="s">
        <v>793</v>
      </c>
      <c r="J779" s="10" t="s">
        <v>1004</v>
      </c>
    </row>
    <row r="780" spans="1:10" ht="15" hidden="1" customHeight="1">
      <c r="A780" s="9">
        <v>776</v>
      </c>
      <c r="B780" s="10" t="s">
        <v>2438</v>
      </c>
      <c r="C780" s="10" t="s">
        <v>2439</v>
      </c>
      <c r="D780" s="10" t="s">
        <v>1004</v>
      </c>
      <c r="E780" s="10" t="s">
        <v>1924</v>
      </c>
      <c r="F780" s="10" t="s">
        <v>794</v>
      </c>
      <c r="G780" s="10" t="s">
        <v>1925</v>
      </c>
      <c r="H780" s="10" t="s">
        <v>978</v>
      </c>
      <c r="I780" s="10" t="s">
        <v>793</v>
      </c>
      <c r="J780" s="10" t="s">
        <v>1004</v>
      </c>
    </row>
    <row r="781" spans="1:10" ht="15" hidden="1" customHeight="1">
      <c r="A781" s="9">
        <v>777</v>
      </c>
      <c r="B781" s="10" t="s">
        <v>2440</v>
      </c>
      <c r="C781" s="10" t="s">
        <v>2441</v>
      </c>
      <c r="D781" s="10" t="s">
        <v>1004</v>
      </c>
      <c r="E781" s="10" t="s">
        <v>1924</v>
      </c>
      <c r="F781" s="10" t="s">
        <v>794</v>
      </c>
      <c r="G781" s="10" t="s">
        <v>1925</v>
      </c>
      <c r="H781" s="10" t="s">
        <v>978</v>
      </c>
      <c r="I781" s="10" t="s">
        <v>793</v>
      </c>
      <c r="J781" s="10" t="s">
        <v>1004</v>
      </c>
    </row>
    <row r="782" spans="1:10" ht="15" hidden="1" customHeight="1">
      <c r="A782" s="9">
        <v>778</v>
      </c>
      <c r="B782" s="10" t="s">
        <v>2442</v>
      </c>
      <c r="C782" s="10" t="s">
        <v>2443</v>
      </c>
      <c r="D782" s="10" t="s">
        <v>1004</v>
      </c>
      <c r="E782" s="10" t="s">
        <v>1924</v>
      </c>
      <c r="F782" s="10" t="s">
        <v>794</v>
      </c>
      <c r="G782" s="10" t="s">
        <v>1925</v>
      </c>
      <c r="H782" s="10" t="s">
        <v>978</v>
      </c>
      <c r="I782" s="10" t="s">
        <v>793</v>
      </c>
      <c r="J782" s="10" t="s">
        <v>1004</v>
      </c>
    </row>
    <row r="783" spans="1:10" ht="15" hidden="1" customHeight="1">
      <c r="A783" s="9">
        <v>779</v>
      </c>
      <c r="B783" s="10" t="s">
        <v>2444</v>
      </c>
      <c r="C783" s="10" t="s">
        <v>2445</v>
      </c>
      <c r="D783" s="10" t="s">
        <v>1004</v>
      </c>
      <c r="E783" s="10" t="s">
        <v>1924</v>
      </c>
      <c r="F783" s="10" t="s">
        <v>794</v>
      </c>
      <c r="G783" s="10" t="s">
        <v>1925</v>
      </c>
      <c r="H783" s="10" t="s">
        <v>978</v>
      </c>
      <c r="I783" s="10" t="s">
        <v>793</v>
      </c>
      <c r="J783" s="10" t="s">
        <v>1004</v>
      </c>
    </row>
    <row r="784" spans="1:10" ht="15" hidden="1" customHeight="1">
      <c r="A784" s="9">
        <v>780</v>
      </c>
      <c r="B784" s="10" t="s">
        <v>2446</v>
      </c>
      <c r="C784" s="10" t="s">
        <v>2447</v>
      </c>
      <c r="D784" s="10" t="s">
        <v>1004</v>
      </c>
      <c r="E784" s="10" t="s">
        <v>1924</v>
      </c>
      <c r="F784" s="10" t="s">
        <v>794</v>
      </c>
      <c r="G784" s="10" t="s">
        <v>1925</v>
      </c>
      <c r="H784" s="10" t="s">
        <v>978</v>
      </c>
      <c r="I784" s="10" t="s">
        <v>793</v>
      </c>
      <c r="J784" s="10" t="s">
        <v>1004</v>
      </c>
    </row>
    <row r="785" spans="1:10" ht="15" hidden="1" customHeight="1">
      <c r="A785" s="9">
        <v>781</v>
      </c>
      <c r="B785" s="10" t="s">
        <v>2448</v>
      </c>
      <c r="C785" s="10" t="s">
        <v>2449</v>
      </c>
      <c r="D785" s="10" t="s">
        <v>1004</v>
      </c>
      <c r="E785" s="10" t="s">
        <v>1924</v>
      </c>
      <c r="F785" s="10" t="s">
        <v>794</v>
      </c>
      <c r="G785" s="10" t="s">
        <v>1925</v>
      </c>
      <c r="H785" s="10" t="s">
        <v>978</v>
      </c>
      <c r="I785" s="10" t="s">
        <v>794</v>
      </c>
      <c r="J785" s="10" t="s">
        <v>1004</v>
      </c>
    </row>
    <row r="786" spans="1:10" ht="15" hidden="1" customHeight="1">
      <c r="A786" s="9">
        <v>782</v>
      </c>
      <c r="B786" s="10" t="s">
        <v>2450</v>
      </c>
      <c r="C786" s="10" t="s">
        <v>2451</v>
      </c>
      <c r="D786" s="10" t="s">
        <v>1004</v>
      </c>
      <c r="E786" s="10" t="s">
        <v>1924</v>
      </c>
      <c r="F786" s="10" t="s">
        <v>794</v>
      </c>
      <c r="G786" s="10" t="s">
        <v>1925</v>
      </c>
      <c r="H786" s="10" t="s">
        <v>978</v>
      </c>
      <c r="I786" s="10" t="s">
        <v>793</v>
      </c>
      <c r="J786" s="10" t="s">
        <v>1004</v>
      </c>
    </row>
    <row r="787" spans="1:10" ht="15" hidden="1" customHeight="1">
      <c r="A787" s="9">
        <v>783</v>
      </c>
      <c r="B787" s="10" t="s">
        <v>2452</v>
      </c>
      <c r="C787" s="10" t="s">
        <v>2453</v>
      </c>
      <c r="D787" s="10" t="s">
        <v>1004</v>
      </c>
      <c r="E787" s="10" t="s">
        <v>1931</v>
      </c>
      <c r="F787" s="10" t="s">
        <v>794</v>
      </c>
      <c r="G787" s="10" t="s">
        <v>1932</v>
      </c>
      <c r="H787" s="10" t="s">
        <v>978</v>
      </c>
      <c r="I787" s="10" t="s">
        <v>793</v>
      </c>
      <c r="J787" s="10" t="s">
        <v>795</v>
      </c>
    </row>
    <row r="788" spans="1:10" ht="15" hidden="1" customHeight="1">
      <c r="A788" s="9">
        <v>784</v>
      </c>
      <c r="B788" s="10" t="s">
        <v>2454</v>
      </c>
      <c r="C788" s="10" t="s">
        <v>2455</v>
      </c>
      <c r="D788" s="10" t="s">
        <v>1004</v>
      </c>
      <c r="E788" s="10" t="s">
        <v>1931</v>
      </c>
      <c r="F788" s="10" t="s">
        <v>794</v>
      </c>
      <c r="G788" s="10" t="s">
        <v>1932</v>
      </c>
      <c r="H788" s="10" t="s">
        <v>978</v>
      </c>
      <c r="I788" s="10" t="s">
        <v>793</v>
      </c>
      <c r="J788" s="10" t="s">
        <v>795</v>
      </c>
    </row>
    <row r="789" spans="1:10" ht="15" hidden="1" customHeight="1">
      <c r="A789" s="9">
        <v>785</v>
      </c>
      <c r="B789" s="10" t="s">
        <v>2456</v>
      </c>
      <c r="C789" s="10" t="s">
        <v>2457</v>
      </c>
      <c r="D789" s="10" t="s">
        <v>1004</v>
      </c>
      <c r="E789" s="10" t="s">
        <v>1718</v>
      </c>
      <c r="F789" s="10" t="s">
        <v>793</v>
      </c>
      <c r="G789" s="10"/>
      <c r="H789" s="10"/>
      <c r="I789" s="10" t="s">
        <v>793</v>
      </c>
      <c r="J789" s="10" t="s">
        <v>1004</v>
      </c>
    </row>
    <row r="790" spans="1:10" ht="15" hidden="1" customHeight="1">
      <c r="A790" s="9">
        <v>786</v>
      </c>
      <c r="B790" s="10" t="s">
        <v>2458</v>
      </c>
      <c r="C790" s="10" t="s">
        <v>2459</v>
      </c>
      <c r="D790" s="10" t="s">
        <v>1004</v>
      </c>
      <c r="E790" s="10" t="s">
        <v>2457</v>
      </c>
      <c r="F790" s="10" t="s">
        <v>793</v>
      </c>
      <c r="G790" s="10" t="s">
        <v>2460</v>
      </c>
      <c r="H790" s="10" t="s">
        <v>1479</v>
      </c>
      <c r="I790" s="10" t="s">
        <v>793</v>
      </c>
      <c r="J790" s="10" t="s">
        <v>1004</v>
      </c>
    </row>
    <row r="791" spans="1:10" ht="15" hidden="1" customHeight="1">
      <c r="A791" s="9">
        <v>787</v>
      </c>
      <c r="B791" s="10" t="s">
        <v>2461</v>
      </c>
      <c r="C791" s="10" t="s">
        <v>2462</v>
      </c>
      <c r="D791" s="10" t="s">
        <v>1004</v>
      </c>
      <c r="E791" s="10" t="s">
        <v>2457</v>
      </c>
      <c r="F791" s="10" t="s">
        <v>793</v>
      </c>
      <c r="G791" s="10" t="s">
        <v>2463</v>
      </c>
      <c r="H791" s="10" t="s">
        <v>1479</v>
      </c>
      <c r="I791" s="10" t="s">
        <v>793</v>
      </c>
      <c r="J791" s="10" t="s">
        <v>1004</v>
      </c>
    </row>
    <row r="792" spans="1:10" ht="15" hidden="1" customHeight="1">
      <c r="A792" s="9">
        <v>788</v>
      </c>
      <c r="B792" s="10" t="s">
        <v>2464</v>
      </c>
      <c r="C792" s="10" t="s">
        <v>2465</v>
      </c>
      <c r="D792" s="10" t="s">
        <v>1004</v>
      </c>
      <c r="E792" s="10" t="s">
        <v>2457</v>
      </c>
      <c r="F792" s="10" t="s">
        <v>794</v>
      </c>
      <c r="G792" s="10" t="s">
        <v>2466</v>
      </c>
      <c r="H792" s="10" t="s">
        <v>1479</v>
      </c>
      <c r="I792" s="10" t="s">
        <v>794</v>
      </c>
      <c r="J792" s="10" t="s">
        <v>1004</v>
      </c>
    </row>
    <row r="793" spans="1:10" ht="15" hidden="1" customHeight="1">
      <c r="A793" s="9">
        <v>789</v>
      </c>
      <c r="B793" s="10" t="s">
        <v>2467</v>
      </c>
      <c r="C793" s="10" t="s">
        <v>2468</v>
      </c>
      <c r="D793" s="10" t="s">
        <v>1004</v>
      </c>
      <c r="E793" s="10" t="s">
        <v>2462</v>
      </c>
      <c r="F793" s="10" t="s">
        <v>793</v>
      </c>
      <c r="G793" s="10" t="s">
        <v>2469</v>
      </c>
      <c r="H793" s="10" t="s">
        <v>1479</v>
      </c>
      <c r="I793" s="10" t="s">
        <v>793</v>
      </c>
      <c r="J793" s="10" t="s">
        <v>1004</v>
      </c>
    </row>
    <row r="794" spans="1:10" ht="15" hidden="1" customHeight="1">
      <c r="A794" s="9">
        <v>790</v>
      </c>
      <c r="B794" s="10" t="s">
        <v>2470</v>
      </c>
      <c r="C794" s="10" t="s">
        <v>2471</v>
      </c>
      <c r="D794" s="10" t="s">
        <v>1004</v>
      </c>
      <c r="E794" s="10" t="s">
        <v>2457</v>
      </c>
      <c r="F794" s="10" t="s">
        <v>793</v>
      </c>
      <c r="G794" s="10" t="s">
        <v>2463</v>
      </c>
      <c r="H794" s="10" t="s">
        <v>1479</v>
      </c>
      <c r="I794" s="10" t="s">
        <v>793</v>
      </c>
      <c r="J794" s="10" t="s">
        <v>1004</v>
      </c>
    </row>
    <row r="795" spans="1:10" ht="15" hidden="1" customHeight="1">
      <c r="A795" s="9">
        <v>791</v>
      </c>
      <c r="B795" s="10" t="s">
        <v>2472</v>
      </c>
      <c r="C795" s="10" t="s">
        <v>2473</v>
      </c>
      <c r="D795" s="10" t="s">
        <v>1004</v>
      </c>
      <c r="E795" s="10" t="s">
        <v>2457</v>
      </c>
      <c r="F795" s="10" t="s">
        <v>794</v>
      </c>
      <c r="G795" s="10" t="s">
        <v>2466</v>
      </c>
      <c r="H795" s="10" t="s">
        <v>1479</v>
      </c>
      <c r="I795" s="10" t="s">
        <v>793</v>
      </c>
      <c r="J795" s="10" t="s">
        <v>1004</v>
      </c>
    </row>
    <row r="796" spans="1:10" ht="15" hidden="1" customHeight="1">
      <c r="A796" s="9">
        <v>792</v>
      </c>
      <c r="B796" s="10" t="s">
        <v>2474</v>
      </c>
      <c r="C796" s="10" t="s">
        <v>2475</v>
      </c>
      <c r="D796" s="10" t="s">
        <v>1004</v>
      </c>
      <c r="E796" s="10" t="s">
        <v>2457</v>
      </c>
      <c r="F796" s="10" t="s">
        <v>793</v>
      </c>
      <c r="G796" s="10" t="s">
        <v>2476</v>
      </c>
      <c r="H796" s="10" t="s">
        <v>2477</v>
      </c>
      <c r="I796" s="10" t="s">
        <v>793</v>
      </c>
      <c r="J796" s="10" t="s">
        <v>1004</v>
      </c>
    </row>
    <row r="797" spans="1:10" ht="15" hidden="1" customHeight="1">
      <c r="A797" s="9">
        <v>793</v>
      </c>
      <c r="B797" s="10" t="s">
        <v>2478</v>
      </c>
      <c r="C797" s="10" t="s">
        <v>2479</v>
      </c>
      <c r="D797" s="10" t="s">
        <v>1004</v>
      </c>
      <c r="E797" s="10" t="s">
        <v>2457</v>
      </c>
      <c r="F797" s="10" t="s">
        <v>793</v>
      </c>
      <c r="G797" s="10"/>
      <c r="H797" s="10"/>
      <c r="I797" s="10" t="s">
        <v>793</v>
      </c>
      <c r="J797" s="10" t="s">
        <v>1004</v>
      </c>
    </row>
    <row r="798" spans="1:10" ht="15" hidden="1" customHeight="1">
      <c r="A798" s="9">
        <v>794</v>
      </c>
      <c r="B798" s="10" t="s">
        <v>2480</v>
      </c>
      <c r="C798" s="10" t="s">
        <v>2481</v>
      </c>
      <c r="D798" s="10" t="s">
        <v>1004</v>
      </c>
      <c r="E798" s="10" t="s">
        <v>2479</v>
      </c>
      <c r="F798" s="10" t="s">
        <v>793</v>
      </c>
      <c r="G798" s="10" t="s">
        <v>2482</v>
      </c>
      <c r="H798" s="10" t="s">
        <v>1479</v>
      </c>
      <c r="I798" s="10" t="s">
        <v>793</v>
      </c>
      <c r="J798" s="10" t="s">
        <v>1004</v>
      </c>
    </row>
    <row r="799" spans="1:10" ht="15" hidden="1" customHeight="1">
      <c r="A799" s="9">
        <v>795</v>
      </c>
      <c r="B799" s="10" t="s">
        <v>2483</v>
      </c>
      <c r="C799" s="10" t="s">
        <v>2484</v>
      </c>
      <c r="D799" s="10" t="s">
        <v>1004</v>
      </c>
      <c r="E799" s="10" t="s">
        <v>2479</v>
      </c>
      <c r="F799" s="10" t="s">
        <v>793</v>
      </c>
      <c r="G799" s="10" t="s">
        <v>2485</v>
      </c>
      <c r="H799" s="10" t="s">
        <v>1479</v>
      </c>
      <c r="I799" s="10" t="s">
        <v>793</v>
      </c>
      <c r="J799" s="10" t="s">
        <v>1004</v>
      </c>
    </row>
    <row r="800" spans="1:10" ht="15" hidden="1" customHeight="1">
      <c r="A800" s="9">
        <v>796</v>
      </c>
      <c r="B800" s="10" t="s">
        <v>2486</v>
      </c>
      <c r="C800" s="10" t="s">
        <v>2487</v>
      </c>
      <c r="D800" s="10" t="s">
        <v>1004</v>
      </c>
      <c r="E800" s="10" t="s">
        <v>2479</v>
      </c>
      <c r="F800" s="10" t="s">
        <v>793</v>
      </c>
      <c r="G800" s="10" t="s">
        <v>2488</v>
      </c>
      <c r="H800" s="10" t="s">
        <v>1479</v>
      </c>
      <c r="I800" s="10" t="s">
        <v>793</v>
      </c>
      <c r="J800" s="10" t="s">
        <v>1004</v>
      </c>
    </row>
    <row r="801" spans="1:10" ht="15" hidden="1" customHeight="1">
      <c r="A801" s="9">
        <v>797</v>
      </c>
      <c r="B801" s="10" t="s">
        <v>2489</v>
      </c>
      <c r="C801" s="10" t="s">
        <v>2490</v>
      </c>
      <c r="D801" s="10" t="s">
        <v>1004</v>
      </c>
      <c r="E801" s="10" t="s">
        <v>2491</v>
      </c>
      <c r="F801" s="10" t="s">
        <v>793</v>
      </c>
      <c r="G801" s="10" t="s">
        <v>2488</v>
      </c>
      <c r="H801" s="10" t="s">
        <v>1479</v>
      </c>
      <c r="I801" s="10" t="s">
        <v>794</v>
      </c>
      <c r="J801" s="10" t="s">
        <v>1004</v>
      </c>
    </row>
    <row r="802" spans="1:10" ht="15" hidden="1" customHeight="1">
      <c r="A802" s="9">
        <v>798</v>
      </c>
      <c r="B802" s="10" t="s">
        <v>2492</v>
      </c>
      <c r="C802" s="10" t="s">
        <v>2493</v>
      </c>
      <c r="D802" s="10" t="s">
        <v>1004</v>
      </c>
      <c r="E802" s="10" t="s">
        <v>2479</v>
      </c>
      <c r="F802" s="10" t="s">
        <v>793</v>
      </c>
      <c r="G802" s="10" t="s">
        <v>2494</v>
      </c>
      <c r="H802" s="10" t="s">
        <v>1479</v>
      </c>
      <c r="I802" s="10" t="s">
        <v>793</v>
      </c>
      <c r="J802" s="10" t="s">
        <v>1004</v>
      </c>
    </row>
    <row r="803" spans="1:10" ht="15" hidden="1" customHeight="1">
      <c r="A803" s="9">
        <v>799</v>
      </c>
      <c r="B803" s="10" t="s">
        <v>2495</v>
      </c>
      <c r="C803" s="10" t="s">
        <v>2491</v>
      </c>
      <c r="D803" s="10" t="s">
        <v>1004</v>
      </c>
      <c r="E803" s="10" t="s">
        <v>2457</v>
      </c>
      <c r="F803" s="10" t="s">
        <v>793</v>
      </c>
      <c r="G803" s="10"/>
      <c r="H803" s="10"/>
      <c r="I803" s="10" t="s">
        <v>793</v>
      </c>
      <c r="J803" s="10" t="s">
        <v>1004</v>
      </c>
    </row>
    <row r="804" spans="1:10" ht="15" hidden="1" customHeight="1">
      <c r="A804" s="9">
        <v>800</v>
      </c>
      <c r="B804" s="10" t="s">
        <v>2496</v>
      </c>
      <c r="C804" s="10" t="s">
        <v>2497</v>
      </c>
      <c r="D804" s="10" t="s">
        <v>1004</v>
      </c>
      <c r="E804" s="10" t="s">
        <v>2491</v>
      </c>
      <c r="F804" s="10" t="s">
        <v>793</v>
      </c>
      <c r="G804" s="10" t="s">
        <v>2460</v>
      </c>
      <c r="H804" s="10" t="s">
        <v>1479</v>
      </c>
      <c r="I804" s="10" t="s">
        <v>793</v>
      </c>
      <c r="J804" s="10" t="s">
        <v>1004</v>
      </c>
    </row>
    <row r="805" spans="1:10" ht="15" hidden="1" customHeight="1">
      <c r="A805" s="9">
        <v>801</v>
      </c>
      <c r="B805" s="10" t="s">
        <v>2498</v>
      </c>
      <c r="C805" s="10" t="s">
        <v>2499</v>
      </c>
      <c r="D805" s="10" t="s">
        <v>1004</v>
      </c>
      <c r="E805" s="10" t="s">
        <v>2491</v>
      </c>
      <c r="F805" s="10" t="s">
        <v>793</v>
      </c>
      <c r="G805" s="10"/>
      <c r="H805" s="10"/>
      <c r="I805" s="10" t="s">
        <v>793</v>
      </c>
      <c r="J805" s="10" t="s">
        <v>1004</v>
      </c>
    </row>
    <row r="806" spans="1:10" ht="15" hidden="1" customHeight="1">
      <c r="A806" s="9">
        <v>802</v>
      </c>
      <c r="B806" s="10" t="s">
        <v>2500</v>
      </c>
      <c r="C806" s="10" t="s">
        <v>2501</v>
      </c>
      <c r="D806" s="10" t="s">
        <v>1004</v>
      </c>
      <c r="E806" s="10" t="s">
        <v>2499</v>
      </c>
      <c r="F806" s="10" t="s">
        <v>793</v>
      </c>
      <c r="G806" s="10" t="s">
        <v>2482</v>
      </c>
      <c r="H806" s="10" t="s">
        <v>1479</v>
      </c>
      <c r="I806" s="10" t="s">
        <v>793</v>
      </c>
      <c r="J806" s="10" t="s">
        <v>1004</v>
      </c>
    </row>
    <row r="807" spans="1:10" ht="15" hidden="1" customHeight="1">
      <c r="A807" s="9">
        <v>803</v>
      </c>
      <c r="B807" s="10" t="s">
        <v>2502</v>
      </c>
      <c r="C807" s="10" t="s">
        <v>2503</v>
      </c>
      <c r="D807" s="10" t="s">
        <v>1004</v>
      </c>
      <c r="E807" s="10" t="s">
        <v>2499</v>
      </c>
      <c r="F807" s="10" t="s">
        <v>793</v>
      </c>
      <c r="G807" s="10" t="s">
        <v>2485</v>
      </c>
      <c r="H807" s="10" t="s">
        <v>1479</v>
      </c>
      <c r="I807" s="10" t="s">
        <v>793</v>
      </c>
      <c r="J807" s="10" t="s">
        <v>1004</v>
      </c>
    </row>
    <row r="808" spans="1:10" ht="15" hidden="1" customHeight="1">
      <c r="A808" s="9">
        <v>804</v>
      </c>
      <c r="B808" s="10" t="s">
        <v>2504</v>
      </c>
      <c r="C808" s="10" t="s">
        <v>2505</v>
      </c>
      <c r="D808" s="10" t="s">
        <v>1004</v>
      </c>
      <c r="E808" s="10" t="s">
        <v>2491</v>
      </c>
      <c r="F808" s="10" t="s">
        <v>794</v>
      </c>
      <c r="G808" s="10" t="s">
        <v>2488</v>
      </c>
      <c r="H808" s="10" t="s">
        <v>1479</v>
      </c>
      <c r="I808" s="10" t="s">
        <v>793</v>
      </c>
      <c r="J808" s="10" t="s">
        <v>1004</v>
      </c>
    </row>
    <row r="809" spans="1:10" ht="15" hidden="1" customHeight="1">
      <c r="A809" s="9">
        <v>805</v>
      </c>
      <c r="B809" s="10" t="s">
        <v>2506</v>
      </c>
      <c r="C809" s="10" t="s">
        <v>2507</v>
      </c>
      <c r="D809" s="10" t="s">
        <v>1004</v>
      </c>
      <c r="E809" s="10" t="s">
        <v>2499</v>
      </c>
      <c r="F809" s="10" t="s">
        <v>793</v>
      </c>
      <c r="G809" s="10" t="s">
        <v>2494</v>
      </c>
      <c r="H809" s="10" t="s">
        <v>1479</v>
      </c>
      <c r="I809" s="10" t="s">
        <v>793</v>
      </c>
      <c r="J809" s="10" t="s">
        <v>1004</v>
      </c>
    </row>
    <row r="810" spans="1:10" ht="15" hidden="1" customHeight="1">
      <c r="A810" s="9">
        <v>806</v>
      </c>
      <c r="B810" s="10" t="s">
        <v>2508</v>
      </c>
      <c r="C810" s="10" t="s">
        <v>2509</v>
      </c>
      <c r="D810" s="10" t="s">
        <v>1460</v>
      </c>
      <c r="E810" s="10" t="s">
        <v>1459</v>
      </c>
      <c r="F810" s="10" t="s">
        <v>793</v>
      </c>
      <c r="G810" s="10"/>
      <c r="H810" s="10"/>
      <c r="I810" s="10" t="s">
        <v>793</v>
      </c>
      <c r="J810" s="10" t="s">
        <v>1460</v>
      </c>
    </row>
    <row r="811" spans="1:10" ht="15" hidden="1" customHeight="1">
      <c r="A811" s="9">
        <v>807</v>
      </c>
      <c r="B811" s="10" t="s">
        <v>2510</v>
      </c>
      <c r="C811" s="10" t="s">
        <v>2511</v>
      </c>
      <c r="D811" s="10" t="s">
        <v>1460</v>
      </c>
      <c r="E811" s="10" t="s">
        <v>2509</v>
      </c>
      <c r="F811" s="10" t="s">
        <v>793</v>
      </c>
      <c r="G811" s="10"/>
      <c r="H811" s="10"/>
      <c r="I811" s="10" t="s">
        <v>793</v>
      </c>
      <c r="J811" s="10" t="s">
        <v>1460</v>
      </c>
    </row>
    <row r="812" spans="1:10" ht="15" hidden="1" customHeight="1">
      <c r="A812" s="9">
        <v>808</v>
      </c>
      <c r="B812" s="10" t="s">
        <v>2512</v>
      </c>
      <c r="C812" s="10" t="s">
        <v>2513</v>
      </c>
      <c r="D812" s="10" t="s">
        <v>1460</v>
      </c>
      <c r="E812" s="10" t="s">
        <v>2511</v>
      </c>
      <c r="F812" s="10" t="s">
        <v>793</v>
      </c>
      <c r="G812" s="10" t="s">
        <v>2514</v>
      </c>
      <c r="H812" s="10" t="s">
        <v>1479</v>
      </c>
      <c r="I812" s="10" t="s">
        <v>793</v>
      </c>
      <c r="J812" s="10" t="s">
        <v>1460</v>
      </c>
    </row>
    <row r="813" spans="1:10" ht="15" hidden="1" customHeight="1">
      <c r="A813" s="9">
        <v>809</v>
      </c>
      <c r="B813" s="10" t="s">
        <v>2515</v>
      </c>
      <c r="C813" s="10" t="s">
        <v>2516</v>
      </c>
      <c r="D813" s="10" t="s">
        <v>1460</v>
      </c>
      <c r="E813" s="10" t="s">
        <v>2511</v>
      </c>
      <c r="F813" s="10" t="s">
        <v>793</v>
      </c>
      <c r="G813" s="10" t="s">
        <v>2517</v>
      </c>
      <c r="H813" s="10" t="s">
        <v>1479</v>
      </c>
      <c r="I813" s="10" t="s">
        <v>793</v>
      </c>
      <c r="J813" s="10" t="s">
        <v>1460</v>
      </c>
    </row>
    <row r="814" spans="1:10" ht="15" hidden="1" customHeight="1">
      <c r="A814" s="9">
        <v>810</v>
      </c>
      <c r="B814" s="10" t="s">
        <v>2518</v>
      </c>
      <c r="C814" s="10" t="s">
        <v>2519</v>
      </c>
      <c r="D814" s="10" t="s">
        <v>1460</v>
      </c>
      <c r="E814" s="10" t="s">
        <v>2516</v>
      </c>
      <c r="F814" s="10" t="s">
        <v>794</v>
      </c>
      <c r="G814" s="10" t="s">
        <v>2517</v>
      </c>
      <c r="H814" s="10" t="s">
        <v>1479</v>
      </c>
      <c r="I814" s="10" t="s">
        <v>794</v>
      </c>
      <c r="J814" s="10" t="s">
        <v>1460</v>
      </c>
    </row>
    <row r="815" spans="1:10" ht="15" hidden="1" customHeight="1">
      <c r="A815" s="9">
        <v>811</v>
      </c>
      <c r="B815" s="10" t="s">
        <v>2520</v>
      </c>
      <c r="C815" s="10" t="s">
        <v>2521</v>
      </c>
      <c r="D815" s="10" t="s">
        <v>1460</v>
      </c>
      <c r="E815" s="10" t="s">
        <v>2516</v>
      </c>
      <c r="F815" s="10" t="s">
        <v>794</v>
      </c>
      <c r="G815" s="10" t="s">
        <v>2517</v>
      </c>
      <c r="H815" s="10" t="s">
        <v>1479</v>
      </c>
      <c r="I815" s="10" t="s">
        <v>794</v>
      </c>
      <c r="J815" s="10" t="s">
        <v>1460</v>
      </c>
    </row>
    <row r="816" spans="1:10" ht="15" hidden="1" customHeight="1">
      <c r="A816" s="9">
        <v>812</v>
      </c>
      <c r="B816" s="10" t="s">
        <v>2522</v>
      </c>
      <c r="C816" s="10" t="s">
        <v>2523</v>
      </c>
      <c r="D816" s="10" t="s">
        <v>1460</v>
      </c>
      <c r="E816" s="10" t="s">
        <v>2516</v>
      </c>
      <c r="F816" s="10" t="s">
        <v>794</v>
      </c>
      <c r="G816" s="10" t="s">
        <v>2517</v>
      </c>
      <c r="H816" s="10" t="s">
        <v>1479</v>
      </c>
      <c r="I816" s="10" t="s">
        <v>794</v>
      </c>
      <c r="J816" s="10" t="s">
        <v>1460</v>
      </c>
    </row>
    <row r="817" spans="1:10" ht="15" hidden="1" customHeight="1">
      <c r="A817" s="9">
        <v>813</v>
      </c>
      <c r="B817" s="10" t="s">
        <v>2524</v>
      </c>
      <c r="C817" s="10" t="s">
        <v>2525</v>
      </c>
      <c r="D817" s="10" t="s">
        <v>1460</v>
      </c>
      <c r="E817" s="10" t="s">
        <v>2511</v>
      </c>
      <c r="F817" s="10" t="s">
        <v>793</v>
      </c>
      <c r="G817" s="10" t="s">
        <v>2526</v>
      </c>
      <c r="H817" s="10" t="s">
        <v>1479</v>
      </c>
      <c r="I817" s="10" t="s">
        <v>794</v>
      </c>
      <c r="J817" s="10" t="s">
        <v>2527</v>
      </c>
    </row>
    <row r="818" spans="1:10" ht="15" hidden="1" customHeight="1">
      <c r="A818" s="9">
        <v>814</v>
      </c>
      <c r="B818" s="10" t="s">
        <v>2528</v>
      </c>
      <c r="C818" s="10" t="s">
        <v>2529</v>
      </c>
      <c r="D818" s="10" t="s">
        <v>1004</v>
      </c>
      <c r="E818" s="10" t="s">
        <v>1718</v>
      </c>
      <c r="F818" s="10" t="s">
        <v>793</v>
      </c>
      <c r="G818" s="10"/>
      <c r="H818" s="10"/>
      <c r="I818" s="10" t="s">
        <v>794</v>
      </c>
      <c r="J818" s="10" t="s">
        <v>1004</v>
      </c>
    </row>
    <row r="819" spans="1:10" ht="15" hidden="1" customHeight="1">
      <c r="A819" s="9">
        <v>815</v>
      </c>
      <c r="B819" s="10" t="s">
        <v>2530</v>
      </c>
      <c r="C819" s="10" t="s">
        <v>2531</v>
      </c>
      <c r="D819" s="10" t="s">
        <v>1004</v>
      </c>
      <c r="E819" s="10" t="s">
        <v>2529</v>
      </c>
      <c r="F819" s="10" t="s">
        <v>793</v>
      </c>
      <c r="G819" s="10" t="s">
        <v>2532</v>
      </c>
      <c r="H819" s="10" t="s">
        <v>1479</v>
      </c>
      <c r="I819" s="10" t="s">
        <v>794</v>
      </c>
      <c r="J819" s="10" t="s">
        <v>1004</v>
      </c>
    </row>
    <row r="820" spans="1:10" ht="15" hidden="1" customHeight="1">
      <c r="A820" s="9">
        <v>816</v>
      </c>
      <c r="B820" s="10" t="s">
        <v>2533</v>
      </c>
      <c r="C820" s="10" t="s">
        <v>2534</v>
      </c>
      <c r="D820" s="10" t="s">
        <v>1004</v>
      </c>
      <c r="E820" s="10" t="s">
        <v>2529</v>
      </c>
      <c r="F820" s="10" t="s">
        <v>793</v>
      </c>
      <c r="G820" s="10" t="s">
        <v>2535</v>
      </c>
      <c r="H820" s="10" t="s">
        <v>1479</v>
      </c>
      <c r="I820" s="10" t="s">
        <v>794</v>
      </c>
      <c r="J820" s="10" t="s">
        <v>1004</v>
      </c>
    </row>
    <row r="821" spans="1:10" ht="15" hidden="1" customHeight="1">
      <c r="A821" s="9">
        <v>817</v>
      </c>
      <c r="B821" s="10" t="s">
        <v>2536</v>
      </c>
      <c r="C821" s="10" t="s">
        <v>2537</v>
      </c>
      <c r="D821" s="10" t="s">
        <v>1004</v>
      </c>
      <c r="E821" s="10" t="s">
        <v>2529</v>
      </c>
      <c r="F821" s="10" t="s">
        <v>793</v>
      </c>
      <c r="G821" s="10" t="s">
        <v>2538</v>
      </c>
      <c r="H821" s="10" t="s">
        <v>1479</v>
      </c>
      <c r="I821" s="10" t="s">
        <v>793</v>
      </c>
      <c r="J821" s="10" t="s">
        <v>1004</v>
      </c>
    </row>
    <row r="822" spans="1:10" ht="15" hidden="1" customHeight="1">
      <c r="A822" s="9">
        <v>818</v>
      </c>
      <c r="B822" s="10" t="s">
        <v>2539</v>
      </c>
      <c r="C822" s="10" t="s">
        <v>2540</v>
      </c>
      <c r="D822" s="10" t="s">
        <v>1004</v>
      </c>
      <c r="E822" s="10" t="s">
        <v>2537</v>
      </c>
      <c r="F822" s="10" t="s">
        <v>793</v>
      </c>
      <c r="G822" s="10" t="s">
        <v>2538</v>
      </c>
      <c r="H822" s="10" t="s">
        <v>1479</v>
      </c>
      <c r="I822" s="10" t="s">
        <v>794</v>
      </c>
      <c r="J822" s="10" t="s">
        <v>1004</v>
      </c>
    </row>
    <row r="823" spans="1:10" ht="15" hidden="1" customHeight="1">
      <c r="A823" s="9">
        <v>819</v>
      </c>
      <c r="B823" s="10" t="s">
        <v>2541</v>
      </c>
      <c r="C823" s="10" t="s">
        <v>2542</v>
      </c>
      <c r="D823" s="10" t="s">
        <v>1004</v>
      </c>
      <c r="E823" s="10" t="s">
        <v>2537</v>
      </c>
      <c r="F823" s="10" t="s">
        <v>793</v>
      </c>
      <c r="G823" s="10" t="s">
        <v>2538</v>
      </c>
      <c r="H823" s="10" t="s">
        <v>1479</v>
      </c>
      <c r="I823" s="10" t="s">
        <v>794</v>
      </c>
      <c r="J823" s="10" t="s">
        <v>1004</v>
      </c>
    </row>
    <row r="824" spans="1:10" ht="15" hidden="1" customHeight="1">
      <c r="A824" s="9">
        <v>820</v>
      </c>
      <c r="B824" s="10" t="s">
        <v>2543</v>
      </c>
      <c r="C824" s="10" t="s">
        <v>2544</v>
      </c>
      <c r="D824" s="10" t="s">
        <v>1004</v>
      </c>
      <c r="E824" s="10" t="s">
        <v>2537</v>
      </c>
      <c r="F824" s="10" t="s">
        <v>793</v>
      </c>
      <c r="G824" s="10" t="s">
        <v>2538</v>
      </c>
      <c r="H824" s="10" t="s">
        <v>1479</v>
      </c>
      <c r="I824" s="10" t="s">
        <v>794</v>
      </c>
      <c r="J824" s="10" t="s">
        <v>1004</v>
      </c>
    </row>
    <row r="825" spans="1:10" ht="15" hidden="1" customHeight="1">
      <c r="A825" s="9">
        <v>821</v>
      </c>
      <c r="B825" s="10" t="s">
        <v>2545</v>
      </c>
      <c r="C825" s="10" t="s">
        <v>2546</v>
      </c>
      <c r="D825" s="10" t="s">
        <v>1004</v>
      </c>
      <c r="E825" s="10" t="s">
        <v>2537</v>
      </c>
      <c r="F825" s="10" t="s">
        <v>793</v>
      </c>
      <c r="G825" s="10" t="s">
        <v>2538</v>
      </c>
      <c r="H825" s="10" t="s">
        <v>1479</v>
      </c>
      <c r="I825" s="10" t="s">
        <v>794</v>
      </c>
      <c r="J825" s="10" t="s">
        <v>1004</v>
      </c>
    </row>
    <row r="826" spans="1:10" ht="15" hidden="1" customHeight="1">
      <c r="A826" s="9">
        <v>822</v>
      </c>
      <c r="B826" s="10" t="s">
        <v>2547</v>
      </c>
      <c r="C826" s="10" t="s">
        <v>2548</v>
      </c>
      <c r="D826" s="10" t="s">
        <v>1004</v>
      </c>
      <c r="E826" s="10" t="s">
        <v>2529</v>
      </c>
      <c r="F826" s="10" t="s">
        <v>793</v>
      </c>
      <c r="G826" s="10" t="s">
        <v>2549</v>
      </c>
      <c r="H826" s="10" t="s">
        <v>1479</v>
      </c>
      <c r="I826" s="10" t="s">
        <v>794</v>
      </c>
      <c r="J826" s="10" t="s">
        <v>1004</v>
      </c>
    </row>
    <row r="827" spans="1:10" ht="15" hidden="1" customHeight="1">
      <c r="A827" s="9">
        <v>823</v>
      </c>
      <c r="B827" s="10" t="s">
        <v>2550</v>
      </c>
      <c r="C827" s="10" t="s">
        <v>2551</v>
      </c>
      <c r="D827" s="10" t="s">
        <v>1004</v>
      </c>
      <c r="E827" s="10" t="s">
        <v>2548</v>
      </c>
      <c r="F827" s="10" t="s">
        <v>794</v>
      </c>
      <c r="G827" s="10" t="s">
        <v>2549</v>
      </c>
      <c r="H827" s="10" t="s">
        <v>1479</v>
      </c>
      <c r="I827" s="10" t="s">
        <v>794</v>
      </c>
      <c r="J827" s="10" t="s">
        <v>1004</v>
      </c>
    </row>
    <row r="828" spans="1:10" ht="15" hidden="1" customHeight="1">
      <c r="A828" s="9">
        <v>824</v>
      </c>
      <c r="B828" s="10" t="s">
        <v>2552</v>
      </c>
      <c r="C828" s="10" t="s">
        <v>2553</v>
      </c>
      <c r="D828" s="10" t="s">
        <v>1004</v>
      </c>
      <c r="E828" s="10" t="s">
        <v>2548</v>
      </c>
      <c r="F828" s="10" t="s">
        <v>794</v>
      </c>
      <c r="G828" s="10" t="s">
        <v>2549</v>
      </c>
      <c r="H828" s="10" t="s">
        <v>1479</v>
      </c>
      <c r="I828" s="10" t="s">
        <v>794</v>
      </c>
      <c r="J828" s="10" t="s">
        <v>1004</v>
      </c>
    </row>
    <row r="829" spans="1:10" ht="15" hidden="1" customHeight="1">
      <c r="A829" s="9">
        <v>825</v>
      </c>
      <c r="B829" s="10" t="s">
        <v>2554</v>
      </c>
      <c r="C829" s="10" t="s">
        <v>2555</v>
      </c>
      <c r="D829" s="10" t="s">
        <v>1004</v>
      </c>
      <c r="E829" s="10" t="s">
        <v>2548</v>
      </c>
      <c r="F829" s="10" t="s">
        <v>794</v>
      </c>
      <c r="G829" s="10" t="s">
        <v>2549</v>
      </c>
      <c r="H829" s="10" t="s">
        <v>1479</v>
      </c>
      <c r="I829" s="10" t="s">
        <v>794</v>
      </c>
      <c r="J829" s="10" t="s">
        <v>1004</v>
      </c>
    </row>
    <row r="830" spans="1:10" ht="15" hidden="1" customHeight="1">
      <c r="A830" s="9">
        <v>826</v>
      </c>
      <c r="B830" s="10" t="s">
        <v>2556</v>
      </c>
      <c r="C830" s="10" t="s">
        <v>2557</v>
      </c>
      <c r="D830" s="10" t="s">
        <v>1004</v>
      </c>
      <c r="E830" s="10" t="s">
        <v>2548</v>
      </c>
      <c r="F830" s="10" t="s">
        <v>794</v>
      </c>
      <c r="G830" s="10" t="s">
        <v>2549</v>
      </c>
      <c r="H830" s="10" t="s">
        <v>1479</v>
      </c>
      <c r="I830" s="10" t="s">
        <v>794</v>
      </c>
      <c r="J830" s="10" t="s">
        <v>1004</v>
      </c>
    </row>
    <row r="831" spans="1:10" ht="15" hidden="1" customHeight="1">
      <c r="A831" s="9">
        <v>827</v>
      </c>
      <c r="B831" s="10" t="s">
        <v>2558</v>
      </c>
      <c r="C831" s="10" t="s">
        <v>2559</v>
      </c>
      <c r="D831" s="10" t="s">
        <v>1004</v>
      </c>
      <c r="E831" s="10" t="s">
        <v>1718</v>
      </c>
      <c r="F831" s="10" t="s">
        <v>793</v>
      </c>
      <c r="G831" s="10"/>
      <c r="H831" s="10"/>
      <c r="I831" s="10" t="s">
        <v>793</v>
      </c>
      <c r="J831" s="10" t="s">
        <v>1004</v>
      </c>
    </row>
    <row r="832" spans="1:10" ht="15" hidden="1" customHeight="1">
      <c r="A832" s="9">
        <v>828</v>
      </c>
      <c r="B832" s="10" t="s">
        <v>2560</v>
      </c>
      <c r="C832" s="10" t="s">
        <v>2561</v>
      </c>
      <c r="D832" s="10" t="s">
        <v>1004</v>
      </c>
      <c r="E832" s="10" t="s">
        <v>2559</v>
      </c>
      <c r="F832" s="10" t="s">
        <v>793</v>
      </c>
      <c r="G832" s="10" t="s">
        <v>2463</v>
      </c>
      <c r="H832" s="10" t="s">
        <v>1479</v>
      </c>
      <c r="I832" s="10" t="s">
        <v>793</v>
      </c>
      <c r="J832" s="10" t="s">
        <v>1004</v>
      </c>
    </row>
    <row r="833" spans="1:10" ht="15" hidden="1" customHeight="1">
      <c r="A833" s="9">
        <v>829</v>
      </c>
      <c r="B833" s="10" t="s">
        <v>2562</v>
      </c>
      <c r="C833" s="10" t="s">
        <v>2563</v>
      </c>
      <c r="D833" s="10" t="s">
        <v>1004</v>
      </c>
      <c r="E833" s="10" t="s">
        <v>2559</v>
      </c>
      <c r="F833" s="10" t="s">
        <v>794</v>
      </c>
      <c r="G833" s="10" t="s">
        <v>2564</v>
      </c>
      <c r="H833" s="10" t="s">
        <v>2477</v>
      </c>
      <c r="I833" s="10" t="s">
        <v>794</v>
      </c>
      <c r="J833" s="10" t="s">
        <v>1004</v>
      </c>
    </row>
    <row r="834" spans="1:10" ht="15" hidden="1" customHeight="1">
      <c r="A834" s="9">
        <v>830</v>
      </c>
      <c r="B834" s="10" t="s">
        <v>2565</v>
      </c>
      <c r="C834" s="10" t="s">
        <v>2566</v>
      </c>
      <c r="D834" s="10" t="s">
        <v>1004</v>
      </c>
      <c r="E834" s="10" t="s">
        <v>2559</v>
      </c>
      <c r="F834" s="10" t="s">
        <v>793</v>
      </c>
      <c r="G834" s="10" t="s">
        <v>2460</v>
      </c>
      <c r="H834" s="10" t="s">
        <v>1479</v>
      </c>
      <c r="I834" s="10" t="s">
        <v>793</v>
      </c>
      <c r="J834" s="10" t="s">
        <v>1004</v>
      </c>
    </row>
    <row r="835" spans="1:10" ht="15" hidden="1" customHeight="1">
      <c r="A835" s="9">
        <v>831</v>
      </c>
      <c r="B835" s="10" t="s">
        <v>2567</v>
      </c>
      <c r="C835" s="10" t="s">
        <v>2568</v>
      </c>
      <c r="D835" s="10" t="s">
        <v>1004</v>
      </c>
      <c r="E835" s="10" t="s">
        <v>2559</v>
      </c>
      <c r="F835" s="10" t="s">
        <v>793</v>
      </c>
      <c r="G835" s="10" t="s">
        <v>2569</v>
      </c>
      <c r="H835" s="10" t="s">
        <v>1479</v>
      </c>
      <c r="I835" s="10" t="s">
        <v>793</v>
      </c>
      <c r="J835" s="10" t="s">
        <v>1004</v>
      </c>
    </row>
    <row r="836" spans="1:10" ht="15" hidden="1" customHeight="1">
      <c r="A836" s="9">
        <v>832</v>
      </c>
      <c r="B836" s="10" t="s">
        <v>2570</v>
      </c>
      <c r="C836" s="10" t="s">
        <v>2571</v>
      </c>
      <c r="D836" s="10" t="s">
        <v>1004</v>
      </c>
      <c r="E836" s="10" t="s">
        <v>2559</v>
      </c>
      <c r="F836" s="10" t="s">
        <v>793</v>
      </c>
      <c r="G836" s="10" t="s">
        <v>2494</v>
      </c>
      <c r="H836" s="10" t="s">
        <v>1479</v>
      </c>
      <c r="I836" s="10" t="s">
        <v>793</v>
      </c>
      <c r="J836" s="10" t="s">
        <v>1004</v>
      </c>
    </row>
    <row r="837" spans="1:10" ht="15" hidden="1" customHeight="1">
      <c r="A837" s="9">
        <v>833</v>
      </c>
      <c r="B837" s="10" t="s">
        <v>2572</v>
      </c>
      <c r="C837" s="10" t="s">
        <v>2573</v>
      </c>
      <c r="D837" s="10" t="s">
        <v>1004</v>
      </c>
      <c r="E837" s="10" t="s">
        <v>2559</v>
      </c>
      <c r="F837" s="10" t="s">
        <v>793</v>
      </c>
      <c r="G837" s="10" t="s">
        <v>2574</v>
      </c>
      <c r="H837" s="10" t="s">
        <v>1479</v>
      </c>
      <c r="I837" s="10" t="s">
        <v>794</v>
      </c>
      <c r="J837" s="10" t="s">
        <v>2527</v>
      </c>
    </row>
    <row r="838" spans="1:10" ht="15" hidden="1" customHeight="1">
      <c r="A838" s="9">
        <v>834</v>
      </c>
      <c r="B838" s="10" t="s">
        <v>2575</v>
      </c>
      <c r="C838" s="10" t="s">
        <v>2576</v>
      </c>
      <c r="D838" s="10" t="s">
        <v>1004</v>
      </c>
      <c r="E838" s="10" t="s">
        <v>2559</v>
      </c>
      <c r="F838" s="10" t="s">
        <v>793</v>
      </c>
      <c r="G838" s="10" t="s">
        <v>2577</v>
      </c>
      <c r="H838" s="10" t="s">
        <v>1479</v>
      </c>
      <c r="I838" s="10" t="s">
        <v>793</v>
      </c>
      <c r="J838" s="10" t="s">
        <v>1004</v>
      </c>
    </row>
    <row r="839" spans="1:10" ht="15" hidden="1" customHeight="1">
      <c r="A839" s="9">
        <v>835</v>
      </c>
      <c r="B839" s="10" t="s">
        <v>2578</v>
      </c>
      <c r="C839" s="10" t="s">
        <v>2579</v>
      </c>
      <c r="D839" s="10" t="s">
        <v>1460</v>
      </c>
      <c r="E839" s="10" t="s">
        <v>2580</v>
      </c>
      <c r="F839" s="10" t="s">
        <v>793</v>
      </c>
      <c r="G839" s="10"/>
      <c r="H839" s="10"/>
      <c r="I839" s="10" t="s">
        <v>793</v>
      </c>
      <c r="J839" s="10" t="s">
        <v>1460</v>
      </c>
    </row>
    <row r="840" spans="1:10" ht="15" hidden="1" customHeight="1">
      <c r="A840" s="9">
        <v>836</v>
      </c>
      <c r="B840" s="10" t="s">
        <v>2581</v>
      </c>
      <c r="C840" s="10" t="s">
        <v>2582</v>
      </c>
      <c r="D840" s="10" t="s">
        <v>1460</v>
      </c>
      <c r="E840" s="10" t="s">
        <v>2579</v>
      </c>
      <c r="F840" s="10" t="s">
        <v>793</v>
      </c>
      <c r="G840" s="10"/>
      <c r="H840" s="10"/>
      <c r="I840" s="10" t="s">
        <v>793</v>
      </c>
      <c r="J840" s="10" t="s">
        <v>1460</v>
      </c>
    </row>
    <row r="841" spans="1:10" ht="15" hidden="1" customHeight="1">
      <c r="A841" s="9">
        <v>837</v>
      </c>
      <c r="B841" s="10" t="s">
        <v>2583</v>
      </c>
      <c r="C841" s="10" t="s">
        <v>2584</v>
      </c>
      <c r="D841" s="10" t="s">
        <v>1460</v>
      </c>
      <c r="E841" s="10" t="s">
        <v>2579</v>
      </c>
      <c r="F841" s="10" t="s">
        <v>793</v>
      </c>
      <c r="G841" s="10" t="s">
        <v>2517</v>
      </c>
      <c r="H841" s="10" t="s">
        <v>1479</v>
      </c>
      <c r="I841" s="10" t="s">
        <v>793</v>
      </c>
      <c r="J841" s="10" t="s">
        <v>1460</v>
      </c>
    </row>
    <row r="842" spans="1:10" ht="15" hidden="1" customHeight="1">
      <c r="A842" s="9">
        <v>838</v>
      </c>
      <c r="B842" s="10" t="s">
        <v>2585</v>
      </c>
      <c r="C842" s="10" t="s">
        <v>2586</v>
      </c>
      <c r="D842" s="10" t="s">
        <v>1004</v>
      </c>
      <c r="E842" s="10" t="s">
        <v>2587</v>
      </c>
      <c r="F842" s="10" t="s">
        <v>793</v>
      </c>
      <c r="G842" s="10" t="s">
        <v>2476</v>
      </c>
      <c r="H842" s="10" t="s">
        <v>2477</v>
      </c>
      <c r="I842" s="10" t="s">
        <v>794</v>
      </c>
      <c r="J842" s="10" t="s">
        <v>1004</v>
      </c>
    </row>
    <row r="843" spans="1:10" ht="15" hidden="1" customHeight="1">
      <c r="A843" s="9">
        <v>839</v>
      </c>
      <c r="B843" s="10" t="s">
        <v>2588</v>
      </c>
      <c r="C843" s="10" t="s">
        <v>2589</v>
      </c>
      <c r="D843" s="10" t="s">
        <v>1004</v>
      </c>
      <c r="E843" s="10" t="s">
        <v>2587</v>
      </c>
      <c r="F843" s="10" t="s">
        <v>793</v>
      </c>
      <c r="G843" s="10" t="s">
        <v>2538</v>
      </c>
      <c r="H843" s="10" t="s">
        <v>1479</v>
      </c>
      <c r="I843" s="10" t="s">
        <v>793</v>
      </c>
      <c r="J843" s="10" t="s">
        <v>1004</v>
      </c>
    </row>
    <row r="844" spans="1:10" ht="15" hidden="1" customHeight="1">
      <c r="A844" s="9">
        <v>840</v>
      </c>
      <c r="B844" s="10" t="s">
        <v>2590</v>
      </c>
      <c r="C844" s="10" t="s">
        <v>2591</v>
      </c>
      <c r="D844" s="10" t="s">
        <v>1004</v>
      </c>
      <c r="E844" s="10" t="s">
        <v>2587</v>
      </c>
      <c r="F844" s="10" t="s">
        <v>793</v>
      </c>
      <c r="G844" s="10" t="s">
        <v>2549</v>
      </c>
      <c r="H844" s="10" t="s">
        <v>1479</v>
      </c>
      <c r="I844" s="10" t="s">
        <v>794</v>
      </c>
      <c r="J844" s="10" t="s">
        <v>1004</v>
      </c>
    </row>
    <row r="845" spans="1:10" ht="15" hidden="1" customHeight="1">
      <c r="A845" s="9">
        <v>841</v>
      </c>
      <c r="B845" s="10" t="s">
        <v>2592</v>
      </c>
      <c r="C845" s="10" t="s">
        <v>2580</v>
      </c>
      <c r="D845" s="10" t="s">
        <v>1460</v>
      </c>
      <c r="E845" s="10" t="s">
        <v>2511</v>
      </c>
      <c r="F845" s="10" t="s">
        <v>793</v>
      </c>
      <c r="G845" s="10"/>
      <c r="H845" s="10"/>
      <c r="I845" s="10" t="s">
        <v>793</v>
      </c>
      <c r="J845" s="10" t="s">
        <v>1460</v>
      </c>
    </row>
    <row r="846" spans="1:10" ht="15" hidden="1" customHeight="1">
      <c r="A846" s="9">
        <v>842</v>
      </c>
      <c r="B846" s="10" t="s">
        <v>2593</v>
      </c>
      <c r="C846" s="10" t="s">
        <v>2587</v>
      </c>
      <c r="D846" s="10" t="s">
        <v>1004</v>
      </c>
      <c r="E846" s="10" t="s">
        <v>2529</v>
      </c>
      <c r="F846" s="10" t="s">
        <v>793</v>
      </c>
      <c r="G846" s="10" t="s">
        <v>2476</v>
      </c>
      <c r="H846" s="10" t="s">
        <v>2477</v>
      </c>
      <c r="I846" s="10" t="s">
        <v>793</v>
      </c>
      <c r="J846" s="10" t="s">
        <v>1004</v>
      </c>
    </row>
    <row r="847" spans="1:10" ht="15" hidden="1" customHeight="1">
      <c r="A847" s="9">
        <v>843</v>
      </c>
      <c r="B847" s="10" t="s">
        <v>2594</v>
      </c>
      <c r="C847" s="10" t="s">
        <v>2595</v>
      </c>
      <c r="D847" s="10" t="s">
        <v>1004</v>
      </c>
      <c r="E847" s="10" t="s">
        <v>2032</v>
      </c>
      <c r="F847" s="10" t="s">
        <v>794</v>
      </c>
      <c r="G847" s="10" t="s">
        <v>2033</v>
      </c>
      <c r="H847" s="10" t="s">
        <v>1479</v>
      </c>
      <c r="I847" s="10" t="s">
        <v>794</v>
      </c>
      <c r="J847" s="10" t="s">
        <v>119</v>
      </c>
    </row>
    <row r="848" spans="1:10" ht="15" hidden="1" customHeight="1">
      <c r="A848" s="9">
        <v>844</v>
      </c>
      <c r="B848" s="10" t="s">
        <v>2596</v>
      </c>
      <c r="C848" s="10" t="s">
        <v>2597</v>
      </c>
      <c r="D848" s="10" t="s">
        <v>1004</v>
      </c>
      <c r="E848" s="10" t="s">
        <v>2032</v>
      </c>
      <c r="F848" s="10" t="s">
        <v>794</v>
      </c>
      <c r="G848" s="10" t="s">
        <v>2033</v>
      </c>
      <c r="H848" s="10" t="s">
        <v>1479</v>
      </c>
      <c r="I848" s="10" t="s">
        <v>794</v>
      </c>
      <c r="J848" s="10" t="s">
        <v>119</v>
      </c>
    </row>
    <row r="849" spans="1:10" ht="15" hidden="1" customHeight="1">
      <c r="A849" s="9">
        <v>845</v>
      </c>
      <c r="B849" s="10" t="s">
        <v>2598</v>
      </c>
      <c r="C849" s="10" t="s">
        <v>2599</v>
      </c>
      <c r="D849" s="10" t="s">
        <v>1004</v>
      </c>
      <c r="E849" s="10" t="s">
        <v>2032</v>
      </c>
      <c r="F849" s="10" t="s">
        <v>794</v>
      </c>
      <c r="G849" s="10" t="s">
        <v>2033</v>
      </c>
      <c r="H849" s="10" t="s">
        <v>1479</v>
      </c>
      <c r="I849" s="10" t="s">
        <v>794</v>
      </c>
      <c r="J849" s="10" t="s">
        <v>119</v>
      </c>
    </row>
    <row r="850" spans="1:10" ht="15" hidden="1" customHeight="1">
      <c r="A850" s="9">
        <v>846</v>
      </c>
      <c r="B850" s="10" t="s">
        <v>2600</v>
      </c>
      <c r="C850" s="10" t="s">
        <v>2601</v>
      </c>
      <c r="D850" s="10" t="s">
        <v>1004</v>
      </c>
      <c r="E850" s="10" t="s">
        <v>2032</v>
      </c>
      <c r="F850" s="10" t="s">
        <v>794</v>
      </c>
      <c r="G850" s="10" t="s">
        <v>2033</v>
      </c>
      <c r="H850" s="10" t="s">
        <v>1479</v>
      </c>
      <c r="I850" s="10" t="s">
        <v>794</v>
      </c>
      <c r="J850" s="10" t="s">
        <v>119</v>
      </c>
    </row>
    <row r="851" spans="1:10" ht="15" hidden="1" customHeight="1">
      <c r="A851" s="9">
        <v>847</v>
      </c>
      <c r="B851" s="10" t="s">
        <v>2602</v>
      </c>
      <c r="C851" s="10" t="s">
        <v>2603</v>
      </c>
      <c r="D851" s="10" t="s">
        <v>1004</v>
      </c>
      <c r="E851" s="10" t="s">
        <v>2032</v>
      </c>
      <c r="F851" s="10" t="s">
        <v>794</v>
      </c>
      <c r="G851" s="10" t="s">
        <v>2033</v>
      </c>
      <c r="H851" s="10" t="s">
        <v>1479</v>
      </c>
      <c r="I851" s="10" t="s">
        <v>794</v>
      </c>
      <c r="J851" s="10" t="s">
        <v>119</v>
      </c>
    </row>
    <row r="852" spans="1:10" ht="15" hidden="1" customHeight="1">
      <c r="A852" s="9">
        <v>848</v>
      </c>
      <c r="B852" s="10" t="s">
        <v>2604</v>
      </c>
      <c r="C852" s="10" t="s">
        <v>2605</v>
      </c>
      <c r="D852" s="10" t="s">
        <v>1004</v>
      </c>
      <c r="E852" s="10" t="s">
        <v>2032</v>
      </c>
      <c r="F852" s="10" t="s">
        <v>794</v>
      </c>
      <c r="G852" s="10" t="s">
        <v>2033</v>
      </c>
      <c r="H852" s="10" t="s">
        <v>1479</v>
      </c>
      <c r="I852" s="10" t="s">
        <v>794</v>
      </c>
      <c r="J852" s="10" t="s">
        <v>119</v>
      </c>
    </row>
    <row r="853" spans="1:10" ht="15" hidden="1" customHeight="1">
      <c r="A853" s="9">
        <v>849</v>
      </c>
      <c r="B853" s="10" t="s">
        <v>2606</v>
      </c>
      <c r="C853" s="10" t="s">
        <v>2607</v>
      </c>
      <c r="D853" s="10" t="s">
        <v>1004</v>
      </c>
      <c r="E853" s="10" t="s">
        <v>2032</v>
      </c>
      <c r="F853" s="10" t="s">
        <v>794</v>
      </c>
      <c r="G853" s="10" t="s">
        <v>2033</v>
      </c>
      <c r="H853" s="10" t="s">
        <v>1479</v>
      </c>
      <c r="I853" s="10" t="s">
        <v>793</v>
      </c>
      <c r="J853" s="10" t="s">
        <v>119</v>
      </c>
    </row>
    <row r="854" spans="1:10" ht="15" hidden="1" customHeight="1">
      <c r="A854" s="9">
        <v>850</v>
      </c>
      <c r="B854" s="10" t="s">
        <v>2608</v>
      </c>
      <c r="C854" s="10" t="s">
        <v>2609</v>
      </c>
      <c r="D854" s="10" t="s">
        <v>1004</v>
      </c>
      <c r="E854" s="10" t="s">
        <v>2032</v>
      </c>
      <c r="F854" s="10" t="s">
        <v>794</v>
      </c>
      <c r="G854" s="10" t="s">
        <v>2033</v>
      </c>
      <c r="H854" s="10" t="s">
        <v>1479</v>
      </c>
      <c r="I854" s="10" t="s">
        <v>794</v>
      </c>
      <c r="J854" s="10" t="s">
        <v>119</v>
      </c>
    </row>
    <row r="855" spans="1:10" ht="15" hidden="1" customHeight="1">
      <c r="A855" s="9">
        <v>851</v>
      </c>
      <c r="B855" s="10" t="s">
        <v>2610</v>
      </c>
      <c r="C855" s="10" t="s">
        <v>2611</v>
      </c>
      <c r="D855" s="10" t="s">
        <v>1004</v>
      </c>
      <c r="E855" s="10" t="s">
        <v>2032</v>
      </c>
      <c r="F855" s="10" t="s">
        <v>794</v>
      </c>
      <c r="G855" s="10" t="s">
        <v>2033</v>
      </c>
      <c r="H855" s="10" t="s">
        <v>1479</v>
      </c>
      <c r="I855" s="10" t="s">
        <v>794</v>
      </c>
      <c r="J855" s="10" t="s">
        <v>119</v>
      </c>
    </row>
    <row r="856" spans="1:10" ht="15" hidden="1" customHeight="1">
      <c r="A856" s="9">
        <v>852</v>
      </c>
      <c r="B856" s="10" t="s">
        <v>2612</v>
      </c>
      <c r="C856" s="10" t="s">
        <v>2613</v>
      </c>
      <c r="D856" s="10" t="s">
        <v>1004</v>
      </c>
      <c r="E856" s="10" t="s">
        <v>2032</v>
      </c>
      <c r="F856" s="10" t="s">
        <v>794</v>
      </c>
      <c r="G856" s="10" t="s">
        <v>2033</v>
      </c>
      <c r="H856" s="10" t="s">
        <v>1479</v>
      </c>
      <c r="I856" s="10" t="s">
        <v>793</v>
      </c>
      <c r="J856" s="10" t="s">
        <v>119</v>
      </c>
    </row>
    <row r="857" spans="1:10" ht="15" hidden="1" customHeight="1">
      <c r="A857" s="9">
        <v>853</v>
      </c>
      <c r="B857" s="10" t="s">
        <v>2614</v>
      </c>
      <c r="C857" s="10" t="s">
        <v>2615</v>
      </c>
      <c r="D857" s="10" t="s">
        <v>1004</v>
      </c>
      <c r="E857" s="10" t="s">
        <v>2032</v>
      </c>
      <c r="F857" s="10" t="s">
        <v>794</v>
      </c>
      <c r="G857" s="10" t="s">
        <v>2033</v>
      </c>
      <c r="H857" s="10" t="s">
        <v>1479</v>
      </c>
      <c r="I857" s="10" t="s">
        <v>793</v>
      </c>
      <c r="J857" s="10" t="s">
        <v>119</v>
      </c>
    </row>
    <row r="858" spans="1:10" ht="15" hidden="1" customHeight="1">
      <c r="A858" s="9">
        <v>854</v>
      </c>
      <c r="B858" s="10" t="s">
        <v>2616</v>
      </c>
      <c r="C858" s="10" t="s">
        <v>2617</v>
      </c>
      <c r="D858" s="10" t="s">
        <v>1004</v>
      </c>
      <c r="E858" s="10" t="s">
        <v>2459</v>
      </c>
      <c r="F858" s="10" t="s">
        <v>794</v>
      </c>
      <c r="G858" s="10" t="s">
        <v>2460</v>
      </c>
      <c r="H858" s="10" t="s">
        <v>1479</v>
      </c>
      <c r="I858" s="10" t="s">
        <v>793</v>
      </c>
      <c r="J858" s="10" t="s">
        <v>1004</v>
      </c>
    </row>
    <row r="859" spans="1:10" ht="15" hidden="1" customHeight="1">
      <c r="A859" s="9">
        <v>855</v>
      </c>
      <c r="B859" s="10" t="s">
        <v>2618</v>
      </c>
      <c r="C859" s="10" t="s">
        <v>2619</v>
      </c>
      <c r="D859" s="10" t="s">
        <v>1004</v>
      </c>
      <c r="E859" s="10" t="s">
        <v>2459</v>
      </c>
      <c r="F859" s="10" t="s">
        <v>794</v>
      </c>
      <c r="G859" s="10" t="s">
        <v>2460</v>
      </c>
      <c r="H859" s="10" t="s">
        <v>1479</v>
      </c>
      <c r="I859" s="10" t="s">
        <v>793</v>
      </c>
      <c r="J859" s="10" t="s">
        <v>1004</v>
      </c>
    </row>
    <row r="860" spans="1:10" ht="15" hidden="1" customHeight="1">
      <c r="A860" s="9">
        <v>856</v>
      </c>
      <c r="B860" s="10" t="s">
        <v>2620</v>
      </c>
      <c r="C860" s="10" t="s">
        <v>2621</v>
      </c>
      <c r="D860" s="10" t="s">
        <v>1004</v>
      </c>
      <c r="E860" s="10" t="s">
        <v>2459</v>
      </c>
      <c r="F860" s="10" t="s">
        <v>794</v>
      </c>
      <c r="G860" s="10" t="s">
        <v>2460</v>
      </c>
      <c r="H860" s="10" t="s">
        <v>1479</v>
      </c>
      <c r="I860" s="10" t="s">
        <v>793</v>
      </c>
      <c r="J860" s="10" t="s">
        <v>1004</v>
      </c>
    </row>
    <row r="861" spans="1:10" ht="15" hidden="1" customHeight="1">
      <c r="A861" s="9">
        <v>857</v>
      </c>
      <c r="B861" s="10" t="s">
        <v>2622</v>
      </c>
      <c r="C861" s="10" t="s">
        <v>2623</v>
      </c>
      <c r="D861" s="10" t="s">
        <v>1004</v>
      </c>
      <c r="E861" s="10" t="s">
        <v>2459</v>
      </c>
      <c r="F861" s="10" t="s">
        <v>794</v>
      </c>
      <c r="G861" s="10" t="s">
        <v>2460</v>
      </c>
      <c r="H861" s="10" t="s">
        <v>1479</v>
      </c>
      <c r="I861" s="10" t="s">
        <v>793</v>
      </c>
      <c r="J861" s="10" t="s">
        <v>1004</v>
      </c>
    </row>
    <row r="862" spans="1:10" ht="15" hidden="1" customHeight="1">
      <c r="A862" s="9">
        <v>858</v>
      </c>
      <c r="B862" s="10" t="s">
        <v>2624</v>
      </c>
      <c r="C862" s="10" t="s">
        <v>2625</v>
      </c>
      <c r="D862" s="10" t="s">
        <v>1004</v>
      </c>
      <c r="E862" s="10" t="s">
        <v>2459</v>
      </c>
      <c r="F862" s="10" t="s">
        <v>794</v>
      </c>
      <c r="G862" s="10" t="s">
        <v>2460</v>
      </c>
      <c r="H862" s="10" t="s">
        <v>1479</v>
      </c>
      <c r="I862" s="10" t="s">
        <v>793</v>
      </c>
      <c r="J862" s="10" t="s">
        <v>1004</v>
      </c>
    </row>
    <row r="863" spans="1:10" ht="15" hidden="1" customHeight="1">
      <c r="A863" s="9">
        <v>859</v>
      </c>
      <c r="B863" s="10" t="s">
        <v>2626</v>
      </c>
      <c r="C863" s="10" t="s">
        <v>2627</v>
      </c>
      <c r="D863" s="10" t="s">
        <v>1004</v>
      </c>
      <c r="E863" s="10" t="s">
        <v>2459</v>
      </c>
      <c r="F863" s="10" t="s">
        <v>794</v>
      </c>
      <c r="G863" s="10" t="s">
        <v>2460</v>
      </c>
      <c r="H863" s="10" t="s">
        <v>1479</v>
      </c>
      <c r="I863" s="10" t="s">
        <v>793</v>
      </c>
      <c r="J863" s="10" t="s">
        <v>1004</v>
      </c>
    </row>
    <row r="864" spans="1:10" ht="15" hidden="1" customHeight="1">
      <c r="A864" s="9">
        <v>860</v>
      </c>
      <c r="B864" s="10" t="s">
        <v>2628</v>
      </c>
      <c r="C864" s="10" t="s">
        <v>2629</v>
      </c>
      <c r="D864" s="10" t="s">
        <v>1004</v>
      </c>
      <c r="E864" s="10" t="s">
        <v>2459</v>
      </c>
      <c r="F864" s="10" t="s">
        <v>794</v>
      </c>
      <c r="G864" s="10" t="s">
        <v>2460</v>
      </c>
      <c r="H864" s="10" t="s">
        <v>1479</v>
      </c>
      <c r="I864" s="10" t="s">
        <v>793</v>
      </c>
      <c r="J864" s="10" t="s">
        <v>1004</v>
      </c>
    </row>
    <row r="865" spans="1:10" ht="15" hidden="1" customHeight="1">
      <c r="A865" s="9">
        <v>861</v>
      </c>
      <c r="B865" s="10" t="s">
        <v>2630</v>
      </c>
      <c r="C865" s="10" t="s">
        <v>2631</v>
      </c>
      <c r="D865" s="10" t="s">
        <v>1004</v>
      </c>
      <c r="E865" s="10" t="s">
        <v>2459</v>
      </c>
      <c r="F865" s="10" t="s">
        <v>794</v>
      </c>
      <c r="G865" s="10" t="s">
        <v>2460</v>
      </c>
      <c r="H865" s="10" t="s">
        <v>1479</v>
      </c>
      <c r="I865" s="10" t="s">
        <v>793</v>
      </c>
      <c r="J865" s="10" t="s">
        <v>1004</v>
      </c>
    </row>
    <row r="866" spans="1:10" ht="15" hidden="1" customHeight="1">
      <c r="A866" s="9">
        <v>862</v>
      </c>
      <c r="B866" s="10" t="s">
        <v>2632</v>
      </c>
      <c r="C866" s="10" t="s">
        <v>2633</v>
      </c>
      <c r="D866" s="10" t="s">
        <v>1004</v>
      </c>
      <c r="E866" s="10" t="s">
        <v>2459</v>
      </c>
      <c r="F866" s="10" t="s">
        <v>794</v>
      </c>
      <c r="G866" s="10" t="s">
        <v>2460</v>
      </c>
      <c r="H866" s="10" t="s">
        <v>1479</v>
      </c>
      <c r="I866" s="10" t="s">
        <v>793</v>
      </c>
      <c r="J866" s="10" t="s">
        <v>1004</v>
      </c>
    </row>
    <row r="867" spans="1:10" ht="15" hidden="1" customHeight="1">
      <c r="A867" s="9">
        <v>863</v>
      </c>
      <c r="B867" s="10" t="s">
        <v>2634</v>
      </c>
      <c r="C867" s="10" t="s">
        <v>2635</v>
      </c>
      <c r="D867" s="10" t="s">
        <v>1004</v>
      </c>
      <c r="E867" s="10" t="s">
        <v>2459</v>
      </c>
      <c r="F867" s="10" t="s">
        <v>794</v>
      </c>
      <c r="G867" s="10" t="s">
        <v>2460</v>
      </c>
      <c r="H867" s="10" t="s">
        <v>1479</v>
      </c>
      <c r="I867" s="10" t="s">
        <v>793</v>
      </c>
      <c r="J867" s="10" t="s">
        <v>1004</v>
      </c>
    </row>
    <row r="868" spans="1:10" ht="15" hidden="1" customHeight="1">
      <c r="A868" s="9">
        <v>864</v>
      </c>
      <c r="B868" s="10" t="s">
        <v>2636</v>
      </c>
      <c r="C868" s="10" t="s">
        <v>2637</v>
      </c>
      <c r="D868" s="10" t="s">
        <v>1004</v>
      </c>
      <c r="E868" s="10" t="s">
        <v>2459</v>
      </c>
      <c r="F868" s="10" t="s">
        <v>794</v>
      </c>
      <c r="G868" s="10" t="s">
        <v>2460</v>
      </c>
      <c r="H868" s="10" t="s">
        <v>1479</v>
      </c>
      <c r="I868" s="10" t="s">
        <v>793</v>
      </c>
      <c r="J868" s="10" t="s">
        <v>1004</v>
      </c>
    </row>
    <row r="869" spans="1:10" ht="15" hidden="1" customHeight="1">
      <c r="A869" s="9">
        <v>865</v>
      </c>
      <c r="B869" s="10" t="s">
        <v>2638</v>
      </c>
      <c r="C869" s="10" t="s">
        <v>2639</v>
      </c>
      <c r="D869" s="10" t="s">
        <v>1004</v>
      </c>
      <c r="E869" s="10" t="s">
        <v>2459</v>
      </c>
      <c r="F869" s="10" t="s">
        <v>794</v>
      </c>
      <c r="G869" s="10" t="s">
        <v>2460</v>
      </c>
      <c r="H869" s="10" t="s">
        <v>1479</v>
      </c>
      <c r="I869" s="10" t="s">
        <v>793</v>
      </c>
      <c r="J869" s="10" t="s">
        <v>1004</v>
      </c>
    </row>
    <row r="870" spans="1:10" ht="15" hidden="1" customHeight="1">
      <c r="A870" s="9">
        <v>866</v>
      </c>
      <c r="B870" s="10" t="s">
        <v>2640</v>
      </c>
      <c r="C870" s="10" t="s">
        <v>2641</v>
      </c>
      <c r="D870" s="10" t="s">
        <v>1004</v>
      </c>
      <c r="E870" s="10" t="s">
        <v>2459</v>
      </c>
      <c r="F870" s="10" t="s">
        <v>794</v>
      </c>
      <c r="G870" s="10" t="s">
        <v>2460</v>
      </c>
      <c r="H870" s="10" t="s">
        <v>1479</v>
      </c>
      <c r="I870" s="10" t="s">
        <v>793</v>
      </c>
      <c r="J870" s="10" t="s">
        <v>1004</v>
      </c>
    </row>
    <row r="871" spans="1:10" ht="15" hidden="1" customHeight="1">
      <c r="A871" s="9">
        <v>867</v>
      </c>
      <c r="B871" s="10" t="s">
        <v>2642</v>
      </c>
      <c r="C871" s="10" t="s">
        <v>2643</v>
      </c>
      <c r="D871" s="10" t="s">
        <v>1004</v>
      </c>
      <c r="E871" s="10" t="s">
        <v>2459</v>
      </c>
      <c r="F871" s="10" t="s">
        <v>794</v>
      </c>
      <c r="G871" s="10" t="s">
        <v>2460</v>
      </c>
      <c r="H871" s="10" t="s">
        <v>1479</v>
      </c>
      <c r="I871" s="10" t="s">
        <v>793</v>
      </c>
      <c r="J871" s="10" t="s">
        <v>1004</v>
      </c>
    </row>
    <row r="872" spans="1:10" ht="15" hidden="1" customHeight="1">
      <c r="A872" s="9">
        <v>868</v>
      </c>
      <c r="B872" s="10" t="s">
        <v>2644</v>
      </c>
      <c r="C872" s="10" t="s">
        <v>2645</v>
      </c>
      <c r="D872" s="10" t="s">
        <v>1004</v>
      </c>
      <c r="E872" s="10" t="s">
        <v>2459</v>
      </c>
      <c r="F872" s="10" t="s">
        <v>794</v>
      </c>
      <c r="G872" s="10" t="s">
        <v>2460</v>
      </c>
      <c r="H872" s="10" t="s">
        <v>1479</v>
      </c>
      <c r="I872" s="10" t="s">
        <v>793</v>
      </c>
      <c r="J872" s="10" t="s">
        <v>1004</v>
      </c>
    </row>
    <row r="873" spans="1:10" ht="15" hidden="1" customHeight="1">
      <c r="A873" s="9">
        <v>869</v>
      </c>
      <c r="B873" s="10" t="s">
        <v>2646</v>
      </c>
      <c r="C873" s="10" t="s">
        <v>2647</v>
      </c>
      <c r="D873" s="10" t="s">
        <v>1004</v>
      </c>
      <c r="E873" s="10" t="s">
        <v>2459</v>
      </c>
      <c r="F873" s="10" t="s">
        <v>794</v>
      </c>
      <c r="G873" s="10" t="s">
        <v>2460</v>
      </c>
      <c r="H873" s="10" t="s">
        <v>1479</v>
      </c>
      <c r="I873" s="10" t="s">
        <v>793</v>
      </c>
      <c r="J873" s="10" t="s">
        <v>1004</v>
      </c>
    </row>
    <row r="874" spans="1:10" ht="15" hidden="1" customHeight="1">
      <c r="A874" s="9">
        <v>870</v>
      </c>
      <c r="B874" s="10" t="s">
        <v>2648</v>
      </c>
      <c r="C874" s="10" t="s">
        <v>2649</v>
      </c>
      <c r="D874" s="10" t="s">
        <v>1004</v>
      </c>
      <c r="E874" s="10" t="s">
        <v>2459</v>
      </c>
      <c r="F874" s="10" t="s">
        <v>794</v>
      </c>
      <c r="G874" s="10" t="s">
        <v>2460</v>
      </c>
      <c r="H874" s="10" t="s">
        <v>1479</v>
      </c>
      <c r="I874" s="10" t="s">
        <v>793</v>
      </c>
      <c r="J874" s="10" t="s">
        <v>1004</v>
      </c>
    </row>
    <row r="875" spans="1:10" ht="15" hidden="1" customHeight="1">
      <c r="A875" s="9">
        <v>871</v>
      </c>
      <c r="B875" s="10" t="s">
        <v>2650</v>
      </c>
      <c r="C875" s="10" t="s">
        <v>2651</v>
      </c>
      <c r="D875" s="10" t="s">
        <v>1004</v>
      </c>
      <c r="E875" s="10" t="s">
        <v>2459</v>
      </c>
      <c r="F875" s="10" t="s">
        <v>794</v>
      </c>
      <c r="G875" s="10" t="s">
        <v>2460</v>
      </c>
      <c r="H875" s="10" t="s">
        <v>1479</v>
      </c>
      <c r="I875" s="10" t="s">
        <v>793</v>
      </c>
      <c r="J875" s="10" t="s">
        <v>1004</v>
      </c>
    </row>
    <row r="876" spans="1:10" ht="15" hidden="1" customHeight="1">
      <c r="A876" s="9">
        <v>872</v>
      </c>
      <c r="B876" s="10" t="s">
        <v>2652</v>
      </c>
      <c r="C876" s="10" t="s">
        <v>2653</v>
      </c>
      <c r="D876" s="10" t="s">
        <v>1004</v>
      </c>
      <c r="E876" s="10" t="s">
        <v>2459</v>
      </c>
      <c r="F876" s="10" t="s">
        <v>794</v>
      </c>
      <c r="G876" s="10" t="s">
        <v>2460</v>
      </c>
      <c r="H876" s="10" t="s">
        <v>1479</v>
      </c>
      <c r="I876" s="10" t="s">
        <v>793</v>
      </c>
      <c r="J876" s="10" t="s">
        <v>1004</v>
      </c>
    </row>
    <row r="877" spans="1:10" ht="15" hidden="1" customHeight="1">
      <c r="A877" s="9">
        <v>873</v>
      </c>
      <c r="B877" s="10" t="s">
        <v>2654</v>
      </c>
      <c r="C877" s="10" t="s">
        <v>2655</v>
      </c>
      <c r="D877" s="10" t="s">
        <v>1004</v>
      </c>
      <c r="E877" s="10" t="s">
        <v>2459</v>
      </c>
      <c r="F877" s="10" t="s">
        <v>794</v>
      </c>
      <c r="G877" s="10" t="s">
        <v>2460</v>
      </c>
      <c r="H877" s="10" t="s">
        <v>1479</v>
      </c>
      <c r="I877" s="10" t="s">
        <v>793</v>
      </c>
      <c r="J877" s="10" t="s">
        <v>1004</v>
      </c>
    </row>
    <row r="878" spans="1:10" ht="15" hidden="1" customHeight="1">
      <c r="A878" s="9">
        <v>874</v>
      </c>
      <c r="B878" s="10" t="s">
        <v>2656</v>
      </c>
      <c r="C878" s="10" t="s">
        <v>2657</v>
      </c>
      <c r="D878" s="10" t="s">
        <v>1004</v>
      </c>
      <c r="E878" s="10" t="s">
        <v>2459</v>
      </c>
      <c r="F878" s="10" t="s">
        <v>794</v>
      </c>
      <c r="G878" s="10" t="s">
        <v>2460</v>
      </c>
      <c r="H878" s="10" t="s">
        <v>1479</v>
      </c>
      <c r="I878" s="10" t="s">
        <v>793</v>
      </c>
      <c r="J878" s="10" t="s">
        <v>1004</v>
      </c>
    </row>
    <row r="879" spans="1:10" ht="15" hidden="1" customHeight="1">
      <c r="A879" s="9">
        <v>875</v>
      </c>
      <c r="B879" s="10" t="s">
        <v>2658</v>
      </c>
      <c r="C879" s="10" t="s">
        <v>2659</v>
      </c>
      <c r="D879" s="10" t="s">
        <v>1004</v>
      </c>
      <c r="E879" s="10" t="s">
        <v>2459</v>
      </c>
      <c r="F879" s="10" t="s">
        <v>794</v>
      </c>
      <c r="G879" s="10" t="s">
        <v>2460</v>
      </c>
      <c r="H879" s="10" t="s">
        <v>1479</v>
      </c>
      <c r="I879" s="10" t="s">
        <v>793</v>
      </c>
      <c r="J879" s="10" t="s">
        <v>1004</v>
      </c>
    </row>
    <row r="880" spans="1:10" ht="15" hidden="1" customHeight="1">
      <c r="A880" s="9">
        <v>876</v>
      </c>
      <c r="B880" s="10" t="s">
        <v>2660</v>
      </c>
      <c r="C880" s="10" t="s">
        <v>2661</v>
      </c>
      <c r="D880" s="10" t="s">
        <v>1004</v>
      </c>
      <c r="E880" s="10" t="s">
        <v>2459</v>
      </c>
      <c r="F880" s="10" t="s">
        <v>794</v>
      </c>
      <c r="G880" s="10" t="s">
        <v>2460</v>
      </c>
      <c r="H880" s="10" t="s">
        <v>1479</v>
      </c>
      <c r="I880" s="10" t="s">
        <v>793</v>
      </c>
      <c r="J880" s="10" t="s">
        <v>1004</v>
      </c>
    </row>
    <row r="881" spans="1:10" ht="15" hidden="1" customHeight="1">
      <c r="A881" s="9">
        <v>877</v>
      </c>
      <c r="B881" s="10" t="s">
        <v>2662</v>
      </c>
      <c r="C881" s="10" t="s">
        <v>2663</v>
      </c>
      <c r="D881" s="10" t="s">
        <v>1004</v>
      </c>
      <c r="E881" s="10" t="s">
        <v>2459</v>
      </c>
      <c r="F881" s="10" t="s">
        <v>794</v>
      </c>
      <c r="G881" s="10" t="s">
        <v>2460</v>
      </c>
      <c r="H881" s="10" t="s">
        <v>1479</v>
      </c>
      <c r="I881" s="10" t="s">
        <v>793</v>
      </c>
      <c r="J881" s="10" t="s">
        <v>1004</v>
      </c>
    </row>
    <row r="882" spans="1:10" ht="15" hidden="1" customHeight="1">
      <c r="A882" s="9">
        <v>878</v>
      </c>
      <c r="B882" s="10" t="s">
        <v>2664</v>
      </c>
      <c r="C882" s="10" t="s">
        <v>2665</v>
      </c>
      <c r="D882" s="10" t="s">
        <v>1004</v>
      </c>
      <c r="E882" s="10" t="s">
        <v>2459</v>
      </c>
      <c r="F882" s="10" t="s">
        <v>794</v>
      </c>
      <c r="G882" s="10" t="s">
        <v>2460</v>
      </c>
      <c r="H882" s="10" t="s">
        <v>1479</v>
      </c>
      <c r="I882" s="10" t="s">
        <v>793</v>
      </c>
      <c r="J882" s="10" t="s">
        <v>1004</v>
      </c>
    </row>
    <row r="883" spans="1:10" ht="15" hidden="1" customHeight="1">
      <c r="A883" s="9">
        <v>879</v>
      </c>
      <c r="B883" s="10" t="s">
        <v>2666</v>
      </c>
      <c r="C883" s="10" t="s">
        <v>2667</v>
      </c>
      <c r="D883" s="10" t="s">
        <v>1004</v>
      </c>
      <c r="E883" s="10" t="s">
        <v>2459</v>
      </c>
      <c r="F883" s="10" t="s">
        <v>794</v>
      </c>
      <c r="G883" s="10" t="s">
        <v>2460</v>
      </c>
      <c r="H883" s="10" t="s">
        <v>1479</v>
      </c>
      <c r="I883" s="10" t="s">
        <v>793</v>
      </c>
      <c r="J883" s="10" t="s">
        <v>1004</v>
      </c>
    </row>
    <row r="884" spans="1:10" ht="15" hidden="1" customHeight="1">
      <c r="A884" s="9">
        <v>880</v>
      </c>
      <c r="B884" s="10" t="s">
        <v>2668</v>
      </c>
      <c r="C884" s="10" t="s">
        <v>2669</v>
      </c>
      <c r="D884" s="10" t="s">
        <v>1004</v>
      </c>
      <c r="E884" s="10" t="s">
        <v>2459</v>
      </c>
      <c r="F884" s="10" t="s">
        <v>794</v>
      </c>
      <c r="G884" s="10" t="s">
        <v>2460</v>
      </c>
      <c r="H884" s="10" t="s">
        <v>1479</v>
      </c>
      <c r="I884" s="10" t="s">
        <v>793</v>
      </c>
      <c r="J884" s="10" t="s">
        <v>1004</v>
      </c>
    </row>
    <row r="885" spans="1:10" ht="15" hidden="1" customHeight="1">
      <c r="A885" s="9">
        <v>881</v>
      </c>
      <c r="B885" s="10" t="s">
        <v>2670</v>
      </c>
      <c r="C885" s="10" t="s">
        <v>2671</v>
      </c>
      <c r="D885" s="10" t="s">
        <v>1004</v>
      </c>
      <c r="E885" s="10" t="s">
        <v>2462</v>
      </c>
      <c r="F885" s="10" t="s">
        <v>794</v>
      </c>
      <c r="G885" s="10" t="s">
        <v>2463</v>
      </c>
      <c r="H885" s="10" t="s">
        <v>1479</v>
      </c>
      <c r="I885" s="10" t="s">
        <v>793</v>
      </c>
      <c r="J885" s="10" t="s">
        <v>2672</v>
      </c>
    </row>
    <row r="886" spans="1:10" ht="15" hidden="1" customHeight="1">
      <c r="A886" s="9">
        <v>882</v>
      </c>
      <c r="B886" s="10" t="s">
        <v>2673</v>
      </c>
      <c r="C886" s="10" t="s">
        <v>2674</v>
      </c>
      <c r="D886" s="10" t="s">
        <v>1004</v>
      </c>
      <c r="E886" s="10" t="s">
        <v>2462</v>
      </c>
      <c r="F886" s="10" t="s">
        <v>794</v>
      </c>
      <c r="G886" s="10" t="s">
        <v>2463</v>
      </c>
      <c r="H886" s="10" t="s">
        <v>1479</v>
      </c>
      <c r="I886" s="10" t="s">
        <v>793</v>
      </c>
      <c r="J886" s="10" t="s">
        <v>2672</v>
      </c>
    </row>
    <row r="887" spans="1:10" ht="15" hidden="1" customHeight="1">
      <c r="A887" s="9">
        <v>883</v>
      </c>
      <c r="B887" s="10" t="s">
        <v>2675</v>
      </c>
      <c r="C887" s="10" t="s">
        <v>2676</v>
      </c>
      <c r="D887" s="10" t="s">
        <v>1004</v>
      </c>
      <c r="E887" s="10" t="s">
        <v>2462</v>
      </c>
      <c r="F887" s="10" t="s">
        <v>794</v>
      </c>
      <c r="G887" s="10" t="s">
        <v>2463</v>
      </c>
      <c r="H887" s="10" t="s">
        <v>1479</v>
      </c>
      <c r="I887" s="10" t="s">
        <v>793</v>
      </c>
      <c r="J887" s="10" t="s">
        <v>2672</v>
      </c>
    </row>
    <row r="888" spans="1:10" ht="15" hidden="1" customHeight="1">
      <c r="A888" s="9">
        <v>884</v>
      </c>
      <c r="B888" s="10" t="s">
        <v>2677</v>
      </c>
      <c r="C888" s="10" t="s">
        <v>2678</v>
      </c>
      <c r="D888" s="10" t="s">
        <v>1004</v>
      </c>
      <c r="E888" s="10" t="s">
        <v>2462</v>
      </c>
      <c r="F888" s="10" t="s">
        <v>794</v>
      </c>
      <c r="G888" s="10" t="s">
        <v>2463</v>
      </c>
      <c r="H888" s="10" t="s">
        <v>1479</v>
      </c>
      <c r="I888" s="10" t="s">
        <v>793</v>
      </c>
      <c r="J888" s="10" t="s">
        <v>2672</v>
      </c>
    </row>
    <row r="889" spans="1:10" ht="15" hidden="1" customHeight="1">
      <c r="A889" s="9">
        <v>885</v>
      </c>
      <c r="B889" s="10" t="s">
        <v>2679</v>
      </c>
      <c r="C889" s="10" t="s">
        <v>2680</v>
      </c>
      <c r="D889" s="10" t="s">
        <v>1004</v>
      </c>
      <c r="E889" s="10" t="s">
        <v>2462</v>
      </c>
      <c r="F889" s="10" t="s">
        <v>794</v>
      </c>
      <c r="G889" s="10" t="s">
        <v>2463</v>
      </c>
      <c r="H889" s="10" t="s">
        <v>1479</v>
      </c>
      <c r="I889" s="10" t="s">
        <v>793</v>
      </c>
      <c r="J889" s="10" t="s">
        <v>2672</v>
      </c>
    </row>
    <row r="890" spans="1:10" ht="15" hidden="1" customHeight="1">
      <c r="A890" s="9">
        <v>886</v>
      </c>
      <c r="B890" s="10" t="s">
        <v>2681</v>
      </c>
      <c r="C890" s="10" t="s">
        <v>2682</v>
      </c>
      <c r="D890" s="10" t="s">
        <v>1004</v>
      </c>
      <c r="E890" s="10" t="s">
        <v>2462</v>
      </c>
      <c r="F890" s="10" t="s">
        <v>794</v>
      </c>
      <c r="G890" s="10" t="s">
        <v>2463</v>
      </c>
      <c r="H890" s="10" t="s">
        <v>1479</v>
      </c>
      <c r="I890" s="10" t="s">
        <v>793</v>
      </c>
      <c r="J890" s="10" t="s">
        <v>1004</v>
      </c>
    </row>
    <row r="891" spans="1:10" ht="15" hidden="1" customHeight="1">
      <c r="A891" s="9">
        <v>887</v>
      </c>
      <c r="B891" s="10" t="s">
        <v>2683</v>
      </c>
      <c r="C891" s="10" t="s">
        <v>2684</v>
      </c>
      <c r="D891" s="10" t="s">
        <v>1004</v>
      </c>
      <c r="E891" s="10" t="s">
        <v>2462</v>
      </c>
      <c r="F891" s="10" t="s">
        <v>794</v>
      </c>
      <c r="G891" s="10" t="s">
        <v>2463</v>
      </c>
      <c r="H891" s="10" t="s">
        <v>1479</v>
      </c>
      <c r="I891" s="10" t="s">
        <v>793</v>
      </c>
      <c r="J891" s="10" t="s">
        <v>2672</v>
      </c>
    </row>
    <row r="892" spans="1:10" ht="15" hidden="1" customHeight="1">
      <c r="A892" s="9">
        <v>888</v>
      </c>
      <c r="B892" s="10" t="s">
        <v>2685</v>
      </c>
      <c r="C892" s="10" t="s">
        <v>2686</v>
      </c>
      <c r="D892" s="10" t="s">
        <v>1004</v>
      </c>
      <c r="E892" s="10" t="s">
        <v>2462</v>
      </c>
      <c r="F892" s="10" t="s">
        <v>794</v>
      </c>
      <c r="G892" s="10" t="s">
        <v>2463</v>
      </c>
      <c r="H892" s="10" t="s">
        <v>1479</v>
      </c>
      <c r="I892" s="10" t="s">
        <v>793</v>
      </c>
      <c r="J892" s="10" t="s">
        <v>1004</v>
      </c>
    </row>
    <row r="893" spans="1:10" ht="15" hidden="1" customHeight="1">
      <c r="A893" s="9">
        <v>889</v>
      </c>
      <c r="B893" s="10" t="s">
        <v>2687</v>
      </c>
      <c r="C893" s="10" t="s">
        <v>2688</v>
      </c>
      <c r="D893" s="10" t="s">
        <v>1004</v>
      </c>
      <c r="E893" s="10" t="s">
        <v>2462</v>
      </c>
      <c r="F893" s="10" t="s">
        <v>794</v>
      </c>
      <c r="G893" s="10" t="s">
        <v>2463</v>
      </c>
      <c r="H893" s="10" t="s">
        <v>1479</v>
      </c>
      <c r="I893" s="10" t="s">
        <v>793</v>
      </c>
      <c r="J893" s="10" t="s">
        <v>1004</v>
      </c>
    </row>
    <row r="894" spans="1:10" ht="15" hidden="1" customHeight="1">
      <c r="A894" s="9">
        <v>890</v>
      </c>
      <c r="B894" s="10" t="s">
        <v>2689</v>
      </c>
      <c r="C894" s="10" t="s">
        <v>2690</v>
      </c>
      <c r="D894" s="10" t="s">
        <v>1004</v>
      </c>
      <c r="E894" s="10" t="s">
        <v>2462</v>
      </c>
      <c r="F894" s="10" t="s">
        <v>794</v>
      </c>
      <c r="G894" s="10" t="s">
        <v>2463</v>
      </c>
      <c r="H894" s="10" t="s">
        <v>1479</v>
      </c>
      <c r="I894" s="10" t="s">
        <v>793</v>
      </c>
      <c r="J894" s="10" t="s">
        <v>1004</v>
      </c>
    </row>
    <row r="895" spans="1:10" ht="15" hidden="1" customHeight="1">
      <c r="A895" s="9">
        <v>891</v>
      </c>
      <c r="B895" s="10" t="s">
        <v>2691</v>
      </c>
      <c r="C895" s="10" t="s">
        <v>2692</v>
      </c>
      <c r="D895" s="10" t="s">
        <v>1004</v>
      </c>
      <c r="E895" s="10" t="s">
        <v>2462</v>
      </c>
      <c r="F895" s="10" t="s">
        <v>794</v>
      </c>
      <c r="G895" s="10" t="s">
        <v>2463</v>
      </c>
      <c r="H895" s="10" t="s">
        <v>1479</v>
      </c>
      <c r="I895" s="10" t="s">
        <v>793</v>
      </c>
      <c r="J895" s="10" t="s">
        <v>1004</v>
      </c>
    </row>
    <row r="896" spans="1:10" ht="15" hidden="1" customHeight="1">
      <c r="A896" s="9">
        <v>892</v>
      </c>
      <c r="B896" s="10" t="s">
        <v>2693</v>
      </c>
      <c r="C896" s="10" t="s">
        <v>2694</v>
      </c>
      <c r="D896" s="10" t="s">
        <v>1004</v>
      </c>
      <c r="E896" s="10" t="s">
        <v>2462</v>
      </c>
      <c r="F896" s="10" t="s">
        <v>794</v>
      </c>
      <c r="G896" s="10" t="s">
        <v>2463</v>
      </c>
      <c r="H896" s="10" t="s">
        <v>1479</v>
      </c>
      <c r="I896" s="10" t="s">
        <v>793</v>
      </c>
      <c r="J896" s="10" t="s">
        <v>1004</v>
      </c>
    </row>
    <row r="897" spans="1:10" ht="15" hidden="1" customHeight="1">
      <c r="A897" s="9">
        <v>893</v>
      </c>
      <c r="B897" s="10" t="s">
        <v>2695</v>
      </c>
      <c r="C897" s="10" t="s">
        <v>2696</v>
      </c>
      <c r="D897" s="10" t="s">
        <v>1004</v>
      </c>
      <c r="E897" s="10" t="s">
        <v>2468</v>
      </c>
      <c r="F897" s="10" t="s">
        <v>794</v>
      </c>
      <c r="G897" s="10" t="s">
        <v>2469</v>
      </c>
      <c r="H897" s="10" t="s">
        <v>1479</v>
      </c>
      <c r="I897" s="10" t="s">
        <v>793</v>
      </c>
      <c r="J897" s="10" t="s">
        <v>1004</v>
      </c>
    </row>
    <row r="898" spans="1:10" ht="15" hidden="1" customHeight="1">
      <c r="A898" s="9">
        <v>894</v>
      </c>
      <c r="B898" s="10" t="s">
        <v>2697</v>
      </c>
      <c r="C898" s="10" t="s">
        <v>2698</v>
      </c>
      <c r="D898" s="10" t="s">
        <v>1004</v>
      </c>
      <c r="E898" s="10" t="s">
        <v>2468</v>
      </c>
      <c r="F898" s="10" t="s">
        <v>794</v>
      </c>
      <c r="G898" s="10" t="s">
        <v>2469</v>
      </c>
      <c r="H898" s="10" t="s">
        <v>1479</v>
      </c>
      <c r="I898" s="10" t="s">
        <v>793</v>
      </c>
      <c r="J898" s="10" t="s">
        <v>1004</v>
      </c>
    </row>
    <row r="899" spans="1:10" ht="15" hidden="1" customHeight="1">
      <c r="A899" s="9">
        <v>895</v>
      </c>
      <c r="B899" s="10" t="s">
        <v>2699</v>
      </c>
      <c r="C899" s="10" t="s">
        <v>2700</v>
      </c>
      <c r="D899" s="10" t="s">
        <v>1004</v>
      </c>
      <c r="E899" s="10" t="s">
        <v>2468</v>
      </c>
      <c r="F899" s="10" t="s">
        <v>794</v>
      </c>
      <c r="G899" s="10" t="s">
        <v>2469</v>
      </c>
      <c r="H899" s="10" t="s">
        <v>1479</v>
      </c>
      <c r="I899" s="10" t="s">
        <v>793</v>
      </c>
      <c r="J899" s="10" t="s">
        <v>1004</v>
      </c>
    </row>
    <row r="900" spans="1:10" ht="15" hidden="1" customHeight="1">
      <c r="A900" s="9">
        <v>896</v>
      </c>
      <c r="B900" s="10" t="s">
        <v>2701</v>
      </c>
      <c r="C900" s="10" t="s">
        <v>2702</v>
      </c>
      <c r="D900" s="10" t="s">
        <v>1004</v>
      </c>
      <c r="E900" s="10" t="s">
        <v>2468</v>
      </c>
      <c r="F900" s="10" t="s">
        <v>794</v>
      </c>
      <c r="G900" s="10" t="s">
        <v>2469</v>
      </c>
      <c r="H900" s="10" t="s">
        <v>1479</v>
      </c>
      <c r="I900" s="10" t="s">
        <v>793</v>
      </c>
      <c r="J900" s="10" t="s">
        <v>1004</v>
      </c>
    </row>
    <row r="901" spans="1:10" ht="15" hidden="1" customHeight="1">
      <c r="A901" s="9">
        <v>897</v>
      </c>
      <c r="B901" s="10" t="s">
        <v>2703</v>
      </c>
      <c r="C901" s="10" t="s">
        <v>2704</v>
      </c>
      <c r="D901" s="10" t="s">
        <v>1004</v>
      </c>
      <c r="E901" s="10" t="s">
        <v>2468</v>
      </c>
      <c r="F901" s="10" t="s">
        <v>794</v>
      </c>
      <c r="G901" s="10" t="s">
        <v>2469</v>
      </c>
      <c r="H901" s="10" t="s">
        <v>1479</v>
      </c>
      <c r="I901" s="10" t="s">
        <v>793</v>
      </c>
      <c r="J901" s="10" t="s">
        <v>1004</v>
      </c>
    </row>
    <row r="902" spans="1:10" ht="15" hidden="1" customHeight="1">
      <c r="A902" s="9">
        <v>898</v>
      </c>
      <c r="B902" s="10" t="s">
        <v>2705</v>
      </c>
      <c r="C902" s="10" t="s">
        <v>2706</v>
      </c>
      <c r="D902" s="10" t="s">
        <v>1004</v>
      </c>
      <c r="E902" s="10" t="s">
        <v>2468</v>
      </c>
      <c r="F902" s="10" t="s">
        <v>794</v>
      </c>
      <c r="G902" s="10" t="s">
        <v>2469</v>
      </c>
      <c r="H902" s="10" t="s">
        <v>1479</v>
      </c>
      <c r="I902" s="10" t="s">
        <v>793</v>
      </c>
      <c r="J902" s="10" t="s">
        <v>1004</v>
      </c>
    </row>
    <row r="903" spans="1:10" ht="15" hidden="1" customHeight="1">
      <c r="A903" s="9">
        <v>899</v>
      </c>
      <c r="B903" s="10" t="s">
        <v>2707</v>
      </c>
      <c r="C903" s="10" t="s">
        <v>2708</v>
      </c>
      <c r="D903" s="10" t="s">
        <v>1004</v>
      </c>
      <c r="E903" s="10" t="s">
        <v>2468</v>
      </c>
      <c r="F903" s="10" t="s">
        <v>794</v>
      </c>
      <c r="G903" s="10" t="s">
        <v>2469</v>
      </c>
      <c r="H903" s="10" t="s">
        <v>1479</v>
      </c>
      <c r="I903" s="10" t="s">
        <v>793</v>
      </c>
      <c r="J903" s="10" t="s">
        <v>1004</v>
      </c>
    </row>
    <row r="904" spans="1:10" ht="15" hidden="1" customHeight="1">
      <c r="A904" s="9">
        <v>900</v>
      </c>
      <c r="B904" s="10" t="s">
        <v>2709</v>
      </c>
      <c r="C904" s="10" t="s">
        <v>2710</v>
      </c>
      <c r="D904" s="10" t="s">
        <v>1004</v>
      </c>
      <c r="E904" s="10" t="s">
        <v>2468</v>
      </c>
      <c r="F904" s="10" t="s">
        <v>794</v>
      </c>
      <c r="G904" s="10" t="s">
        <v>2469</v>
      </c>
      <c r="H904" s="10" t="s">
        <v>1479</v>
      </c>
      <c r="I904" s="10" t="s">
        <v>793</v>
      </c>
      <c r="J904" s="10" t="s">
        <v>1004</v>
      </c>
    </row>
    <row r="905" spans="1:10" ht="15" hidden="1" customHeight="1">
      <c r="A905" s="9">
        <v>901</v>
      </c>
      <c r="B905" s="10" t="s">
        <v>2711</v>
      </c>
      <c r="C905" s="10" t="s">
        <v>2712</v>
      </c>
      <c r="D905" s="10" t="s">
        <v>1004</v>
      </c>
      <c r="E905" s="10" t="s">
        <v>2468</v>
      </c>
      <c r="F905" s="10" t="s">
        <v>794</v>
      </c>
      <c r="G905" s="10" t="s">
        <v>2469</v>
      </c>
      <c r="H905" s="10" t="s">
        <v>1479</v>
      </c>
      <c r="I905" s="10" t="s">
        <v>793</v>
      </c>
      <c r="J905" s="10" t="s">
        <v>1004</v>
      </c>
    </row>
    <row r="906" spans="1:10" ht="15" hidden="1" customHeight="1">
      <c r="A906" s="9">
        <v>902</v>
      </c>
      <c r="B906" s="10" t="s">
        <v>2713</v>
      </c>
      <c r="C906" s="10" t="s">
        <v>2714</v>
      </c>
      <c r="D906" s="10" t="s">
        <v>1004</v>
      </c>
      <c r="E906" s="10" t="s">
        <v>2468</v>
      </c>
      <c r="F906" s="10" t="s">
        <v>794</v>
      </c>
      <c r="G906" s="10" t="s">
        <v>2469</v>
      </c>
      <c r="H906" s="10" t="s">
        <v>1479</v>
      </c>
      <c r="I906" s="10" t="s">
        <v>793</v>
      </c>
      <c r="J906" s="10" t="s">
        <v>1004</v>
      </c>
    </row>
    <row r="907" spans="1:10" ht="15" hidden="1" customHeight="1">
      <c r="A907" s="9">
        <v>903</v>
      </c>
      <c r="B907" s="10" t="s">
        <v>2715</v>
      </c>
      <c r="C907" s="10" t="s">
        <v>2716</v>
      </c>
      <c r="D907" s="10" t="s">
        <v>1004</v>
      </c>
      <c r="E907" s="10" t="s">
        <v>2468</v>
      </c>
      <c r="F907" s="10" t="s">
        <v>794</v>
      </c>
      <c r="G907" s="10" t="s">
        <v>2469</v>
      </c>
      <c r="H907" s="10" t="s">
        <v>1479</v>
      </c>
      <c r="I907" s="10" t="s">
        <v>793</v>
      </c>
      <c r="J907" s="10" t="s">
        <v>1004</v>
      </c>
    </row>
    <row r="908" spans="1:10" ht="15" hidden="1" customHeight="1">
      <c r="A908" s="9">
        <v>904</v>
      </c>
      <c r="B908" s="10" t="s">
        <v>2717</v>
      </c>
      <c r="C908" s="10" t="s">
        <v>2718</v>
      </c>
      <c r="D908" s="10" t="s">
        <v>1004</v>
      </c>
      <c r="E908" s="10" t="s">
        <v>2468</v>
      </c>
      <c r="F908" s="10" t="s">
        <v>794</v>
      </c>
      <c r="G908" s="10" t="s">
        <v>2469</v>
      </c>
      <c r="H908" s="10" t="s">
        <v>1479</v>
      </c>
      <c r="I908" s="10" t="s">
        <v>793</v>
      </c>
      <c r="J908" s="10" t="s">
        <v>1004</v>
      </c>
    </row>
    <row r="909" spans="1:10" ht="15" hidden="1" customHeight="1">
      <c r="A909" s="9">
        <v>905</v>
      </c>
      <c r="B909" s="10" t="s">
        <v>2719</v>
      </c>
      <c r="C909" s="10" t="s">
        <v>2720</v>
      </c>
      <c r="D909" s="10" t="s">
        <v>1004</v>
      </c>
      <c r="E909" s="10" t="s">
        <v>2481</v>
      </c>
      <c r="F909" s="10" t="s">
        <v>794</v>
      </c>
      <c r="G909" s="10" t="s">
        <v>2482</v>
      </c>
      <c r="H909" s="10" t="s">
        <v>1479</v>
      </c>
      <c r="I909" s="10" t="s">
        <v>793</v>
      </c>
      <c r="J909" s="10" t="s">
        <v>1004</v>
      </c>
    </row>
    <row r="910" spans="1:10" ht="15" hidden="1" customHeight="1">
      <c r="A910" s="9">
        <v>906</v>
      </c>
      <c r="B910" s="10" t="s">
        <v>2721</v>
      </c>
      <c r="C910" s="10" t="s">
        <v>2722</v>
      </c>
      <c r="D910" s="10" t="s">
        <v>1004</v>
      </c>
      <c r="E910" s="10" t="s">
        <v>2481</v>
      </c>
      <c r="F910" s="10" t="s">
        <v>794</v>
      </c>
      <c r="G910" s="10" t="s">
        <v>2482</v>
      </c>
      <c r="H910" s="10" t="s">
        <v>1479</v>
      </c>
      <c r="I910" s="10" t="s">
        <v>793</v>
      </c>
      <c r="J910" s="10" t="s">
        <v>1004</v>
      </c>
    </row>
    <row r="911" spans="1:10" ht="15" hidden="1" customHeight="1">
      <c r="A911" s="9">
        <v>907</v>
      </c>
      <c r="B911" s="10" t="s">
        <v>2723</v>
      </c>
      <c r="C911" s="10" t="s">
        <v>2724</v>
      </c>
      <c r="D911" s="10" t="s">
        <v>1004</v>
      </c>
      <c r="E911" s="10" t="s">
        <v>2481</v>
      </c>
      <c r="F911" s="10" t="s">
        <v>794</v>
      </c>
      <c r="G911" s="10" t="s">
        <v>2482</v>
      </c>
      <c r="H911" s="10" t="s">
        <v>1479</v>
      </c>
      <c r="I911" s="10" t="s">
        <v>793</v>
      </c>
      <c r="J911" s="10" t="s">
        <v>1004</v>
      </c>
    </row>
    <row r="912" spans="1:10" ht="15" hidden="1" customHeight="1">
      <c r="A912" s="9">
        <v>908</v>
      </c>
      <c r="B912" s="10" t="s">
        <v>2725</v>
      </c>
      <c r="C912" s="10" t="s">
        <v>2726</v>
      </c>
      <c r="D912" s="10" t="s">
        <v>1004</v>
      </c>
      <c r="E912" s="10" t="s">
        <v>2481</v>
      </c>
      <c r="F912" s="10" t="s">
        <v>794</v>
      </c>
      <c r="G912" s="10" t="s">
        <v>2482</v>
      </c>
      <c r="H912" s="10" t="s">
        <v>1479</v>
      </c>
      <c r="I912" s="10" t="s">
        <v>793</v>
      </c>
      <c r="J912" s="10" t="s">
        <v>1004</v>
      </c>
    </row>
    <row r="913" spans="1:10" ht="15" hidden="1" customHeight="1">
      <c r="A913" s="9">
        <v>909</v>
      </c>
      <c r="B913" s="10" t="s">
        <v>2727</v>
      </c>
      <c r="C913" s="10" t="s">
        <v>2728</v>
      </c>
      <c r="D913" s="10" t="s">
        <v>1004</v>
      </c>
      <c r="E913" s="10" t="s">
        <v>2481</v>
      </c>
      <c r="F913" s="10" t="s">
        <v>794</v>
      </c>
      <c r="G913" s="10" t="s">
        <v>2482</v>
      </c>
      <c r="H913" s="10" t="s">
        <v>1479</v>
      </c>
      <c r="I913" s="10" t="s">
        <v>793</v>
      </c>
      <c r="J913" s="10" t="s">
        <v>1004</v>
      </c>
    </row>
    <row r="914" spans="1:10" ht="15" hidden="1" customHeight="1">
      <c r="A914" s="9">
        <v>910</v>
      </c>
      <c r="B914" s="10" t="s">
        <v>2729</v>
      </c>
      <c r="C914" s="10" t="s">
        <v>2730</v>
      </c>
      <c r="D914" s="10" t="s">
        <v>1004</v>
      </c>
      <c r="E914" s="10" t="s">
        <v>2481</v>
      </c>
      <c r="F914" s="10" t="s">
        <v>794</v>
      </c>
      <c r="G914" s="10" t="s">
        <v>2482</v>
      </c>
      <c r="H914" s="10" t="s">
        <v>1479</v>
      </c>
      <c r="I914" s="10" t="s">
        <v>793</v>
      </c>
      <c r="J914" s="10" t="s">
        <v>1004</v>
      </c>
    </row>
    <row r="915" spans="1:10" ht="15" hidden="1" customHeight="1">
      <c r="A915" s="9">
        <v>911</v>
      </c>
      <c r="B915" s="10" t="s">
        <v>2731</v>
      </c>
      <c r="C915" s="10" t="s">
        <v>2732</v>
      </c>
      <c r="D915" s="10" t="s">
        <v>1004</v>
      </c>
      <c r="E915" s="10" t="s">
        <v>2481</v>
      </c>
      <c r="F915" s="10" t="s">
        <v>794</v>
      </c>
      <c r="G915" s="10" t="s">
        <v>2482</v>
      </c>
      <c r="H915" s="10" t="s">
        <v>1479</v>
      </c>
      <c r="I915" s="10" t="s">
        <v>793</v>
      </c>
      <c r="J915" s="10" t="s">
        <v>1004</v>
      </c>
    </row>
    <row r="916" spans="1:10" ht="15" hidden="1" customHeight="1">
      <c r="A916" s="9">
        <v>912</v>
      </c>
      <c r="B916" s="10" t="s">
        <v>2733</v>
      </c>
      <c r="C916" s="10" t="s">
        <v>2734</v>
      </c>
      <c r="D916" s="10" t="s">
        <v>1004</v>
      </c>
      <c r="E916" s="10" t="s">
        <v>2481</v>
      </c>
      <c r="F916" s="10" t="s">
        <v>794</v>
      </c>
      <c r="G916" s="10" t="s">
        <v>2482</v>
      </c>
      <c r="H916" s="10" t="s">
        <v>1479</v>
      </c>
      <c r="I916" s="10" t="s">
        <v>793</v>
      </c>
      <c r="J916" s="10" t="s">
        <v>1004</v>
      </c>
    </row>
    <row r="917" spans="1:10" ht="15" hidden="1" customHeight="1">
      <c r="A917" s="9">
        <v>913</v>
      </c>
      <c r="B917" s="10" t="s">
        <v>2735</v>
      </c>
      <c r="C917" s="10" t="s">
        <v>2736</v>
      </c>
      <c r="D917" s="10" t="s">
        <v>1004</v>
      </c>
      <c r="E917" s="10" t="s">
        <v>2481</v>
      </c>
      <c r="F917" s="10" t="s">
        <v>794</v>
      </c>
      <c r="G917" s="10" t="s">
        <v>2482</v>
      </c>
      <c r="H917" s="10" t="s">
        <v>1479</v>
      </c>
      <c r="I917" s="10" t="s">
        <v>793</v>
      </c>
      <c r="J917" s="10" t="s">
        <v>1004</v>
      </c>
    </row>
    <row r="918" spans="1:10" ht="15" hidden="1" customHeight="1">
      <c r="A918" s="9">
        <v>914</v>
      </c>
      <c r="B918" s="10" t="s">
        <v>2737</v>
      </c>
      <c r="C918" s="10" t="s">
        <v>2738</v>
      </c>
      <c r="D918" s="10" t="s">
        <v>1004</v>
      </c>
      <c r="E918" s="10" t="s">
        <v>2481</v>
      </c>
      <c r="F918" s="10" t="s">
        <v>794</v>
      </c>
      <c r="G918" s="10" t="s">
        <v>2482</v>
      </c>
      <c r="H918" s="10" t="s">
        <v>1479</v>
      </c>
      <c r="I918" s="10" t="s">
        <v>793</v>
      </c>
      <c r="J918" s="10" t="s">
        <v>1004</v>
      </c>
    </row>
    <row r="919" spans="1:10" ht="15" hidden="1" customHeight="1">
      <c r="A919" s="9">
        <v>915</v>
      </c>
      <c r="B919" s="10" t="s">
        <v>2739</v>
      </c>
      <c r="C919" s="10" t="s">
        <v>2740</v>
      </c>
      <c r="D919" s="10" t="s">
        <v>1004</v>
      </c>
      <c r="E919" s="10" t="s">
        <v>2481</v>
      </c>
      <c r="F919" s="10" t="s">
        <v>794</v>
      </c>
      <c r="G919" s="10" t="s">
        <v>2482</v>
      </c>
      <c r="H919" s="10" t="s">
        <v>1479</v>
      </c>
      <c r="I919" s="10" t="s">
        <v>793</v>
      </c>
      <c r="J919" s="10" t="s">
        <v>1004</v>
      </c>
    </row>
    <row r="920" spans="1:10" ht="15" hidden="1" customHeight="1">
      <c r="A920" s="9">
        <v>916</v>
      </c>
      <c r="B920" s="10" t="s">
        <v>2741</v>
      </c>
      <c r="C920" s="10" t="s">
        <v>2742</v>
      </c>
      <c r="D920" s="10" t="s">
        <v>1004</v>
      </c>
      <c r="E920" s="10" t="s">
        <v>2481</v>
      </c>
      <c r="F920" s="10" t="s">
        <v>794</v>
      </c>
      <c r="G920" s="10" t="s">
        <v>2482</v>
      </c>
      <c r="H920" s="10" t="s">
        <v>1479</v>
      </c>
      <c r="I920" s="10" t="s">
        <v>793</v>
      </c>
      <c r="J920" s="10" t="s">
        <v>1004</v>
      </c>
    </row>
    <row r="921" spans="1:10" ht="15" hidden="1" customHeight="1">
      <c r="A921" s="9">
        <v>917</v>
      </c>
      <c r="B921" s="10" t="s">
        <v>2743</v>
      </c>
      <c r="C921" s="10" t="s">
        <v>2744</v>
      </c>
      <c r="D921" s="10" t="s">
        <v>1004</v>
      </c>
      <c r="E921" s="10" t="s">
        <v>2481</v>
      </c>
      <c r="F921" s="10" t="s">
        <v>794</v>
      </c>
      <c r="G921" s="10" t="s">
        <v>2482</v>
      </c>
      <c r="H921" s="10" t="s">
        <v>1479</v>
      </c>
      <c r="I921" s="10" t="s">
        <v>793</v>
      </c>
      <c r="J921" s="10" t="s">
        <v>1004</v>
      </c>
    </row>
    <row r="922" spans="1:10" ht="15" hidden="1" customHeight="1">
      <c r="A922" s="9">
        <v>918</v>
      </c>
      <c r="B922" s="10" t="s">
        <v>2745</v>
      </c>
      <c r="C922" s="10" t="s">
        <v>2746</v>
      </c>
      <c r="D922" s="10" t="s">
        <v>1004</v>
      </c>
      <c r="E922" s="10" t="s">
        <v>2484</v>
      </c>
      <c r="F922" s="10" t="s">
        <v>794</v>
      </c>
      <c r="G922" s="10" t="s">
        <v>2485</v>
      </c>
      <c r="H922" s="10" t="s">
        <v>1479</v>
      </c>
      <c r="I922" s="10" t="s">
        <v>793</v>
      </c>
      <c r="J922" s="10" t="s">
        <v>1004</v>
      </c>
    </row>
    <row r="923" spans="1:10" ht="15" hidden="1" customHeight="1">
      <c r="A923" s="9">
        <v>919</v>
      </c>
      <c r="B923" s="10" t="s">
        <v>2747</v>
      </c>
      <c r="C923" s="10" t="s">
        <v>2748</v>
      </c>
      <c r="D923" s="10" t="s">
        <v>1004</v>
      </c>
      <c r="E923" s="10" t="s">
        <v>2484</v>
      </c>
      <c r="F923" s="10" t="s">
        <v>794</v>
      </c>
      <c r="G923" s="10" t="s">
        <v>2485</v>
      </c>
      <c r="H923" s="10" t="s">
        <v>1479</v>
      </c>
      <c r="I923" s="10" t="s">
        <v>793</v>
      </c>
      <c r="J923" s="10" t="s">
        <v>1004</v>
      </c>
    </row>
    <row r="924" spans="1:10" ht="15" hidden="1" customHeight="1">
      <c r="A924" s="9">
        <v>920</v>
      </c>
      <c r="B924" s="10" t="s">
        <v>2749</v>
      </c>
      <c r="C924" s="10" t="s">
        <v>2750</v>
      </c>
      <c r="D924" s="10" t="s">
        <v>1004</v>
      </c>
      <c r="E924" s="10" t="s">
        <v>2484</v>
      </c>
      <c r="F924" s="10" t="s">
        <v>794</v>
      </c>
      <c r="G924" s="10" t="s">
        <v>2485</v>
      </c>
      <c r="H924" s="10" t="s">
        <v>1479</v>
      </c>
      <c r="I924" s="10" t="s">
        <v>793</v>
      </c>
      <c r="J924" s="10" t="s">
        <v>1004</v>
      </c>
    </row>
    <row r="925" spans="1:10" ht="15" hidden="1" customHeight="1">
      <c r="A925" s="9">
        <v>921</v>
      </c>
      <c r="B925" s="10" t="s">
        <v>2751</v>
      </c>
      <c r="C925" s="10" t="s">
        <v>2752</v>
      </c>
      <c r="D925" s="10" t="s">
        <v>1004</v>
      </c>
      <c r="E925" s="10" t="s">
        <v>2484</v>
      </c>
      <c r="F925" s="10" t="s">
        <v>794</v>
      </c>
      <c r="G925" s="10" t="s">
        <v>2485</v>
      </c>
      <c r="H925" s="10" t="s">
        <v>1479</v>
      </c>
      <c r="I925" s="10" t="s">
        <v>793</v>
      </c>
      <c r="J925" s="10" t="s">
        <v>1004</v>
      </c>
    </row>
    <row r="926" spans="1:10" ht="15" hidden="1" customHeight="1">
      <c r="A926" s="9">
        <v>922</v>
      </c>
      <c r="B926" s="10" t="s">
        <v>2753</v>
      </c>
      <c r="C926" s="10" t="s">
        <v>2754</v>
      </c>
      <c r="D926" s="10" t="s">
        <v>1004</v>
      </c>
      <c r="E926" s="10" t="s">
        <v>2484</v>
      </c>
      <c r="F926" s="10" t="s">
        <v>794</v>
      </c>
      <c r="G926" s="10" t="s">
        <v>2485</v>
      </c>
      <c r="H926" s="10" t="s">
        <v>1479</v>
      </c>
      <c r="I926" s="10" t="s">
        <v>793</v>
      </c>
      <c r="J926" s="10" t="s">
        <v>1004</v>
      </c>
    </row>
    <row r="927" spans="1:10" ht="15" hidden="1" customHeight="1">
      <c r="A927" s="9">
        <v>923</v>
      </c>
      <c r="B927" s="10" t="s">
        <v>2755</v>
      </c>
      <c r="C927" s="10" t="s">
        <v>2756</v>
      </c>
      <c r="D927" s="10" t="s">
        <v>1004</v>
      </c>
      <c r="E927" s="10" t="s">
        <v>2484</v>
      </c>
      <c r="F927" s="10" t="s">
        <v>794</v>
      </c>
      <c r="G927" s="10" t="s">
        <v>2485</v>
      </c>
      <c r="H927" s="10" t="s">
        <v>1479</v>
      </c>
      <c r="I927" s="10" t="s">
        <v>793</v>
      </c>
      <c r="J927" s="10" t="s">
        <v>1004</v>
      </c>
    </row>
    <row r="928" spans="1:10" ht="15" hidden="1" customHeight="1">
      <c r="A928" s="9">
        <v>924</v>
      </c>
      <c r="B928" s="10" t="s">
        <v>2757</v>
      </c>
      <c r="C928" s="10" t="s">
        <v>2758</v>
      </c>
      <c r="D928" s="10" t="s">
        <v>1004</v>
      </c>
      <c r="E928" s="10" t="s">
        <v>2484</v>
      </c>
      <c r="F928" s="10" t="s">
        <v>794</v>
      </c>
      <c r="G928" s="10" t="s">
        <v>2485</v>
      </c>
      <c r="H928" s="10" t="s">
        <v>1479</v>
      </c>
      <c r="I928" s="10" t="s">
        <v>793</v>
      </c>
      <c r="J928" s="10" t="s">
        <v>1004</v>
      </c>
    </row>
    <row r="929" spans="1:10" ht="15" hidden="1" customHeight="1">
      <c r="A929" s="9">
        <v>925</v>
      </c>
      <c r="B929" s="10" t="s">
        <v>2759</v>
      </c>
      <c r="C929" s="10" t="s">
        <v>2760</v>
      </c>
      <c r="D929" s="10" t="s">
        <v>1004</v>
      </c>
      <c r="E929" s="10" t="s">
        <v>2484</v>
      </c>
      <c r="F929" s="10" t="s">
        <v>794</v>
      </c>
      <c r="G929" s="10" t="s">
        <v>2485</v>
      </c>
      <c r="H929" s="10" t="s">
        <v>1479</v>
      </c>
      <c r="I929" s="10" t="s">
        <v>793</v>
      </c>
      <c r="J929" s="10" t="s">
        <v>1004</v>
      </c>
    </row>
    <row r="930" spans="1:10" ht="15" hidden="1" customHeight="1">
      <c r="A930" s="9">
        <v>926</v>
      </c>
      <c r="B930" s="10" t="s">
        <v>2761</v>
      </c>
      <c r="C930" s="10" t="s">
        <v>2762</v>
      </c>
      <c r="D930" s="10" t="s">
        <v>1004</v>
      </c>
      <c r="E930" s="10" t="s">
        <v>2484</v>
      </c>
      <c r="F930" s="10" t="s">
        <v>794</v>
      </c>
      <c r="G930" s="10" t="s">
        <v>2485</v>
      </c>
      <c r="H930" s="10" t="s">
        <v>1479</v>
      </c>
      <c r="I930" s="10" t="s">
        <v>793</v>
      </c>
      <c r="J930" s="10" t="s">
        <v>1004</v>
      </c>
    </row>
    <row r="931" spans="1:10" ht="15" hidden="1" customHeight="1">
      <c r="A931" s="9">
        <v>927</v>
      </c>
      <c r="B931" s="10" t="s">
        <v>2763</v>
      </c>
      <c r="C931" s="10" t="s">
        <v>2764</v>
      </c>
      <c r="D931" s="10" t="s">
        <v>1004</v>
      </c>
      <c r="E931" s="10" t="s">
        <v>2484</v>
      </c>
      <c r="F931" s="10" t="s">
        <v>794</v>
      </c>
      <c r="G931" s="10" t="s">
        <v>2485</v>
      </c>
      <c r="H931" s="10" t="s">
        <v>1479</v>
      </c>
      <c r="I931" s="10" t="s">
        <v>793</v>
      </c>
      <c r="J931" s="10" t="s">
        <v>1004</v>
      </c>
    </row>
    <row r="932" spans="1:10" ht="15" hidden="1" customHeight="1">
      <c r="A932" s="9">
        <v>928</v>
      </c>
      <c r="B932" s="10" t="s">
        <v>2765</v>
      </c>
      <c r="C932" s="10" t="s">
        <v>2766</v>
      </c>
      <c r="D932" s="10" t="s">
        <v>1004</v>
      </c>
      <c r="E932" s="10" t="s">
        <v>2484</v>
      </c>
      <c r="F932" s="10" t="s">
        <v>794</v>
      </c>
      <c r="G932" s="10" t="s">
        <v>2485</v>
      </c>
      <c r="H932" s="10" t="s">
        <v>1479</v>
      </c>
      <c r="I932" s="10" t="s">
        <v>793</v>
      </c>
      <c r="J932" s="10" t="s">
        <v>1004</v>
      </c>
    </row>
    <row r="933" spans="1:10" ht="15" hidden="1" customHeight="1">
      <c r="A933" s="9">
        <v>929</v>
      </c>
      <c r="B933" s="10" t="s">
        <v>2767</v>
      </c>
      <c r="C933" s="10" t="s">
        <v>2768</v>
      </c>
      <c r="D933" s="10" t="s">
        <v>1004</v>
      </c>
      <c r="E933" s="10" t="s">
        <v>2484</v>
      </c>
      <c r="F933" s="10" t="s">
        <v>794</v>
      </c>
      <c r="G933" s="10" t="s">
        <v>2485</v>
      </c>
      <c r="H933" s="10" t="s">
        <v>1479</v>
      </c>
      <c r="I933" s="10" t="s">
        <v>793</v>
      </c>
      <c r="J933" s="10" t="s">
        <v>1004</v>
      </c>
    </row>
    <row r="934" spans="1:10" ht="15" hidden="1" customHeight="1">
      <c r="A934" s="9">
        <v>930</v>
      </c>
      <c r="B934" s="10" t="s">
        <v>2769</v>
      </c>
      <c r="C934" s="10" t="s">
        <v>2770</v>
      </c>
      <c r="D934" s="10" t="s">
        <v>1004</v>
      </c>
      <c r="E934" s="10" t="s">
        <v>2484</v>
      </c>
      <c r="F934" s="10" t="s">
        <v>794</v>
      </c>
      <c r="G934" s="10" t="s">
        <v>2485</v>
      </c>
      <c r="H934" s="10" t="s">
        <v>1479</v>
      </c>
      <c r="I934" s="10" t="s">
        <v>793</v>
      </c>
      <c r="J934" s="10" t="s">
        <v>1004</v>
      </c>
    </row>
    <row r="935" spans="1:10" ht="15" hidden="1" customHeight="1">
      <c r="A935" s="9">
        <v>931</v>
      </c>
      <c r="B935" s="10" t="s">
        <v>2771</v>
      </c>
      <c r="C935" s="10" t="s">
        <v>2772</v>
      </c>
      <c r="D935" s="10" t="s">
        <v>1004</v>
      </c>
      <c r="E935" s="10" t="s">
        <v>2484</v>
      </c>
      <c r="F935" s="10" t="s">
        <v>794</v>
      </c>
      <c r="G935" s="10" t="s">
        <v>2485</v>
      </c>
      <c r="H935" s="10" t="s">
        <v>1479</v>
      </c>
      <c r="I935" s="10" t="s">
        <v>793</v>
      </c>
      <c r="J935" s="10" t="s">
        <v>1004</v>
      </c>
    </row>
    <row r="936" spans="1:10" ht="15" hidden="1" customHeight="1">
      <c r="A936" s="9">
        <v>932</v>
      </c>
      <c r="B936" s="10" t="s">
        <v>2773</v>
      </c>
      <c r="C936" s="10" t="s">
        <v>2774</v>
      </c>
      <c r="D936" s="10" t="s">
        <v>1004</v>
      </c>
      <c r="E936" s="10" t="s">
        <v>2484</v>
      </c>
      <c r="F936" s="10" t="s">
        <v>794</v>
      </c>
      <c r="G936" s="10" t="s">
        <v>2485</v>
      </c>
      <c r="H936" s="10" t="s">
        <v>1479</v>
      </c>
      <c r="I936" s="10" t="s">
        <v>793</v>
      </c>
      <c r="J936" s="10" t="s">
        <v>1004</v>
      </c>
    </row>
    <row r="937" spans="1:10" ht="15" hidden="1" customHeight="1">
      <c r="A937" s="9">
        <v>933</v>
      </c>
      <c r="B937" s="10" t="s">
        <v>2775</v>
      </c>
      <c r="C937" s="10" t="s">
        <v>2776</v>
      </c>
      <c r="D937" s="10" t="s">
        <v>1004</v>
      </c>
      <c r="E937" s="10" t="s">
        <v>2484</v>
      </c>
      <c r="F937" s="10" t="s">
        <v>794</v>
      </c>
      <c r="G937" s="10" t="s">
        <v>2485</v>
      </c>
      <c r="H937" s="10" t="s">
        <v>1479</v>
      </c>
      <c r="I937" s="10" t="s">
        <v>793</v>
      </c>
      <c r="J937" s="10" t="s">
        <v>1004</v>
      </c>
    </row>
    <row r="938" spans="1:10" ht="15" hidden="1" customHeight="1">
      <c r="A938" s="9">
        <v>934</v>
      </c>
      <c r="B938" s="10" t="s">
        <v>2777</v>
      </c>
      <c r="C938" s="10" t="s">
        <v>2778</v>
      </c>
      <c r="D938" s="10" t="s">
        <v>1004</v>
      </c>
      <c r="E938" s="10" t="s">
        <v>2484</v>
      </c>
      <c r="F938" s="10" t="s">
        <v>794</v>
      </c>
      <c r="G938" s="10" t="s">
        <v>2485</v>
      </c>
      <c r="H938" s="10" t="s">
        <v>1479</v>
      </c>
      <c r="I938" s="10" t="s">
        <v>793</v>
      </c>
      <c r="J938" s="10" t="s">
        <v>1004</v>
      </c>
    </row>
    <row r="939" spans="1:10" ht="15" hidden="1" customHeight="1">
      <c r="A939" s="9">
        <v>935</v>
      </c>
      <c r="B939" s="10" t="s">
        <v>2779</v>
      </c>
      <c r="C939" s="10" t="s">
        <v>2780</v>
      </c>
      <c r="D939" s="10" t="s">
        <v>1004</v>
      </c>
      <c r="E939" s="10" t="s">
        <v>2484</v>
      </c>
      <c r="F939" s="10" t="s">
        <v>794</v>
      </c>
      <c r="G939" s="10" t="s">
        <v>2485</v>
      </c>
      <c r="H939" s="10" t="s">
        <v>1479</v>
      </c>
      <c r="I939" s="10" t="s">
        <v>793</v>
      </c>
      <c r="J939" s="10" t="s">
        <v>1004</v>
      </c>
    </row>
    <row r="940" spans="1:10" ht="15" hidden="1" customHeight="1">
      <c r="A940" s="9">
        <v>936</v>
      </c>
      <c r="B940" s="10" t="s">
        <v>2781</v>
      </c>
      <c r="C940" s="10" t="s">
        <v>2782</v>
      </c>
      <c r="D940" s="10" t="s">
        <v>1004</v>
      </c>
      <c r="E940" s="10" t="s">
        <v>2484</v>
      </c>
      <c r="F940" s="10" t="s">
        <v>794</v>
      </c>
      <c r="G940" s="10" t="s">
        <v>2485</v>
      </c>
      <c r="H940" s="10" t="s">
        <v>1479</v>
      </c>
      <c r="I940" s="10" t="s">
        <v>793</v>
      </c>
      <c r="J940" s="10" t="s">
        <v>1004</v>
      </c>
    </row>
    <row r="941" spans="1:10" ht="15" hidden="1" customHeight="1">
      <c r="A941" s="9">
        <v>937</v>
      </c>
      <c r="B941" s="10" t="s">
        <v>2783</v>
      </c>
      <c r="C941" s="10" t="s">
        <v>2784</v>
      </c>
      <c r="D941" s="10" t="s">
        <v>1004</v>
      </c>
      <c r="E941" s="10" t="s">
        <v>2484</v>
      </c>
      <c r="F941" s="10" t="s">
        <v>794</v>
      </c>
      <c r="G941" s="10" t="s">
        <v>2485</v>
      </c>
      <c r="H941" s="10" t="s">
        <v>1479</v>
      </c>
      <c r="I941" s="10" t="s">
        <v>793</v>
      </c>
      <c r="J941" s="10" t="s">
        <v>1004</v>
      </c>
    </row>
    <row r="942" spans="1:10" ht="15" hidden="1" customHeight="1">
      <c r="A942" s="9">
        <v>938</v>
      </c>
      <c r="B942" s="10" t="s">
        <v>2785</v>
      </c>
      <c r="C942" s="10" t="s">
        <v>2786</v>
      </c>
      <c r="D942" s="10" t="s">
        <v>1004</v>
      </c>
      <c r="E942" s="10" t="s">
        <v>2487</v>
      </c>
      <c r="F942" s="10" t="s">
        <v>794</v>
      </c>
      <c r="G942" s="10" t="s">
        <v>2488</v>
      </c>
      <c r="H942" s="10" t="s">
        <v>1479</v>
      </c>
      <c r="I942" s="10" t="s">
        <v>793</v>
      </c>
      <c r="J942" s="10" t="s">
        <v>1004</v>
      </c>
    </row>
    <row r="943" spans="1:10" ht="15" hidden="1" customHeight="1">
      <c r="A943" s="9">
        <v>939</v>
      </c>
      <c r="B943" s="10" t="s">
        <v>2787</v>
      </c>
      <c r="C943" s="10" t="s">
        <v>2788</v>
      </c>
      <c r="D943" s="10" t="s">
        <v>1004</v>
      </c>
      <c r="E943" s="10" t="s">
        <v>2487</v>
      </c>
      <c r="F943" s="10" t="s">
        <v>794</v>
      </c>
      <c r="G943" s="10" t="s">
        <v>2488</v>
      </c>
      <c r="H943" s="10" t="s">
        <v>1479</v>
      </c>
      <c r="I943" s="10" t="s">
        <v>793</v>
      </c>
      <c r="J943" s="10" t="s">
        <v>1004</v>
      </c>
    </row>
    <row r="944" spans="1:10" ht="15" hidden="1" customHeight="1">
      <c r="A944" s="9">
        <v>940</v>
      </c>
      <c r="B944" s="10" t="s">
        <v>2789</v>
      </c>
      <c r="C944" s="10" t="s">
        <v>2790</v>
      </c>
      <c r="D944" s="10" t="s">
        <v>1004</v>
      </c>
      <c r="E944" s="10" t="s">
        <v>2487</v>
      </c>
      <c r="F944" s="10" t="s">
        <v>794</v>
      </c>
      <c r="G944" s="10" t="s">
        <v>2488</v>
      </c>
      <c r="H944" s="10" t="s">
        <v>1479</v>
      </c>
      <c r="I944" s="10" t="s">
        <v>793</v>
      </c>
      <c r="J944" s="10" t="s">
        <v>1004</v>
      </c>
    </row>
    <row r="945" spans="1:10" ht="15" hidden="1" customHeight="1">
      <c r="A945" s="9">
        <v>941</v>
      </c>
      <c r="B945" s="10" t="s">
        <v>2791</v>
      </c>
      <c r="C945" s="10" t="s">
        <v>2792</v>
      </c>
      <c r="D945" s="10" t="s">
        <v>1004</v>
      </c>
      <c r="E945" s="10" t="s">
        <v>2487</v>
      </c>
      <c r="F945" s="10" t="s">
        <v>794</v>
      </c>
      <c r="G945" s="10" t="s">
        <v>2488</v>
      </c>
      <c r="H945" s="10" t="s">
        <v>1479</v>
      </c>
      <c r="I945" s="10" t="s">
        <v>793</v>
      </c>
      <c r="J945" s="10" t="s">
        <v>1004</v>
      </c>
    </row>
    <row r="946" spans="1:10" ht="15" hidden="1" customHeight="1">
      <c r="A946" s="9">
        <v>942</v>
      </c>
      <c r="B946" s="10" t="s">
        <v>2793</v>
      </c>
      <c r="C946" s="10" t="s">
        <v>2794</v>
      </c>
      <c r="D946" s="10" t="s">
        <v>1004</v>
      </c>
      <c r="E946" s="10" t="s">
        <v>2487</v>
      </c>
      <c r="F946" s="10" t="s">
        <v>794</v>
      </c>
      <c r="G946" s="10" t="s">
        <v>2488</v>
      </c>
      <c r="H946" s="10" t="s">
        <v>1479</v>
      </c>
      <c r="I946" s="10" t="s">
        <v>793</v>
      </c>
      <c r="J946" s="10" t="s">
        <v>1004</v>
      </c>
    </row>
    <row r="947" spans="1:10" ht="15" hidden="1" customHeight="1">
      <c r="A947" s="9">
        <v>943</v>
      </c>
      <c r="B947" s="10" t="s">
        <v>2795</v>
      </c>
      <c r="C947" s="10" t="s">
        <v>2796</v>
      </c>
      <c r="D947" s="10" t="s">
        <v>1004</v>
      </c>
      <c r="E947" s="10" t="s">
        <v>2487</v>
      </c>
      <c r="F947" s="10" t="s">
        <v>794</v>
      </c>
      <c r="G947" s="10" t="s">
        <v>2488</v>
      </c>
      <c r="H947" s="10" t="s">
        <v>1479</v>
      </c>
      <c r="I947" s="10" t="s">
        <v>793</v>
      </c>
      <c r="J947" s="10" t="s">
        <v>1004</v>
      </c>
    </row>
    <row r="948" spans="1:10" ht="15" hidden="1" customHeight="1">
      <c r="A948" s="9">
        <v>944</v>
      </c>
      <c r="B948" s="10" t="s">
        <v>2797</v>
      </c>
      <c r="C948" s="10" t="s">
        <v>2798</v>
      </c>
      <c r="D948" s="10" t="s">
        <v>1004</v>
      </c>
      <c r="E948" s="10" t="s">
        <v>2487</v>
      </c>
      <c r="F948" s="10" t="s">
        <v>794</v>
      </c>
      <c r="G948" s="10" t="s">
        <v>2488</v>
      </c>
      <c r="H948" s="10" t="s">
        <v>1479</v>
      </c>
      <c r="I948" s="10" t="s">
        <v>793</v>
      </c>
      <c r="J948" s="10" t="s">
        <v>1004</v>
      </c>
    </row>
    <row r="949" spans="1:10" ht="15" hidden="1" customHeight="1">
      <c r="A949" s="9">
        <v>945</v>
      </c>
      <c r="B949" s="10" t="s">
        <v>2799</v>
      </c>
      <c r="C949" s="10" t="s">
        <v>2800</v>
      </c>
      <c r="D949" s="10" t="s">
        <v>1004</v>
      </c>
      <c r="E949" s="10" t="s">
        <v>2487</v>
      </c>
      <c r="F949" s="10" t="s">
        <v>794</v>
      </c>
      <c r="G949" s="10" t="s">
        <v>2488</v>
      </c>
      <c r="H949" s="10" t="s">
        <v>1479</v>
      </c>
      <c r="I949" s="10" t="s">
        <v>793</v>
      </c>
      <c r="J949" s="10" t="s">
        <v>1004</v>
      </c>
    </row>
    <row r="950" spans="1:10" ht="15" hidden="1" customHeight="1">
      <c r="A950" s="9">
        <v>946</v>
      </c>
      <c r="B950" s="10" t="s">
        <v>2801</v>
      </c>
      <c r="C950" s="10" t="s">
        <v>2802</v>
      </c>
      <c r="D950" s="10" t="s">
        <v>1004</v>
      </c>
      <c r="E950" s="10" t="s">
        <v>2487</v>
      </c>
      <c r="F950" s="10" t="s">
        <v>794</v>
      </c>
      <c r="G950" s="10" t="s">
        <v>2488</v>
      </c>
      <c r="H950" s="10" t="s">
        <v>1479</v>
      </c>
      <c r="I950" s="10" t="s">
        <v>793</v>
      </c>
      <c r="J950" s="10" t="s">
        <v>1004</v>
      </c>
    </row>
    <row r="951" spans="1:10" ht="15" hidden="1" customHeight="1">
      <c r="A951" s="9">
        <v>947</v>
      </c>
      <c r="B951" s="10" t="s">
        <v>2803</v>
      </c>
      <c r="C951" s="10" t="s">
        <v>2804</v>
      </c>
      <c r="D951" s="10" t="s">
        <v>1004</v>
      </c>
      <c r="E951" s="10" t="s">
        <v>2487</v>
      </c>
      <c r="F951" s="10" t="s">
        <v>794</v>
      </c>
      <c r="G951" s="10" t="s">
        <v>2488</v>
      </c>
      <c r="H951" s="10" t="s">
        <v>1479</v>
      </c>
      <c r="I951" s="10" t="s">
        <v>793</v>
      </c>
      <c r="J951" s="10" t="s">
        <v>1004</v>
      </c>
    </row>
    <row r="952" spans="1:10" ht="15" hidden="1" customHeight="1">
      <c r="A952" s="9">
        <v>948</v>
      </c>
      <c r="B952" s="10" t="s">
        <v>2805</v>
      </c>
      <c r="C952" s="10" t="s">
        <v>2806</v>
      </c>
      <c r="D952" s="10" t="s">
        <v>1004</v>
      </c>
      <c r="E952" s="10" t="s">
        <v>2487</v>
      </c>
      <c r="F952" s="10" t="s">
        <v>794</v>
      </c>
      <c r="G952" s="10" t="s">
        <v>2488</v>
      </c>
      <c r="H952" s="10" t="s">
        <v>1479</v>
      </c>
      <c r="I952" s="10" t="s">
        <v>793</v>
      </c>
      <c r="J952" s="10" t="s">
        <v>1004</v>
      </c>
    </row>
    <row r="953" spans="1:10" ht="15" hidden="1" customHeight="1">
      <c r="A953" s="9">
        <v>949</v>
      </c>
      <c r="B953" s="10" t="s">
        <v>2807</v>
      </c>
      <c r="C953" s="10" t="s">
        <v>2808</v>
      </c>
      <c r="D953" s="10" t="s">
        <v>1004</v>
      </c>
      <c r="E953" s="10" t="s">
        <v>2487</v>
      </c>
      <c r="F953" s="10" t="s">
        <v>794</v>
      </c>
      <c r="G953" s="10" t="s">
        <v>2488</v>
      </c>
      <c r="H953" s="10" t="s">
        <v>1479</v>
      </c>
      <c r="I953" s="10" t="s">
        <v>793</v>
      </c>
      <c r="J953" s="10" t="s">
        <v>1004</v>
      </c>
    </row>
    <row r="954" spans="1:10" ht="15" hidden="1" customHeight="1">
      <c r="A954" s="9">
        <v>950</v>
      </c>
      <c r="B954" s="10" t="s">
        <v>2809</v>
      </c>
      <c r="C954" s="10" t="s">
        <v>2810</v>
      </c>
      <c r="D954" s="10" t="s">
        <v>1004</v>
      </c>
      <c r="E954" s="10" t="s">
        <v>2487</v>
      </c>
      <c r="F954" s="10" t="s">
        <v>794</v>
      </c>
      <c r="G954" s="10" t="s">
        <v>2488</v>
      </c>
      <c r="H954" s="10" t="s">
        <v>1479</v>
      </c>
      <c r="I954" s="10" t="s">
        <v>793</v>
      </c>
      <c r="J954" s="10" t="s">
        <v>1004</v>
      </c>
    </row>
    <row r="955" spans="1:10" ht="15" hidden="1" customHeight="1">
      <c r="A955" s="9">
        <v>951</v>
      </c>
      <c r="B955" s="10" t="s">
        <v>2811</v>
      </c>
      <c r="C955" s="10" t="s">
        <v>2812</v>
      </c>
      <c r="D955" s="10" t="s">
        <v>1004</v>
      </c>
      <c r="E955" s="10" t="s">
        <v>2487</v>
      </c>
      <c r="F955" s="10" t="s">
        <v>794</v>
      </c>
      <c r="G955" s="10" t="s">
        <v>2488</v>
      </c>
      <c r="H955" s="10" t="s">
        <v>1479</v>
      </c>
      <c r="I955" s="10" t="s">
        <v>793</v>
      </c>
      <c r="J955" s="10" t="s">
        <v>1004</v>
      </c>
    </row>
    <row r="956" spans="1:10" ht="15" hidden="1" customHeight="1">
      <c r="A956" s="9">
        <v>952</v>
      </c>
      <c r="B956" s="10" t="s">
        <v>2813</v>
      </c>
      <c r="C956" s="10" t="s">
        <v>2814</v>
      </c>
      <c r="D956" s="10" t="s">
        <v>1004</v>
      </c>
      <c r="E956" s="10" t="s">
        <v>2487</v>
      </c>
      <c r="F956" s="10" t="s">
        <v>794</v>
      </c>
      <c r="G956" s="10" t="s">
        <v>2488</v>
      </c>
      <c r="H956" s="10" t="s">
        <v>1479</v>
      </c>
      <c r="I956" s="10" t="s">
        <v>793</v>
      </c>
      <c r="J956" s="10" t="s">
        <v>1004</v>
      </c>
    </row>
    <row r="957" spans="1:10" ht="15" hidden="1" customHeight="1">
      <c r="A957" s="9">
        <v>953</v>
      </c>
      <c r="B957" s="10" t="s">
        <v>2815</v>
      </c>
      <c r="C957" s="10" t="s">
        <v>2816</v>
      </c>
      <c r="D957" s="10" t="s">
        <v>1004</v>
      </c>
      <c r="E957" s="10" t="s">
        <v>2487</v>
      </c>
      <c r="F957" s="10" t="s">
        <v>794</v>
      </c>
      <c r="G957" s="10" t="s">
        <v>2488</v>
      </c>
      <c r="H957" s="10" t="s">
        <v>1479</v>
      </c>
      <c r="I957" s="10" t="s">
        <v>793</v>
      </c>
      <c r="J957" s="10" t="s">
        <v>1004</v>
      </c>
    </row>
    <row r="958" spans="1:10" ht="15" hidden="1" customHeight="1">
      <c r="A958" s="9">
        <v>954</v>
      </c>
      <c r="B958" s="10" t="s">
        <v>2817</v>
      </c>
      <c r="C958" s="10" t="s">
        <v>2818</v>
      </c>
      <c r="D958" s="10" t="s">
        <v>1004</v>
      </c>
      <c r="E958" s="10" t="s">
        <v>2493</v>
      </c>
      <c r="F958" s="10" t="s">
        <v>794</v>
      </c>
      <c r="G958" s="10" t="s">
        <v>2494</v>
      </c>
      <c r="H958" s="10" t="s">
        <v>1479</v>
      </c>
      <c r="I958" s="10" t="s">
        <v>793</v>
      </c>
      <c r="J958" s="10" t="s">
        <v>1004</v>
      </c>
    </row>
    <row r="959" spans="1:10" ht="15" hidden="1" customHeight="1">
      <c r="A959" s="9">
        <v>955</v>
      </c>
      <c r="B959" s="10" t="s">
        <v>2819</v>
      </c>
      <c r="C959" s="10" t="s">
        <v>2820</v>
      </c>
      <c r="D959" s="10" t="s">
        <v>1004</v>
      </c>
      <c r="E959" s="10" t="s">
        <v>2493</v>
      </c>
      <c r="F959" s="10" t="s">
        <v>794</v>
      </c>
      <c r="G959" s="10" t="s">
        <v>2494</v>
      </c>
      <c r="H959" s="10" t="s">
        <v>1479</v>
      </c>
      <c r="I959" s="10" t="s">
        <v>793</v>
      </c>
      <c r="J959" s="10" t="s">
        <v>1004</v>
      </c>
    </row>
    <row r="960" spans="1:10" ht="15" hidden="1" customHeight="1">
      <c r="A960" s="9">
        <v>956</v>
      </c>
      <c r="B960" s="10" t="s">
        <v>2821</v>
      </c>
      <c r="C960" s="10" t="s">
        <v>2822</v>
      </c>
      <c r="D960" s="10" t="s">
        <v>1004</v>
      </c>
      <c r="E960" s="10" t="s">
        <v>2493</v>
      </c>
      <c r="F960" s="10" t="s">
        <v>794</v>
      </c>
      <c r="G960" s="10" t="s">
        <v>2494</v>
      </c>
      <c r="H960" s="10" t="s">
        <v>1479</v>
      </c>
      <c r="I960" s="10" t="s">
        <v>793</v>
      </c>
      <c r="J960" s="10" t="s">
        <v>1004</v>
      </c>
    </row>
    <row r="961" spans="1:10" ht="15" hidden="1" customHeight="1">
      <c r="A961" s="9">
        <v>957</v>
      </c>
      <c r="B961" s="10" t="s">
        <v>2823</v>
      </c>
      <c r="C961" s="10" t="s">
        <v>2824</v>
      </c>
      <c r="D961" s="10" t="s">
        <v>1004</v>
      </c>
      <c r="E961" s="10" t="s">
        <v>2493</v>
      </c>
      <c r="F961" s="10" t="s">
        <v>794</v>
      </c>
      <c r="G961" s="10" t="s">
        <v>2494</v>
      </c>
      <c r="H961" s="10" t="s">
        <v>1479</v>
      </c>
      <c r="I961" s="10" t="s">
        <v>793</v>
      </c>
      <c r="J961" s="10" t="s">
        <v>1004</v>
      </c>
    </row>
    <row r="962" spans="1:10" ht="15" hidden="1" customHeight="1">
      <c r="A962" s="9">
        <v>958</v>
      </c>
      <c r="B962" s="10" t="s">
        <v>2825</v>
      </c>
      <c r="C962" s="10" t="s">
        <v>2826</v>
      </c>
      <c r="D962" s="10" t="s">
        <v>1004</v>
      </c>
      <c r="E962" s="10" t="s">
        <v>2493</v>
      </c>
      <c r="F962" s="10" t="s">
        <v>794</v>
      </c>
      <c r="G962" s="10" t="s">
        <v>2494</v>
      </c>
      <c r="H962" s="10" t="s">
        <v>1479</v>
      </c>
      <c r="I962" s="10" t="s">
        <v>793</v>
      </c>
      <c r="J962" s="10" t="s">
        <v>1004</v>
      </c>
    </row>
    <row r="963" spans="1:10" ht="15" hidden="1" customHeight="1">
      <c r="A963" s="9">
        <v>959</v>
      </c>
      <c r="B963" s="10" t="s">
        <v>2827</v>
      </c>
      <c r="C963" s="10" t="s">
        <v>2828</v>
      </c>
      <c r="D963" s="10" t="s">
        <v>1004</v>
      </c>
      <c r="E963" s="10" t="s">
        <v>2493</v>
      </c>
      <c r="F963" s="10" t="s">
        <v>794</v>
      </c>
      <c r="G963" s="10" t="s">
        <v>2494</v>
      </c>
      <c r="H963" s="10" t="s">
        <v>1479</v>
      </c>
      <c r="I963" s="10" t="s">
        <v>793</v>
      </c>
      <c r="J963" s="10" t="s">
        <v>1004</v>
      </c>
    </row>
    <row r="964" spans="1:10" ht="15" hidden="1" customHeight="1">
      <c r="A964" s="9">
        <v>960</v>
      </c>
      <c r="B964" s="10" t="s">
        <v>2829</v>
      </c>
      <c r="C964" s="10" t="s">
        <v>2830</v>
      </c>
      <c r="D964" s="10" t="s">
        <v>1004</v>
      </c>
      <c r="E964" s="10" t="s">
        <v>2493</v>
      </c>
      <c r="F964" s="10" t="s">
        <v>794</v>
      </c>
      <c r="G964" s="10" t="s">
        <v>2494</v>
      </c>
      <c r="H964" s="10" t="s">
        <v>1479</v>
      </c>
      <c r="I964" s="10" t="s">
        <v>793</v>
      </c>
      <c r="J964" s="10" t="s">
        <v>1004</v>
      </c>
    </row>
    <row r="965" spans="1:10" ht="15" hidden="1" customHeight="1">
      <c r="A965" s="9">
        <v>961</v>
      </c>
      <c r="B965" s="10" t="s">
        <v>2831</v>
      </c>
      <c r="C965" s="10" t="s">
        <v>2832</v>
      </c>
      <c r="D965" s="10" t="s">
        <v>1004</v>
      </c>
      <c r="E965" s="10" t="s">
        <v>2493</v>
      </c>
      <c r="F965" s="10" t="s">
        <v>794</v>
      </c>
      <c r="G965" s="10" t="s">
        <v>2494</v>
      </c>
      <c r="H965" s="10" t="s">
        <v>1479</v>
      </c>
      <c r="I965" s="10" t="s">
        <v>793</v>
      </c>
      <c r="J965" s="10" t="s">
        <v>1004</v>
      </c>
    </row>
    <row r="966" spans="1:10" ht="15" hidden="1" customHeight="1">
      <c r="A966" s="9">
        <v>962</v>
      </c>
      <c r="B966" s="10" t="s">
        <v>2833</v>
      </c>
      <c r="C966" s="10" t="s">
        <v>2834</v>
      </c>
      <c r="D966" s="10" t="s">
        <v>1004</v>
      </c>
      <c r="E966" s="10" t="s">
        <v>2493</v>
      </c>
      <c r="F966" s="10" t="s">
        <v>794</v>
      </c>
      <c r="G966" s="10" t="s">
        <v>2494</v>
      </c>
      <c r="H966" s="10" t="s">
        <v>1479</v>
      </c>
      <c r="I966" s="10" t="s">
        <v>793</v>
      </c>
      <c r="J966" s="10" t="s">
        <v>1004</v>
      </c>
    </row>
    <row r="967" spans="1:10" ht="15" hidden="1" customHeight="1">
      <c r="A967" s="9">
        <v>963</v>
      </c>
      <c r="B967" s="10" t="s">
        <v>2835</v>
      </c>
      <c r="C967" s="10" t="s">
        <v>2836</v>
      </c>
      <c r="D967" s="10" t="s">
        <v>1004</v>
      </c>
      <c r="E967" s="10" t="s">
        <v>2493</v>
      </c>
      <c r="F967" s="10" t="s">
        <v>794</v>
      </c>
      <c r="G967" s="10" t="s">
        <v>2494</v>
      </c>
      <c r="H967" s="10" t="s">
        <v>1479</v>
      </c>
      <c r="I967" s="10" t="s">
        <v>793</v>
      </c>
      <c r="J967" s="10" t="s">
        <v>1004</v>
      </c>
    </row>
    <row r="968" spans="1:10" ht="15" hidden="1" customHeight="1">
      <c r="A968" s="9">
        <v>964</v>
      </c>
      <c r="B968" s="10" t="s">
        <v>2837</v>
      </c>
      <c r="C968" s="10" t="s">
        <v>2838</v>
      </c>
      <c r="D968" s="10" t="s">
        <v>1004</v>
      </c>
      <c r="E968" s="10" t="s">
        <v>2493</v>
      </c>
      <c r="F968" s="10" t="s">
        <v>794</v>
      </c>
      <c r="G968" s="10" t="s">
        <v>2494</v>
      </c>
      <c r="H968" s="10" t="s">
        <v>1479</v>
      </c>
      <c r="I968" s="10" t="s">
        <v>793</v>
      </c>
      <c r="J968" s="10" t="s">
        <v>1004</v>
      </c>
    </row>
    <row r="969" spans="1:10" ht="15" hidden="1" customHeight="1">
      <c r="A969" s="9">
        <v>965</v>
      </c>
      <c r="B969" s="10" t="s">
        <v>2839</v>
      </c>
      <c r="C969" s="10" t="s">
        <v>2840</v>
      </c>
      <c r="D969" s="10" t="s">
        <v>1004</v>
      </c>
      <c r="E969" s="10" t="s">
        <v>2493</v>
      </c>
      <c r="F969" s="10" t="s">
        <v>794</v>
      </c>
      <c r="G969" s="10" t="s">
        <v>2494</v>
      </c>
      <c r="H969" s="10" t="s">
        <v>1479</v>
      </c>
      <c r="I969" s="10" t="s">
        <v>793</v>
      </c>
      <c r="J969" s="10" t="s">
        <v>2841</v>
      </c>
    </row>
    <row r="970" spans="1:10" ht="15" hidden="1" customHeight="1">
      <c r="A970" s="9">
        <v>966</v>
      </c>
      <c r="B970" s="10" t="s">
        <v>2842</v>
      </c>
      <c r="C970" s="10" t="s">
        <v>2843</v>
      </c>
      <c r="D970" s="10" t="s">
        <v>1004</v>
      </c>
      <c r="E970" s="10" t="s">
        <v>2493</v>
      </c>
      <c r="F970" s="10" t="s">
        <v>794</v>
      </c>
      <c r="G970" s="10" t="s">
        <v>2494</v>
      </c>
      <c r="H970" s="10" t="s">
        <v>1479</v>
      </c>
      <c r="I970" s="10" t="s">
        <v>793</v>
      </c>
      <c r="J970" s="10" t="s">
        <v>2841</v>
      </c>
    </row>
    <row r="971" spans="1:10" ht="15" hidden="1" customHeight="1">
      <c r="A971" s="9">
        <v>967</v>
      </c>
      <c r="B971" s="10" t="s">
        <v>2844</v>
      </c>
      <c r="C971" s="10" t="s">
        <v>2845</v>
      </c>
      <c r="D971" s="10" t="s">
        <v>1004</v>
      </c>
      <c r="E971" s="10" t="s">
        <v>2493</v>
      </c>
      <c r="F971" s="10" t="s">
        <v>794</v>
      </c>
      <c r="G971" s="10" t="s">
        <v>2494</v>
      </c>
      <c r="H971" s="10" t="s">
        <v>1479</v>
      </c>
      <c r="I971" s="10" t="s">
        <v>793</v>
      </c>
      <c r="J971" s="10" t="s">
        <v>2841</v>
      </c>
    </row>
    <row r="972" spans="1:10" ht="15" hidden="1" customHeight="1">
      <c r="A972" s="9">
        <v>968</v>
      </c>
      <c r="B972" s="10" t="s">
        <v>2846</v>
      </c>
      <c r="C972" s="10" t="s">
        <v>2847</v>
      </c>
      <c r="D972" s="10" t="s">
        <v>1004</v>
      </c>
      <c r="E972" s="10" t="s">
        <v>2493</v>
      </c>
      <c r="F972" s="10" t="s">
        <v>794</v>
      </c>
      <c r="G972" s="10" t="s">
        <v>2494</v>
      </c>
      <c r="H972" s="10" t="s">
        <v>1479</v>
      </c>
      <c r="I972" s="10" t="s">
        <v>793</v>
      </c>
      <c r="J972" s="10" t="s">
        <v>2841</v>
      </c>
    </row>
    <row r="973" spans="1:10" ht="15" hidden="1" customHeight="1">
      <c r="A973" s="9">
        <v>969</v>
      </c>
      <c r="B973" s="10" t="s">
        <v>2848</v>
      </c>
      <c r="C973" s="10" t="s">
        <v>2849</v>
      </c>
      <c r="D973" s="10" t="s">
        <v>1004</v>
      </c>
      <c r="E973" s="10" t="s">
        <v>2493</v>
      </c>
      <c r="F973" s="10" t="s">
        <v>794</v>
      </c>
      <c r="G973" s="10" t="s">
        <v>2494</v>
      </c>
      <c r="H973" s="10" t="s">
        <v>1479</v>
      </c>
      <c r="I973" s="10" t="s">
        <v>793</v>
      </c>
      <c r="J973" s="10" t="s">
        <v>2841</v>
      </c>
    </row>
    <row r="974" spans="1:10" ht="15" hidden="1" customHeight="1">
      <c r="A974" s="9">
        <v>970</v>
      </c>
      <c r="B974" s="10" t="s">
        <v>2850</v>
      </c>
      <c r="C974" s="10" t="s">
        <v>2851</v>
      </c>
      <c r="D974" s="10" t="s">
        <v>1004</v>
      </c>
      <c r="E974" s="10" t="s">
        <v>2493</v>
      </c>
      <c r="F974" s="10" t="s">
        <v>794</v>
      </c>
      <c r="G974" s="10" t="s">
        <v>2494</v>
      </c>
      <c r="H974" s="10" t="s">
        <v>1479</v>
      </c>
      <c r="I974" s="10" t="s">
        <v>793</v>
      </c>
      <c r="J974" s="10" t="s">
        <v>2841</v>
      </c>
    </row>
    <row r="975" spans="1:10" ht="15" hidden="1" customHeight="1">
      <c r="A975" s="9">
        <v>971</v>
      </c>
      <c r="B975" s="10" t="s">
        <v>2852</v>
      </c>
      <c r="C975" s="10" t="s">
        <v>2853</v>
      </c>
      <c r="D975" s="10" t="s">
        <v>1004</v>
      </c>
      <c r="E975" s="10" t="s">
        <v>2493</v>
      </c>
      <c r="F975" s="10" t="s">
        <v>794</v>
      </c>
      <c r="G975" s="10" t="s">
        <v>2494</v>
      </c>
      <c r="H975" s="10" t="s">
        <v>1479</v>
      </c>
      <c r="I975" s="10" t="s">
        <v>793</v>
      </c>
      <c r="J975" s="10" t="s">
        <v>2841</v>
      </c>
    </row>
    <row r="976" spans="1:10" ht="15" hidden="1" customHeight="1">
      <c r="A976" s="9">
        <v>972</v>
      </c>
      <c r="B976" s="10" t="s">
        <v>2854</v>
      </c>
      <c r="C976" s="10" t="s">
        <v>2855</v>
      </c>
      <c r="D976" s="10" t="s">
        <v>1004</v>
      </c>
      <c r="E976" s="10" t="s">
        <v>2493</v>
      </c>
      <c r="F976" s="10" t="s">
        <v>794</v>
      </c>
      <c r="G976" s="10" t="s">
        <v>2494</v>
      </c>
      <c r="H976" s="10" t="s">
        <v>1479</v>
      </c>
      <c r="I976" s="10" t="s">
        <v>793</v>
      </c>
      <c r="J976" s="10" t="s">
        <v>1004</v>
      </c>
    </row>
    <row r="977" spans="1:10" ht="15" hidden="1" customHeight="1">
      <c r="A977" s="9">
        <v>973</v>
      </c>
      <c r="B977" s="10" t="s">
        <v>2856</v>
      </c>
      <c r="C977" s="10" t="s">
        <v>2857</v>
      </c>
      <c r="D977" s="10" t="s">
        <v>1004</v>
      </c>
      <c r="E977" s="10" t="s">
        <v>2493</v>
      </c>
      <c r="F977" s="10" t="s">
        <v>794</v>
      </c>
      <c r="G977" s="10" t="s">
        <v>2494</v>
      </c>
      <c r="H977" s="10" t="s">
        <v>1479</v>
      </c>
      <c r="I977" s="10" t="s">
        <v>793</v>
      </c>
      <c r="J977" s="10" t="s">
        <v>1004</v>
      </c>
    </row>
    <row r="978" spans="1:10" ht="15" hidden="1" customHeight="1">
      <c r="A978" s="9">
        <v>974</v>
      </c>
      <c r="B978" s="10" t="s">
        <v>2858</v>
      </c>
      <c r="C978" s="10" t="s">
        <v>2859</v>
      </c>
      <c r="D978" s="10" t="s">
        <v>1004</v>
      </c>
      <c r="E978" s="10" t="s">
        <v>2493</v>
      </c>
      <c r="F978" s="10" t="s">
        <v>794</v>
      </c>
      <c r="G978" s="10" t="s">
        <v>2494</v>
      </c>
      <c r="H978" s="10" t="s">
        <v>1479</v>
      </c>
      <c r="I978" s="10" t="s">
        <v>793</v>
      </c>
      <c r="J978" s="10" t="s">
        <v>1004</v>
      </c>
    </row>
    <row r="979" spans="1:10" ht="15" hidden="1" customHeight="1">
      <c r="A979" s="9">
        <v>975</v>
      </c>
      <c r="B979" s="10" t="s">
        <v>2860</v>
      </c>
      <c r="C979" s="10" t="s">
        <v>2861</v>
      </c>
      <c r="D979" s="10" t="s">
        <v>1004</v>
      </c>
      <c r="E979" s="10" t="s">
        <v>2493</v>
      </c>
      <c r="F979" s="10" t="s">
        <v>794</v>
      </c>
      <c r="G979" s="10" t="s">
        <v>2494</v>
      </c>
      <c r="H979" s="10" t="s">
        <v>1479</v>
      </c>
      <c r="I979" s="10" t="s">
        <v>793</v>
      </c>
      <c r="J979" s="10" t="s">
        <v>1004</v>
      </c>
    </row>
    <row r="980" spans="1:10" ht="15" hidden="1" customHeight="1">
      <c r="A980" s="9">
        <v>976</v>
      </c>
      <c r="B980" s="10" t="s">
        <v>2862</v>
      </c>
      <c r="C980" s="10" t="s">
        <v>2863</v>
      </c>
      <c r="D980" s="10" t="s">
        <v>1004</v>
      </c>
      <c r="E980" s="10" t="s">
        <v>2493</v>
      </c>
      <c r="F980" s="10" t="s">
        <v>794</v>
      </c>
      <c r="G980" s="10" t="s">
        <v>2494</v>
      </c>
      <c r="H980" s="10" t="s">
        <v>1479</v>
      </c>
      <c r="I980" s="10" t="s">
        <v>793</v>
      </c>
      <c r="J980" s="10" t="s">
        <v>1004</v>
      </c>
    </row>
    <row r="981" spans="1:10" ht="15" hidden="1" customHeight="1">
      <c r="A981" s="9">
        <v>977</v>
      </c>
      <c r="B981" s="10" t="s">
        <v>2864</v>
      </c>
      <c r="C981" s="10" t="s">
        <v>2865</v>
      </c>
      <c r="D981" s="10" t="s">
        <v>1004</v>
      </c>
      <c r="E981" s="10" t="s">
        <v>2493</v>
      </c>
      <c r="F981" s="10" t="s">
        <v>794</v>
      </c>
      <c r="G981" s="10" t="s">
        <v>2494</v>
      </c>
      <c r="H981" s="10" t="s">
        <v>1479</v>
      </c>
      <c r="I981" s="10" t="s">
        <v>793</v>
      </c>
      <c r="J981" s="10" t="s">
        <v>1004</v>
      </c>
    </row>
    <row r="982" spans="1:10" ht="15" hidden="1" customHeight="1">
      <c r="A982" s="9">
        <v>978</v>
      </c>
      <c r="B982" s="10" t="s">
        <v>2866</v>
      </c>
      <c r="C982" s="10" t="s">
        <v>2867</v>
      </c>
      <c r="D982" s="10" t="s">
        <v>1004</v>
      </c>
      <c r="E982" s="10" t="s">
        <v>2493</v>
      </c>
      <c r="F982" s="10" t="s">
        <v>794</v>
      </c>
      <c r="G982" s="10" t="s">
        <v>2494</v>
      </c>
      <c r="H982" s="10" t="s">
        <v>1479</v>
      </c>
      <c r="I982" s="10" t="s">
        <v>793</v>
      </c>
      <c r="J982" s="10" t="s">
        <v>1004</v>
      </c>
    </row>
    <row r="983" spans="1:10" ht="15" hidden="1" customHeight="1">
      <c r="A983" s="9">
        <v>979</v>
      </c>
      <c r="B983" s="10" t="s">
        <v>2868</v>
      </c>
      <c r="C983" s="10" t="s">
        <v>2869</v>
      </c>
      <c r="D983" s="10" t="s">
        <v>1004</v>
      </c>
      <c r="E983" s="10" t="s">
        <v>2493</v>
      </c>
      <c r="F983" s="10" t="s">
        <v>794</v>
      </c>
      <c r="G983" s="10" t="s">
        <v>2494</v>
      </c>
      <c r="H983" s="10" t="s">
        <v>1479</v>
      </c>
      <c r="I983" s="10" t="s">
        <v>793</v>
      </c>
      <c r="J983" s="10" t="s">
        <v>1004</v>
      </c>
    </row>
    <row r="984" spans="1:10" ht="15" hidden="1" customHeight="1">
      <c r="A984" s="9">
        <v>980</v>
      </c>
      <c r="B984" s="10" t="s">
        <v>2870</v>
      </c>
      <c r="C984" s="10" t="s">
        <v>2871</v>
      </c>
      <c r="D984" s="10" t="s">
        <v>1004</v>
      </c>
      <c r="E984" s="10" t="s">
        <v>2493</v>
      </c>
      <c r="F984" s="10" t="s">
        <v>794</v>
      </c>
      <c r="G984" s="10" t="s">
        <v>2494</v>
      </c>
      <c r="H984" s="10" t="s">
        <v>1479</v>
      </c>
      <c r="I984" s="10" t="s">
        <v>793</v>
      </c>
      <c r="J984" s="10" t="s">
        <v>1004</v>
      </c>
    </row>
    <row r="985" spans="1:10" ht="15" hidden="1" customHeight="1">
      <c r="A985" s="9">
        <v>981</v>
      </c>
      <c r="B985" s="10" t="s">
        <v>2872</v>
      </c>
      <c r="C985" s="10" t="s">
        <v>2873</v>
      </c>
      <c r="D985" s="10" t="s">
        <v>1004</v>
      </c>
      <c r="E985" s="10" t="s">
        <v>2493</v>
      </c>
      <c r="F985" s="10" t="s">
        <v>794</v>
      </c>
      <c r="G985" s="10" t="s">
        <v>2494</v>
      </c>
      <c r="H985" s="10" t="s">
        <v>1479</v>
      </c>
      <c r="I985" s="10" t="s">
        <v>793</v>
      </c>
      <c r="J985" s="10" t="s">
        <v>1004</v>
      </c>
    </row>
    <row r="986" spans="1:10" ht="15" hidden="1" customHeight="1">
      <c r="A986" s="9">
        <v>982</v>
      </c>
      <c r="B986" s="10" t="s">
        <v>2874</v>
      </c>
      <c r="C986" s="10" t="s">
        <v>2875</v>
      </c>
      <c r="D986" s="10" t="s">
        <v>1004</v>
      </c>
      <c r="E986" s="10" t="s">
        <v>2493</v>
      </c>
      <c r="F986" s="10" t="s">
        <v>794</v>
      </c>
      <c r="G986" s="10" t="s">
        <v>2494</v>
      </c>
      <c r="H986" s="10" t="s">
        <v>1479</v>
      </c>
      <c r="I986" s="10" t="s">
        <v>793</v>
      </c>
      <c r="J986" s="10" t="s">
        <v>1004</v>
      </c>
    </row>
    <row r="987" spans="1:10" ht="15" hidden="1" customHeight="1">
      <c r="A987" s="9">
        <v>983</v>
      </c>
      <c r="B987" s="10" t="s">
        <v>2876</v>
      </c>
      <c r="C987" s="10" t="s">
        <v>2877</v>
      </c>
      <c r="D987" s="10" t="s">
        <v>1004</v>
      </c>
      <c r="E987" s="10" t="s">
        <v>2493</v>
      </c>
      <c r="F987" s="10" t="s">
        <v>794</v>
      </c>
      <c r="G987" s="10" t="s">
        <v>2494</v>
      </c>
      <c r="H987" s="10" t="s">
        <v>1479</v>
      </c>
      <c r="I987" s="10" t="s">
        <v>793</v>
      </c>
      <c r="J987" s="10" t="s">
        <v>1004</v>
      </c>
    </row>
    <row r="988" spans="1:10" ht="15" hidden="1" customHeight="1">
      <c r="A988" s="9">
        <v>984</v>
      </c>
      <c r="B988" s="10" t="s">
        <v>2878</v>
      </c>
      <c r="C988" s="10" t="s">
        <v>2879</v>
      </c>
      <c r="D988" s="10" t="s">
        <v>1004</v>
      </c>
      <c r="E988" s="10" t="s">
        <v>2493</v>
      </c>
      <c r="F988" s="10" t="s">
        <v>794</v>
      </c>
      <c r="G988" s="10" t="s">
        <v>2494</v>
      </c>
      <c r="H988" s="10" t="s">
        <v>1479</v>
      </c>
      <c r="I988" s="10" t="s">
        <v>793</v>
      </c>
      <c r="J988" s="10" t="s">
        <v>1004</v>
      </c>
    </row>
    <row r="989" spans="1:10" ht="15" hidden="1" customHeight="1">
      <c r="A989" s="9">
        <v>985</v>
      </c>
      <c r="B989" s="10" t="s">
        <v>2880</v>
      </c>
      <c r="C989" s="10" t="s">
        <v>2881</v>
      </c>
      <c r="D989" s="10" t="s">
        <v>1004</v>
      </c>
      <c r="E989" s="10" t="s">
        <v>2493</v>
      </c>
      <c r="F989" s="10" t="s">
        <v>794</v>
      </c>
      <c r="G989" s="10" t="s">
        <v>2494</v>
      </c>
      <c r="H989" s="10" t="s">
        <v>1479</v>
      </c>
      <c r="I989" s="10" t="s">
        <v>793</v>
      </c>
      <c r="J989" s="10" t="s">
        <v>1004</v>
      </c>
    </row>
    <row r="990" spans="1:10" ht="15" hidden="1" customHeight="1">
      <c r="A990" s="9">
        <v>986</v>
      </c>
      <c r="B990" s="10" t="s">
        <v>2882</v>
      </c>
      <c r="C990" s="10" t="s">
        <v>2883</v>
      </c>
      <c r="D990" s="10" t="s">
        <v>1004</v>
      </c>
      <c r="E990" s="10" t="s">
        <v>2493</v>
      </c>
      <c r="F990" s="10" t="s">
        <v>794</v>
      </c>
      <c r="G990" s="10" t="s">
        <v>2494</v>
      </c>
      <c r="H990" s="10" t="s">
        <v>1479</v>
      </c>
      <c r="I990" s="10" t="s">
        <v>793</v>
      </c>
      <c r="J990" s="10" t="s">
        <v>1004</v>
      </c>
    </row>
    <row r="991" spans="1:10" ht="15" hidden="1" customHeight="1">
      <c r="A991" s="9">
        <v>987</v>
      </c>
      <c r="B991" s="10" t="s">
        <v>2884</v>
      </c>
      <c r="C991" s="10" t="s">
        <v>2885</v>
      </c>
      <c r="D991" s="10" t="s">
        <v>1004</v>
      </c>
      <c r="E991" s="10" t="s">
        <v>2493</v>
      </c>
      <c r="F991" s="10" t="s">
        <v>794</v>
      </c>
      <c r="G991" s="10" t="s">
        <v>2494</v>
      </c>
      <c r="H991" s="10" t="s">
        <v>1479</v>
      </c>
      <c r="I991" s="10" t="s">
        <v>793</v>
      </c>
      <c r="J991" s="10" t="s">
        <v>1004</v>
      </c>
    </row>
    <row r="992" spans="1:10" ht="15" hidden="1" customHeight="1">
      <c r="A992" s="9">
        <v>988</v>
      </c>
      <c r="B992" s="10" t="s">
        <v>2886</v>
      </c>
      <c r="C992" s="10" t="s">
        <v>2887</v>
      </c>
      <c r="D992" s="10" t="s">
        <v>1004</v>
      </c>
      <c r="E992" s="10" t="s">
        <v>2493</v>
      </c>
      <c r="F992" s="10" t="s">
        <v>794</v>
      </c>
      <c r="G992" s="10" t="s">
        <v>2494</v>
      </c>
      <c r="H992" s="10" t="s">
        <v>1479</v>
      </c>
      <c r="I992" s="10" t="s">
        <v>793</v>
      </c>
      <c r="J992" s="10" t="s">
        <v>1004</v>
      </c>
    </row>
    <row r="993" spans="1:10" ht="15" hidden="1" customHeight="1">
      <c r="A993" s="9">
        <v>989</v>
      </c>
      <c r="B993" s="10" t="s">
        <v>2888</v>
      </c>
      <c r="C993" s="10" t="s">
        <v>2889</v>
      </c>
      <c r="D993" s="10" t="s">
        <v>1004</v>
      </c>
      <c r="E993" s="10" t="s">
        <v>2493</v>
      </c>
      <c r="F993" s="10" t="s">
        <v>794</v>
      </c>
      <c r="G993" s="10" t="s">
        <v>2494</v>
      </c>
      <c r="H993" s="10" t="s">
        <v>1479</v>
      </c>
      <c r="I993" s="10" t="s">
        <v>793</v>
      </c>
      <c r="J993" s="10" t="s">
        <v>1004</v>
      </c>
    </row>
    <row r="994" spans="1:10" ht="15" hidden="1" customHeight="1">
      <c r="A994" s="9">
        <v>990</v>
      </c>
      <c r="B994" s="10" t="s">
        <v>2890</v>
      </c>
      <c r="C994" s="10" t="s">
        <v>2891</v>
      </c>
      <c r="D994" s="10" t="s">
        <v>1004</v>
      </c>
      <c r="E994" s="10" t="s">
        <v>2493</v>
      </c>
      <c r="F994" s="10" t="s">
        <v>794</v>
      </c>
      <c r="G994" s="10" t="s">
        <v>2494</v>
      </c>
      <c r="H994" s="10" t="s">
        <v>1479</v>
      </c>
      <c r="I994" s="10" t="s">
        <v>793</v>
      </c>
      <c r="J994" s="10" t="s">
        <v>1004</v>
      </c>
    </row>
    <row r="995" spans="1:10" ht="15" hidden="1" customHeight="1">
      <c r="A995" s="9">
        <v>991</v>
      </c>
      <c r="B995" s="10" t="s">
        <v>2892</v>
      </c>
      <c r="C995" s="10" t="s">
        <v>2893</v>
      </c>
      <c r="D995" s="10" t="s">
        <v>1004</v>
      </c>
      <c r="E995" s="10" t="s">
        <v>2493</v>
      </c>
      <c r="F995" s="10" t="s">
        <v>794</v>
      </c>
      <c r="G995" s="10" t="s">
        <v>2494</v>
      </c>
      <c r="H995" s="10" t="s">
        <v>1479</v>
      </c>
      <c r="I995" s="10" t="s">
        <v>793</v>
      </c>
      <c r="J995" s="10" t="s">
        <v>1004</v>
      </c>
    </row>
    <row r="996" spans="1:10" ht="15" hidden="1" customHeight="1">
      <c r="A996" s="9">
        <v>992</v>
      </c>
      <c r="B996" s="10" t="s">
        <v>2894</v>
      </c>
      <c r="C996" s="10" t="s">
        <v>2895</v>
      </c>
      <c r="D996" s="10" t="s">
        <v>1004</v>
      </c>
      <c r="E996" s="10" t="s">
        <v>2493</v>
      </c>
      <c r="F996" s="10" t="s">
        <v>794</v>
      </c>
      <c r="G996" s="10" t="s">
        <v>2494</v>
      </c>
      <c r="H996" s="10" t="s">
        <v>1479</v>
      </c>
      <c r="I996" s="10" t="s">
        <v>793</v>
      </c>
      <c r="J996" s="10" t="s">
        <v>1004</v>
      </c>
    </row>
    <row r="997" spans="1:10" ht="15" hidden="1" customHeight="1">
      <c r="A997" s="9">
        <v>993</v>
      </c>
      <c r="B997" s="10" t="s">
        <v>2896</v>
      </c>
      <c r="C997" s="10" t="s">
        <v>2897</v>
      </c>
      <c r="D997" s="10" t="s">
        <v>1004</v>
      </c>
      <c r="E997" s="10" t="s">
        <v>2493</v>
      </c>
      <c r="F997" s="10" t="s">
        <v>794</v>
      </c>
      <c r="G997" s="10" t="s">
        <v>2494</v>
      </c>
      <c r="H997" s="10" t="s">
        <v>1479</v>
      </c>
      <c r="I997" s="10" t="s">
        <v>793</v>
      </c>
      <c r="J997" s="10" t="s">
        <v>1004</v>
      </c>
    </row>
    <row r="998" spans="1:10" ht="15" hidden="1" customHeight="1">
      <c r="A998" s="9">
        <v>994</v>
      </c>
      <c r="B998" s="10" t="s">
        <v>2898</v>
      </c>
      <c r="C998" s="10" t="s">
        <v>2899</v>
      </c>
      <c r="D998" s="10" t="s">
        <v>1004</v>
      </c>
      <c r="E998" s="10" t="s">
        <v>2493</v>
      </c>
      <c r="F998" s="10" t="s">
        <v>794</v>
      </c>
      <c r="G998" s="10" t="s">
        <v>2494</v>
      </c>
      <c r="H998" s="10" t="s">
        <v>1479</v>
      </c>
      <c r="I998" s="10" t="s">
        <v>793</v>
      </c>
      <c r="J998" s="10" t="s">
        <v>1004</v>
      </c>
    </row>
    <row r="999" spans="1:10" ht="15" hidden="1" customHeight="1">
      <c r="A999" s="9">
        <v>995</v>
      </c>
      <c r="B999" s="10" t="s">
        <v>2900</v>
      </c>
      <c r="C999" s="10" t="s">
        <v>2901</v>
      </c>
      <c r="D999" s="10" t="s">
        <v>1004</v>
      </c>
      <c r="E999" s="10" t="s">
        <v>2493</v>
      </c>
      <c r="F999" s="10" t="s">
        <v>794</v>
      </c>
      <c r="G999" s="10" t="s">
        <v>2494</v>
      </c>
      <c r="H999" s="10" t="s">
        <v>1479</v>
      </c>
      <c r="I999" s="10" t="s">
        <v>793</v>
      </c>
      <c r="J999" s="10" t="s">
        <v>1004</v>
      </c>
    </row>
    <row r="1000" spans="1:10" ht="15" hidden="1" customHeight="1">
      <c r="A1000" s="9">
        <v>996</v>
      </c>
      <c r="B1000" s="10" t="s">
        <v>2902</v>
      </c>
      <c r="C1000" s="10" t="s">
        <v>2903</v>
      </c>
      <c r="D1000" s="10" t="s">
        <v>1004</v>
      </c>
      <c r="E1000" s="10" t="s">
        <v>2493</v>
      </c>
      <c r="F1000" s="10" t="s">
        <v>794</v>
      </c>
      <c r="G1000" s="10" t="s">
        <v>2494</v>
      </c>
      <c r="H1000" s="10" t="s">
        <v>1479</v>
      </c>
      <c r="I1000" s="10" t="s">
        <v>793</v>
      </c>
      <c r="J1000" s="10" t="s">
        <v>1004</v>
      </c>
    </row>
    <row r="1001" spans="1:10" ht="15" hidden="1" customHeight="1">
      <c r="A1001" s="9">
        <v>997</v>
      </c>
      <c r="B1001" s="10" t="s">
        <v>2904</v>
      </c>
      <c r="C1001" s="10" t="s">
        <v>2905</v>
      </c>
      <c r="D1001" s="10" t="s">
        <v>1004</v>
      </c>
      <c r="E1001" s="10" t="s">
        <v>2493</v>
      </c>
      <c r="F1001" s="10" t="s">
        <v>794</v>
      </c>
      <c r="G1001" s="10" t="s">
        <v>2494</v>
      </c>
      <c r="H1001" s="10" t="s">
        <v>1479</v>
      </c>
      <c r="I1001" s="10" t="s">
        <v>793</v>
      </c>
      <c r="J1001" s="10" t="s">
        <v>1004</v>
      </c>
    </row>
    <row r="1002" spans="1:10" ht="15" hidden="1" customHeight="1">
      <c r="A1002" s="9">
        <v>998</v>
      </c>
      <c r="B1002" s="10" t="s">
        <v>2906</v>
      </c>
      <c r="C1002" s="10" t="s">
        <v>2907</v>
      </c>
      <c r="D1002" s="10" t="s">
        <v>1004</v>
      </c>
      <c r="E1002" s="10" t="s">
        <v>2493</v>
      </c>
      <c r="F1002" s="10" t="s">
        <v>794</v>
      </c>
      <c r="G1002" s="10" t="s">
        <v>2494</v>
      </c>
      <c r="H1002" s="10" t="s">
        <v>1479</v>
      </c>
      <c r="I1002" s="10" t="s">
        <v>793</v>
      </c>
      <c r="J1002" s="10" t="s">
        <v>1004</v>
      </c>
    </row>
    <row r="1003" spans="1:10" ht="15" hidden="1" customHeight="1">
      <c r="A1003" s="9">
        <v>999</v>
      </c>
      <c r="B1003" s="10" t="s">
        <v>2908</v>
      </c>
      <c r="C1003" s="10" t="s">
        <v>2909</v>
      </c>
      <c r="D1003" s="10" t="s">
        <v>1004</v>
      </c>
      <c r="E1003" s="10" t="s">
        <v>2493</v>
      </c>
      <c r="F1003" s="10" t="s">
        <v>794</v>
      </c>
      <c r="G1003" s="10" t="s">
        <v>2494</v>
      </c>
      <c r="H1003" s="10" t="s">
        <v>1479</v>
      </c>
      <c r="I1003" s="10" t="s">
        <v>793</v>
      </c>
      <c r="J1003" s="10" t="s">
        <v>1004</v>
      </c>
    </row>
    <row r="1004" spans="1:10" ht="15" hidden="1" customHeight="1">
      <c r="A1004" s="9">
        <v>1000</v>
      </c>
      <c r="B1004" s="10" t="s">
        <v>2910</v>
      </c>
      <c r="C1004" s="10" t="s">
        <v>2911</v>
      </c>
      <c r="D1004" s="10" t="s">
        <v>1004</v>
      </c>
      <c r="E1004" s="10" t="s">
        <v>2493</v>
      </c>
      <c r="F1004" s="10" t="s">
        <v>794</v>
      </c>
      <c r="G1004" s="10" t="s">
        <v>2494</v>
      </c>
      <c r="H1004" s="10" t="s">
        <v>1479</v>
      </c>
      <c r="I1004" s="10" t="s">
        <v>793</v>
      </c>
      <c r="J1004" s="10" t="s">
        <v>1004</v>
      </c>
    </row>
    <row r="1005" spans="1:10" ht="15" hidden="1" customHeight="1">
      <c r="A1005" s="9">
        <v>1001</v>
      </c>
      <c r="B1005" s="10" t="s">
        <v>2912</v>
      </c>
      <c r="C1005" s="10" t="s">
        <v>2913</v>
      </c>
      <c r="D1005" s="10" t="s">
        <v>1004</v>
      </c>
      <c r="E1005" s="10" t="s">
        <v>2493</v>
      </c>
      <c r="F1005" s="10" t="s">
        <v>794</v>
      </c>
      <c r="G1005" s="10" t="s">
        <v>2494</v>
      </c>
      <c r="H1005" s="10" t="s">
        <v>1479</v>
      </c>
      <c r="I1005" s="10" t="s">
        <v>793</v>
      </c>
      <c r="J1005" s="10" t="s">
        <v>1004</v>
      </c>
    </row>
    <row r="1006" spans="1:10" ht="15" hidden="1" customHeight="1">
      <c r="A1006" s="9">
        <v>1002</v>
      </c>
      <c r="B1006" s="10" t="s">
        <v>2914</v>
      </c>
      <c r="C1006" s="10" t="s">
        <v>2915</v>
      </c>
      <c r="D1006" s="10" t="s">
        <v>1004</v>
      </c>
      <c r="E1006" s="10" t="s">
        <v>2493</v>
      </c>
      <c r="F1006" s="10" t="s">
        <v>794</v>
      </c>
      <c r="G1006" s="10" t="s">
        <v>2494</v>
      </c>
      <c r="H1006" s="10" t="s">
        <v>1479</v>
      </c>
      <c r="I1006" s="10" t="s">
        <v>793</v>
      </c>
      <c r="J1006" s="10" t="s">
        <v>1004</v>
      </c>
    </row>
    <row r="1007" spans="1:10" ht="15" hidden="1" customHeight="1">
      <c r="A1007" s="9">
        <v>1003</v>
      </c>
      <c r="B1007" s="10" t="s">
        <v>2916</v>
      </c>
      <c r="C1007" s="10" t="s">
        <v>2917</v>
      </c>
      <c r="D1007" s="10" t="s">
        <v>1004</v>
      </c>
      <c r="E1007" s="10" t="s">
        <v>2493</v>
      </c>
      <c r="F1007" s="10" t="s">
        <v>794</v>
      </c>
      <c r="G1007" s="10" t="s">
        <v>2494</v>
      </c>
      <c r="H1007" s="10" t="s">
        <v>1479</v>
      </c>
      <c r="I1007" s="10" t="s">
        <v>793</v>
      </c>
      <c r="J1007" s="10" t="s">
        <v>1004</v>
      </c>
    </row>
    <row r="1008" spans="1:10" ht="15" hidden="1" customHeight="1">
      <c r="A1008" s="9">
        <v>1004</v>
      </c>
      <c r="B1008" s="10" t="s">
        <v>2918</v>
      </c>
      <c r="C1008" s="10" t="s">
        <v>2919</v>
      </c>
      <c r="D1008" s="10" t="s">
        <v>1004</v>
      </c>
      <c r="E1008" s="10" t="s">
        <v>2493</v>
      </c>
      <c r="F1008" s="10" t="s">
        <v>794</v>
      </c>
      <c r="G1008" s="10" t="s">
        <v>2494</v>
      </c>
      <c r="H1008" s="10" t="s">
        <v>1479</v>
      </c>
      <c r="I1008" s="10" t="s">
        <v>793</v>
      </c>
      <c r="J1008" s="10" t="s">
        <v>1004</v>
      </c>
    </row>
    <row r="1009" spans="1:10" ht="15" hidden="1" customHeight="1">
      <c r="A1009" s="9">
        <v>1005</v>
      </c>
      <c r="B1009" s="10" t="s">
        <v>2920</v>
      </c>
      <c r="C1009" s="10" t="s">
        <v>2921</v>
      </c>
      <c r="D1009" s="10" t="s">
        <v>1004</v>
      </c>
      <c r="E1009" s="10" t="s">
        <v>2493</v>
      </c>
      <c r="F1009" s="10" t="s">
        <v>794</v>
      </c>
      <c r="G1009" s="10" t="s">
        <v>2494</v>
      </c>
      <c r="H1009" s="10" t="s">
        <v>1479</v>
      </c>
      <c r="I1009" s="10" t="s">
        <v>793</v>
      </c>
      <c r="J1009" s="10" t="s">
        <v>1004</v>
      </c>
    </row>
    <row r="1010" spans="1:10" ht="15" hidden="1" customHeight="1">
      <c r="A1010" s="9">
        <v>1006</v>
      </c>
      <c r="B1010" s="10" t="s">
        <v>2922</v>
      </c>
      <c r="C1010" s="10" t="s">
        <v>2923</v>
      </c>
      <c r="D1010" s="10" t="s">
        <v>1004</v>
      </c>
      <c r="E1010" s="10" t="s">
        <v>2493</v>
      </c>
      <c r="F1010" s="10" t="s">
        <v>794</v>
      </c>
      <c r="G1010" s="10" t="s">
        <v>2494</v>
      </c>
      <c r="H1010" s="10" t="s">
        <v>1479</v>
      </c>
      <c r="I1010" s="10" t="s">
        <v>793</v>
      </c>
      <c r="J1010" s="10" t="s">
        <v>1004</v>
      </c>
    </row>
    <row r="1011" spans="1:10" ht="15" hidden="1" customHeight="1">
      <c r="A1011" s="9">
        <v>1007</v>
      </c>
      <c r="B1011" s="10" t="s">
        <v>2924</v>
      </c>
      <c r="C1011" s="10" t="s">
        <v>2925</v>
      </c>
      <c r="D1011" s="10" t="s">
        <v>1004</v>
      </c>
      <c r="E1011" s="10" t="s">
        <v>2493</v>
      </c>
      <c r="F1011" s="10" t="s">
        <v>794</v>
      </c>
      <c r="G1011" s="10" t="s">
        <v>2494</v>
      </c>
      <c r="H1011" s="10" t="s">
        <v>1479</v>
      </c>
      <c r="I1011" s="10" t="s">
        <v>793</v>
      </c>
      <c r="J1011" s="10" t="s">
        <v>1004</v>
      </c>
    </row>
    <row r="1012" spans="1:10" ht="15" hidden="1" customHeight="1">
      <c r="A1012" s="9">
        <v>1008</v>
      </c>
      <c r="B1012" s="10" t="s">
        <v>2926</v>
      </c>
      <c r="C1012" s="10" t="s">
        <v>2927</v>
      </c>
      <c r="D1012" s="10" t="s">
        <v>1004</v>
      </c>
      <c r="E1012" s="10" t="s">
        <v>2493</v>
      </c>
      <c r="F1012" s="10" t="s">
        <v>794</v>
      </c>
      <c r="G1012" s="10" t="s">
        <v>2494</v>
      </c>
      <c r="H1012" s="10" t="s">
        <v>1479</v>
      </c>
      <c r="I1012" s="10" t="s">
        <v>793</v>
      </c>
      <c r="J1012" s="10" t="s">
        <v>1004</v>
      </c>
    </row>
    <row r="1013" spans="1:10" ht="15" hidden="1" customHeight="1">
      <c r="A1013" s="9">
        <v>1009</v>
      </c>
      <c r="B1013" s="10" t="s">
        <v>2928</v>
      </c>
      <c r="C1013" s="10" t="s">
        <v>2929</v>
      </c>
      <c r="D1013" s="10" t="s">
        <v>1004</v>
      </c>
      <c r="E1013" s="10" t="s">
        <v>2493</v>
      </c>
      <c r="F1013" s="10" t="s">
        <v>794</v>
      </c>
      <c r="G1013" s="10" t="s">
        <v>2494</v>
      </c>
      <c r="H1013" s="10" t="s">
        <v>1479</v>
      </c>
      <c r="I1013" s="10" t="s">
        <v>793</v>
      </c>
      <c r="J1013" s="10" t="s">
        <v>1004</v>
      </c>
    </row>
    <row r="1014" spans="1:10" ht="15" hidden="1" customHeight="1">
      <c r="A1014" s="9">
        <v>1010</v>
      </c>
      <c r="B1014" s="10" t="s">
        <v>2930</v>
      </c>
      <c r="C1014" s="10" t="s">
        <v>2931</v>
      </c>
      <c r="D1014" s="10" t="s">
        <v>1004</v>
      </c>
      <c r="E1014" s="10" t="s">
        <v>2493</v>
      </c>
      <c r="F1014" s="10" t="s">
        <v>794</v>
      </c>
      <c r="G1014" s="10" t="s">
        <v>2494</v>
      </c>
      <c r="H1014" s="10" t="s">
        <v>1479</v>
      </c>
      <c r="I1014" s="10" t="s">
        <v>793</v>
      </c>
      <c r="J1014" s="10" t="s">
        <v>1004</v>
      </c>
    </row>
    <row r="1015" spans="1:10" ht="15" hidden="1" customHeight="1">
      <c r="A1015" s="9">
        <v>1011</v>
      </c>
      <c r="B1015" s="10" t="s">
        <v>2932</v>
      </c>
      <c r="C1015" s="10" t="s">
        <v>2933</v>
      </c>
      <c r="D1015" s="10" t="s">
        <v>1004</v>
      </c>
      <c r="E1015" s="10" t="s">
        <v>2493</v>
      </c>
      <c r="F1015" s="10" t="s">
        <v>794</v>
      </c>
      <c r="G1015" s="10" t="s">
        <v>2494</v>
      </c>
      <c r="H1015" s="10" t="s">
        <v>1479</v>
      </c>
      <c r="I1015" s="10" t="s">
        <v>793</v>
      </c>
      <c r="J1015" s="10" t="s">
        <v>1004</v>
      </c>
    </row>
    <row r="1016" spans="1:10" ht="15" hidden="1" customHeight="1">
      <c r="A1016" s="9">
        <v>1012</v>
      </c>
      <c r="B1016" s="10" t="s">
        <v>2934</v>
      </c>
      <c r="C1016" s="10" t="s">
        <v>2935</v>
      </c>
      <c r="D1016" s="10" t="s">
        <v>1004</v>
      </c>
      <c r="E1016" s="10" t="s">
        <v>2493</v>
      </c>
      <c r="F1016" s="10" t="s">
        <v>794</v>
      </c>
      <c r="G1016" s="10" t="s">
        <v>2494</v>
      </c>
      <c r="H1016" s="10" t="s">
        <v>1479</v>
      </c>
      <c r="I1016" s="10" t="s">
        <v>793</v>
      </c>
      <c r="J1016" s="10" t="s">
        <v>1004</v>
      </c>
    </row>
    <row r="1017" spans="1:10" ht="15" hidden="1" customHeight="1">
      <c r="A1017" s="9">
        <v>1013</v>
      </c>
      <c r="B1017" s="10" t="s">
        <v>2936</v>
      </c>
      <c r="C1017" s="10" t="s">
        <v>2937</v>
      </c>
      <c r="D1017" s="10" t="s">
        <v>1004</v>
      </c>
      <c r="E1017" s="10" t="s">
        <v>2493</v>
      </c>
      <c r="F1017" s="10" t="s">
        <v>794</v>
      </c>
      <c r="G1017" s="10" t="s">
        <v>2494</v>
      </c>
      <c r="H1017" s="10" t="s">
        <v>1479</v>
      </c>
      <c r="I1017" s="10" t="s">
        <v>793</v>
      </c>
      <c r="J1017" s="10" t="s">
        <v>1004</v>
      </c>
    </row>
    <row r="1018" spans="1:10" ht="15" hidden="1" customHeight="1">
      <c r="A1018" s="9">
        <v>1014</v>
      </c>
      <c r="B1018" s="10" t="s">
        <v>2938</v>
      </c>
      <c r="C1018" s="10" t="s">
        <v>2939</v>
      </c>
      <c r="D1018" s="10" t="s">
        <v>1004</v>
      </c>
      <c r="E1018" s="10" t="s">
        <v>2493</v>
      </c>
      <c r="F1018" s="10" t="s">
        <v>794</v>
      </c>
      <c r="G1018" s="10" t="s">
        <v>2494</v>
      </c>
      <c r="H1018" s="10" t="s">
        <v>1479</v>
      </c>
      <c r="I1018" s="10" t="s">
        <v>793</v>
      </c>
      <c r="J1018" s="10" t="s">
        <v>1004</v>
      </c>
    </row>
    <row r="1019" spans="1:10" ht="15" hidden="1" customHeight="1">
      <c r="A1019" s="9">
        <v>1015</v>
      </c>
      <c r="B1019" s="10" t="s">
        <v>2940</v>
      </c>
      <c r="C1019" s="10" t="s">
        <v>2941</v>
      </c>
      <c r="D1019" s="10" t="s">
        <v>1004</v>
      </c>
      <c r="E1019" s="10" t="s">
        <v>2493</v>
      </c>
      <c r="F1019" s="10" t="s">
        <v>794</v>
      </c>
      <c r="G1019" s="10" t="s">
        <v>2494</v>
      </c>
      <c r="H1019" s="10" t="s">
        <v>1479</v>
      </c>
      <c r="I1019" s="10" t="s">
        <v>793</v>
      </c>
      <c r="J1019" s="10" t="s">
        <v>1004</v>
      </c>
    </row>
    <row r="1020" spans="1:10" ht="15" hidden="1" customHeight="1">
      <c r="A1020" s="9">
        <v>1016</v>
      </c>
      <c r="B1020" s="10" t="s">
        <v>2942</v>
      </c>
      <c r="C1020" s="10" t="s">
        <v>2943</v>
      </c>
      <c r="D1020" s="10" t="s">
        <v>1004</v>
      </c>
      <c r="E1020" s="10" t="s">
        <v>2493</v>
      </c>
      <c r="F1020" s="10" t="s">
        <v>794</v>
      </c>
      <c r="G1020" s="10" t="s">
        <v>2494</v>
      </c>
      <c r="H1020" s="10" t="s">
        <v>1479</v>
      </c>
      <c r="I1020" s="10" t="s">
        <v>793</v>
      </c>
      <c r="J1020" s="10" t="s">
        <v>1004</v>
      </c>
    </row>
    <row r="1021" spans="1:10" ht="15" hidden="1" customHeight="1">
      <c r="A1021" s="9">
        <v>1017</v>
      </c>
      <c r="B1021" s="10" t="s">
        <v>2944</v>
      </c>
      <c r="C1021" s="10" t="s">
        <v>2945</v>
      </c>
      <c r="D1021" s="10" t="s">
        <v>1004</v>
      </c>
      <c r="E1021" s="10" t="s">
        <v>2493</v>
      </c>
      <c r="F1021" s="10" t="s">
        <v>794</v>
      </c>
      <c r="G1021" s="10" t="s">
        <v>2494</v>
      </c>
      <c r="H1021" s="10" t="s">
        <v>1479</v>
      </c>
      <c r="I1021" s="10" t="s">
        <v>794</v>
      </c>
      <c r="J1021" s="10" t="s">
        <v>1004</v>
      </c>
    </row>
    <row r="1022" spans="1:10" ht="15" hidden="1" customHeight="1">
      <c r="A1022" s="9">
        <v>1018</v>
      </c>
      <c r="B1022" s="10" t="s">
        <v>2946</v>
      </c>
      <c r="C1022" s="10" t="s">
        <v>2947</v>
      </c>
      <c r="D1022" s="10" t="s">
        <v>1004</v>
      </c>
      <c r="E1022" s="10" t="s">
        <v>2493</v>
      </c>
      <c r="F1022" s="10" t="s">
        <v>794</v>
      </c>
      <c r="G1022" s="10" t="s">
        <v>2494</v>
      </c>
      <c r="H1022" s="10" t="s">
        <v>1479</v>
      </c>
      <c r="I1022" s="10" t="s">
        <v>794</v>
      </c>
      <c r="J1022" s="10" t="s">
        <v>1004</v>
      </c>
    </row>
    <row r="1023" spans="1:10" ht="15" hidden="1" customHeight="1">
      <c r="A1023" s="9">
        <v>1019</v>
      </c>
      <c r="B1023" s="10" t="s">
        <v>2948</v>
      </c>
      <c r="C1023" s="10" t="s">
        <v>2949</v>
      </c>
      <c r="D1023" s="10" t="s">
        <v>1004</v>
      </c>
      <c r="E1023" s="10" t="s">
        <v>2493</v>
      </c>
      <c r="F1023" s="10" t="s">
        <v>794</v>
      </c>
      <c r="G1023" s="10" t="s">
        <v>2494</v>
      </c>
      <c r="H1023" s="10" t="s">
        <v>1479</v>
      </c>
      <c r="I1023" s="10" t="s">
        <v>793</v>
      </c>
      <c r="J1023" s="10" t="s">
        <v>1004</v>
      </c>
    </row>
    <row r="1024" spans="1:10" ht="15" hidden="1" customHeight="1">
      <c r="A1024" s="9">
        <v>1020</v>
      </c>
      <c r="B1024" s="10" t="s">
        <v>2950</v>
      </c>
      <c r="C1024" s="10" t="s">
        <v>2951</v>
      </c>
      <c r="D1024" s="10" t="s">
        <v>1460</v>
      </c>
      <c r="E1024" s="10" t="s">
        <v>2513</v>
      </c>
      <c r="F1024" s="10" t="s">
        <v>794</v>
      </c>
      <c r="G1024" s="10" t="s">
        <v>2514</v>
      </c>
      <c r="H1024" s="10" t="s">
        <v>1479</v>
      </c>
      <c r="I1024" s="10" t="s">
        <v>793</v>
      </c>
      <c r="J1024" s="10" t="s">
        <v>1460</v>
      </c>
    </row>
    <row r="1025" spans="1:10" ht="15" hidden="1" customHeight="1">
      <c r="A1025" s="9">
        <v>1021</v>
      </c>
      <c r="B1025" s="10" t="s">
        <v>2952</v>
      </c>
      <c r="C1025" s="10" t="s">
        <v>2953</v>
      </c>
      <c r="D1025" s="10" t="s">
        <v>1460</v>
      </c>
      <c r="E1025" s="10" t="s">
        <v>2513</v>
      </c>
      <c r="F1025" s="10" t="s">
        <v>794</v>
      </c>
      <c r="G1025" s="10" t="s">
        <v>2514</v>
      </c>
      <c r="H1025" s="10" t="s">
        <v>1479</v>
      </c>
      <c r="I1025" s="10" t="s">
        <v>793</v>
      </c>
      <c r="J1025" s="10" t="s">
        <v>1460</v>
      </c>
    </row>
    <row r="1026" spans="1:10" ht="15" hidden="1" customHeight="1">
      <c r="A1026" s="9">
        <v>1022</v>
      </c>
      <c r="B1026" s="10" t="s">
        <v>2954</v>
      </c>
      <c r="C1026" s="10" t="s">
        <v>2955</v>
      </c>
      <c r="D1026" s="10" t="s">
        <v>1460</v>
      </c>
      <c r="E1026" s="10" t="s">
        <v>2513</v>
      </c>
      <c r="F1026" s="10" t="s">
        <v>794</v>
      </c>
      <c r="G1026" s="10" t="s">
        <v>2514</v>
      </c>
      <c r="H1026" s="10" t="s">
        <v>1479</v>
      </c>
      <c r="I1026" s="10" t="s">
        <v>793</v>
      </c>
      <c r="J1026" s="10" t="s">
        <v>1460</v>
      </c>
    </row>
    <row r="1027" spans="1:10" ht="15" hidden="1" customHeight="1">
      <c r="A1027" s="9">
        <v>1023</v>
      </c>
      <c r="B1027" s="10" t="s">
        <v>2956</v>
      </c>
      <c r="C1027" s="10" t="s">
        <v>2957</v>
      </c>
      <c r="D1027" s="10" t="s">
        <v>1460</v>
      </c>
      <c r="E1027" s="10" t="s">
        <v>2513</v>
      </c>
      <c r="F1027" s="10" t="s">
        <v>794</v>
      </c>
      <c r="G1027" s="10" t="s">
        <v>2514</v>
      </c>
      <c r="H1027" s="10" t="s">
        <v>1479</v>
      </c>
      <c r="I1027" s="10" t="s">
        <v>793</v>
      </c>
      <c r="J1027" s="10" t="s">
        <v>1460</v>
      </c>
    </row>
    <row r="1028" spans="1:10" ht="15" hidden="1" customHeight="1">
      <c r="A1028" s="9">
        <v>1024</v>
      </c>
      <c r="B1028" s="10" t="s">
        <v>2958</v>
      </c>
      <c r="C1028" s="10" t="s">
        <v>2959</v>
      </c>
      <c r="D1028" s="10" t="s">
        <v>1460</v>
      </c>
      <c r="E1028" s="10" t="s">
        <v>2513</v>
      </c>
      <c r="F1028" s="10" t="s">
        <v>794</v>
      </c>
      <c r="G1028" s="10" t="s">
        <v>2514</v>
      </c>
      <c r="H1028" s="10" t="s">
        <v>1479</v>
      </c>
      <c r="I1028" s="10" t="s">
        <v>793</v>
      </c>
      <c r="J1028" s="10" t="s">
        <v>1460</v>
      </c>
    </row>
    <row r="1029" spans="1:10" ht="15" hidden="1" customHeight="1">
      <c r="A1029" s="9">
        <v>1025</v>
      </c>
      <c r="B1029" s="10" t="s">
        <v>2960</v>
      </c>
      <c r="C1029" s="10" t="s">
        <v>2961</v>
      </c>
      <c r="D1029" s="10" t="s">
        <v>1460</v>
      </c>
      <c r="E1029" s="10" t="s">
        <v>2516</v>
      </c>
      <c r="F1029" s="10" t="s">
        <v>794</v>
      </c>
      <c r="G1029" s="10" t="s">
        <v>2962</v>
      </c>
      <c r="H1029" s="10" t="s">
        <v>1479</v>
      </c>
      <c r="I1029" s="10" t="s">
        <v>793</v>
      </c>
      <c r="J1029" s="10" t="s">
        <v>1460</v>
      </c>
    </row>
    <row r="1030" spans="1:10" ht="15" hidden="1" customHeight="1">
      <c r="A1030" s="9">
        <v>1026</v>
      </c>
      <c r="B1030" s="10" t="s">
        <v>2963</v>
      </c>
      <c r="C1030" s="10" t="s">
        <v>2964</v>
      </c>
      <c r="D1030" s="10" t="s">
        <v>1460</v>
      </c>
      <c r="E1030" s="10" t="s">
        <v>2516</v>
      </c>
      <c r="F1030" s="10" t="s">
        <v>794</v>
      </c>
      <c r="G1030" s="10" t="s">
        <v>2965</v>
      </c>
      <c r="H1030" s="10" t="s">
        <v>1479</v>
      </c>
      <c r="I1030" s="10" t="s">
        <v>793</v>
      </c>
      <c r="J1030" s="10" t="s">
        <v>1460</v>
      </c>
    </row>
    <row r="1031" spans="1:10" ht="15" hidden="1" customHeight="1">
      <c r="A1031" s="9">
        <v>1027</v>
      </c>
      <c r="B1031" s="10" t="s">
        <v>2966</v>
      </c>
      <c r="C1031" s="10" t="s">
        <v>2967</v>
      </c>
      <c r="D1031" s="10" t="s">
        <v>1460</v>
      </c>
      <c r="E1031" s="10" t="s">
        <v>2516</v>
      </c>
      <c r="F1031" s="10" t="s">
        <v>794</v>
      </c>
      <c r="G1031" s="10" t="s">
        <v>2517</v>
      </c>
      <c r="H1031" s="10" t="s">
        <v>1479</v>
      </c>
      <c r="I1031" s="10" t="s">
        <v>793</v>
      </c>
      <c r="J1031" s="10" t="s">
        <v>1460</v>
      </c>
    </row>
    <row r="1032" spans="1:10" ht="15" hidden="1" customHeight="1">
      <c r="A1032" s="9">
        <v>1028</v>
      </c>
      <c r="B1032" s="10" t="s">
        <v>2968</v>
      </c>
      <c r="C1032" s="10" t="s">
        <v>2969</v>
      </c>
      <c r="D1032" s="10" t="s">
        <v>1460</v>
      </c>
      <c r="E1032" s="10" t="s">
        <v>2516</v>
      </c>
      <c r="F1032" s="10" t="s">
        <v>794</v>
      </c>
      <c r="G1032" s="10" t="s">
        <v>2517</v>
      </c>
      <c r="H1032" s="10" t="s">
        <v>1479</v>
      </c>
      <c r="I1032" s="10" t="s">
        <v>793</v>
      </c>
      <c r="J1032" s="10" t="s">
        <v>1475</v>
      </c>
    </row>
    <row r="1033" spans="1:10" ht="15" hidden="1" customHeight="1">
      <c r="A1033" s="9">
        <v>1029</v>
      </c>
      <c r="B1033" s="10" t="s">
        <v>2970</v>
      </c>
      <c r="C1033" s="10" t="s">
        <v>2971</v>
      </c>
      <c r="D1033" s="10" t="s">
        <v>1460</v>
      </c>
      <c r="E1033" s="10" t="s">
        <v>2516</v>
      </c>
      <c r="F1033" s="10" t="s">
        <v>794</v>
      </c>
      <c r="G1033" s="10" t="s">
        <v>2517</v>
      </c>
      <c r="H1033" s="10" t="s">
        <v>1479</v>
      </c>
      <c r="I1033" s="10" t="s">
        <v>793</v>
      </c>
      <c r="J1033" s="10" t="s">
        <v>1460</v>
      </c>
    </row>
    <row r="1034" spans="1:10" ht="15" hidden="1" customHeight="1">
      <c r="A1034" s="9">
        <v>1030</v>
      </c>
      <c r="B1034" s="10" t="s">
        <v>2972</v>
      </c>
      <c r="C1034" s="10" t="s">
        <v>2973</v>
      </c>
      <c r="D1034" s="10" t="s">
        <v>1460</v>
      </c>
      <c r="E1034" s="10" t="s">
        <v>2516</v>
      </c>
      <c r="F1034" s="10" t="s">
        <v>794</v>
      </c>
      <c r="G1034" s="10" t="s">
        <v>2517</v>
      </c>
      <c r="H1034" s="10" t="s">
        <v>1479</v>
      </c>
      <c r="I1034" s="10" t="s">
        <v>793</v>
      </c>
      <c r="J1034" s="10" t="s">
        <v>1460</v>
      </c>
    </row>
    <row r="1035" spans="1:10" ht="15" hidden="1" customHeight="1">
      <c r="A1035" s="9">
        <v>1031</v>
      </c>
      <c r="B1035" s="10" t="s">
        <v>2974</v>
      </c>
      <c r="C1035" s="10" t="s">
        <v>2975</v>
      </c>
      <c r="D1035" s="10" t="s">
        <v>1460</v>
      </c>
      <c r="E1035" s="10" t="s">
        <v>2516</v>
      </c>
      <c r="F1035" s="10" t="s">
        <v>794</v>
      </c>
      <c r="G1035" s="10" t="s">
        <v>2517</v>
      </c>
      <c r="H1035" s="10" t="s">
        <v>1479</v>
      </c>
      <c r="I1035" s="10" t="s">
        <v>793</v>
      </c>
      <c r="J1035" s="10" t="s">
        <v>1475</v>
      </c>
    </row>
    <row r="1036" spans="1:10" ht="15" hidden="1" customHeight="1">
      <c r="A1036" s="9">
        <v>1032</v>
      </c>
      <c r="B1036" s="10" t="s">
        <v>2976</v>
      </c>
      <c r="C1036" s="10" t="s">
        <v>2977</v>
      </c>
      <c r="D1036" s="10" t="s">
        <v>1460</v>
      </c>
      <c r="E1036" s="10" t="s">
        <v>2516</v>
      </c>
      <c r="F1036" s="10" t="s">
        <v>794</v>
      </c>
      <c r="G1036" s="10" t="s">
        <v>2517</v>
      </c>
      <c r="H1036" s="10" t="s">
        <v>1479</v>
      </c>
      <c r="I1036" s="10" t="s">
        <v>793</v>
      </c>
      <c r="J1036" s="10" t="s">
        <v>1460</v>
      </c>
    </row>
    <row r="1037" spans="1:10" ht="15" hidden="1" customHeight="1">
      <c r="A1037" s="9">
        <v>1033</v>
      </c>
      <c r="B1037" s="10" t="s">
        <v>2978</v>
      </c>
      <c r="C1037" s="10" t="s">
        <v>2979</v>
      </c>
      <c r="D1037" s="10" t="s">
        <v>1460</v>
      </c>
      <c r="E1037" s="10" t="s">
        <v>2511</v>
      </c>
      <c r="F1037" s="10" t="s">
        <v>794</v>
      </c>
      <c r="G1037" s="10" t="s">
        <v>2517</v>
      </c>
      <c r="H1037" s="10" t="s">
        <v>1479</v>
      </c>
      <c r="I1037" s="10" t="s">
        <v>793</v>
      </c>
      <c r="J1037" s="10" t="s">
        <v>1460</v>
      </c>
    </row>
    <row r="1038" spans="1:10" ht="15" hidden="1" customHeight="1">
      <c r="A1038" s="9">
        <v>1034</v>
      </c>
      <c r="B1038" s="10" t="s">
        <v>2980</v>
      </c>
      <c r="C1038" s="10" t="s">
        <v>2981</v>
      </c>
      <c r="D1038" s="10" t="s">
        <v>1460</v>
      </c>
      <c r="E1038" s="10" t="s">
        <v>2525</v>
      </c>
      <c r="F1038" s="10" t="s">
        <v>794</v>
      </c>
      <c r="G1038" s="10" t="s">
        <v>2526</v>
      </c>
      <c r="H1038" s="10" t="s">
        <v>1479</v>
      </c>
      <c r="I1038" s="10" t="s">
        <v>794</v>
      </c>
      <c r="J1038" s="10" t="s">
        <v>2527</v>
      </c>
    </row>
    <row r="1039" spans="1:10" ht="15" hidden="1" customHeight="1">
      <c r="A1039" s="9">
        <v>1035</v>
      </c>
      <c r="B1039" s="10" t="s">
        <v>2982</v>
      </c>
      <c r="C1039" s="10" t="s">
        <v>2983</v>
      </c>
      <c r="D1039" s="10" t="s">
        <v>1460</v>
      </c>
      <c r="E1039" s="10" t="s">
        <v>2525</v>
      </c>
      <c r="F1039" s="10" t="s">
        <v>794</v>
      </c>
      <c r="G1039" s="10" t="s">
        <v>2526</v>
      </c>
      <c r="H1039" s="10" t="s">
        <v>1479</v>
      </c>
      <c r="I1039" s="10" t="s">
        <v>794</v>
      </c>
      <c r="J1039" s="10" t="s">
        <v>2527</v>
      </c>
    </row>
    <row r="1040" spans="1:10" ht="15" hidden="1" customHeight="1">
      <c r="A1040" s="9">
        <v>1036</v>
      </c>
      <c r="B1040" s="10" t="s">
        <v>2984</v>
      </c>
      <c r="C1040" s="10" t="s">
        <v>2985</v>
      </c>
      <c r="D1040" s="10" t="s">
        <v>1460</v>
      </c>
      <c r="E1040" s="10" t="s">
        <v>2525</v>
      </c>
      <c r="F1040" s="10" t="s">
        <v>794</v>
      </c>
      <c r="G1040" s="10" t="s">
        <v>2526</v>
      </c>
      <c r="H1040" s="10" t="s">
        <v>1479</v>
      </c>
      <c r="I1040" s="10" t="s">
        <v>794</v>
      </c>
      <c r="J1040" s="10" t="s">
        <v>2527</v>
      </c>
    </row>
    <row r="1041" spans="1:10" ht="15" hidden="1" customHeight="1">
      <c r="A1041" s="9">
        <v>1037</v>
      </c>
      <c r="B1041" s="10" t="s">
        <v>2986</v>
      </c>
      <c r="C1041" s="10" t="s">
        <v>2987</v>
      </c>
      <c r="D1041" s="10" t="s">
        <v>1460</v>
      </c>
      <c r="E1041" s="10" t="s">
        <v>2525</v>
      </c>
      <c r="F1041" s="10" t="s">
        <v>794</v>
      </c>
      <c r="G1041" s="10" t="s">
        <v>2526</v>
      </c>
      <c r="H1041" s="10" t="s">
        <v>1479</v>
      </c>
      <c r="I1041" s="10" t="s">
        <v>794</v>
      </c>
      <c r="J1041" s="10" t="s">
        <v>2527</v>
      </c>
    </row>
    <row r="1042" spans="1:10" ht="15" hidden="1" customHeight="1">
      <c r="A1042" s="9">
        <v>1038</v>
      </c>
      <c r="B1042" s="10" t="s">
        <v>2988</v>
      </c>
      <c r="C1042" s="10" t="s">
        <v>2989</v>
      </c>
      <c r="D1042" s="10" t="s">
        <v>1004</v>
      </c>
      <c r="E1042" s="10" t="s">
        <v>2531</v>
      </c>
      <c r="F1042" s="10" t="s">
        <v>794</v>
      </c>
      <c r="G1042" s="10" t="s">
        <v>2532</v>
      </c>
      <c r="H1042" s="10" t="s">
        <v>1479</v>
      </c>
      <c r="I1042" s="10" t="s">
        <v>794</v>
      </c>
      <c r="J1042" s="10" t="s">
        <v>1004</v>
      </c>
    </row>
    <row r="1043" spans="1:10" ht="15" hidden="1" customHeight="1">
      <c r="A1043" s="9">
        <v>1039</v>
      </c>
      <c r="B1043" s="10" t="s">
        <v>2990</v>
      </c>
      <c r="C1043" s="10" t="s">
        <v>2991</v>
      </c>
      <c r="D1043" s="10" t="s">
        <v>1004</v>
      </c>
      <c r="E1043" s="10" t="s">
        <v>2531</v>
      </c>
      <c r="F1043" s="10" t="s">
        <v>794</v>
      </c>
      <c r="G1043" s="10" t="s">
        <v>2532</v>
      </c>
      <c r="H1043" s="10" t="s">
        <v>1479</v>
      </c>
      <c r="I1043" s="10" t="s">
        <v>794</v>
      </c>
      <c r="J1043" s="10" t="s">
        <v>1004</v>
      </c>
    </row>
    <row r="1044" spans="1:10" ht="15" hidden="1" customHeight="1">
      <c r="A1044" s="9">
        <v>1040</v>
      </c>
      <c r="B1044" s="10" t="s">
        <v>2992</v>
      </c>
      <c r="C1044" s="10" t="s">
        <v>2993</v>
      </c>
      <c r="D1044" s="10" t="s">
        <v>1004</v>
      </c>
      <c r="E1044" s="10" t="s">
        <v>2531</v>
      </c>
      <c r="F1044" s="10" t="s">
        <v>794</v>
      </c>
      <c r="G1044" s="10" t="s">
        <v>2532</v>
      </c>
      <c r="H1044" s="10" t="s">
        <v>1479</v>
      </c>
      <c r="I1044" s="10" t="s">
        <v>794</v>
      </c>
      <c r="J1044" s="10" t="s">
        <v>1004</v>
      </c>
    </row>
    <row r="1045" spans="1:10" ht="15" hidden="1" customHeight="1">
      <c r="A1045" s="9">
        <v>1041</v>
      </c>
      <c r="B1045" s="10" t="s">
        <v>2994</v>
      </c>
      <c r="C1045" s="10" t="s">
        <v>2995</v>
      </c>
      <c r="D1045" s="10" t="s">
        <v>1004</v>
      </c>
      <c r="E1045" s="10" t="s">
        <v>2531</v>
      </c>
      <c r="F1045" s="10" t="s">
        <v>794</v>
      </c>
      <c r="G1045" s="10" t="s">
        <v>2532</v>
      </c>
      <c r="H1045" s="10" t="s">
        <v>1479</v>
      </c>
      <c r="I1045" s="10" t="s">
        <v>794</v>
      </c>
      <c r="J1045" s="10" t="s">
        <v>1004</v>
      </c>
    </row>
    <row r="1046" spans="1:10" ht="15" hidden="1" customHeight="1">
      <c r="A1046" s="9">
        <v>1042</v>
      </c>
      <c r="B1046" s="10" t="s">
        <v>2996</v>
      </c>
      <c r="C1046" s="10" t="s">
        <v>2997</v>
      </c>
      <c r="D1046" s="10" t="s">
        <v>1004</v>
      </c>
      <c r="E1046" s="10" t="s">
        <v>2531</v>
      </c>
      <c r="F1046" s="10" t="s">
        <v>794</v>
      </c>
      <c r="G1046" s="10" t="s">
        <v>2998</v>
      </c>
      <c r="H1046" s="10" t="s">
        <v>1479</v>
      </c>
      <c r="I1046" s="10" t="s">
        <v>794</v>
      </c>
      <c r="J1046" s="10" t="s">
        <v>1004</v>
      </c>
    </row>
    <row r="1047" spans="1:10" ht="15" hidden="1" customHeight="1">
      <c r="A1047" s="9">
        <v>1043</v>
      </c>
      <c r="B1047" s="10" t="s">
        <v>2999</v>
      </c>
      <c r="C1047" s="10" t="s">
        <v>3000</v>
      </c>
      <c r="D1047" s="10" t="s">
        <v>1004</v>
      </c>
      <c r="E1047" s="10" t="s">
        <v>2531</v>
      </c>
      <c r="F1047" s="10" t="s">
        <v>794</v>
      </c>
      <c r="G1047" s="10" t="s">
        <v>2998</v>
      </c>
      <c r="H1047" s="10" t="s">
        <v>1479</v>
      </c>
      <c r="I1047" s="10" t="s">
        <v>794</v>
      </c>
      <c r="J1047" s="10" t="s">
        <v>2527</v>
      </c>
    </row>
    <row r="1048" spans="1:10" ht="15" hidden="1" customHeight="1">
      <c r="A1048" s="9">
        <v>1044</v>
      </c>
      <c r="B1048" s="10" t="s">
        <v>3001</v>
      </c>
      <c r="C1048" s="10" t="s">
        <v>3002</v>
      </c>
      <c r="D1048" s="10" t="s">
        <v>1004</v>
      </c>
      <c r="E1048" s="10" t="s">
        <v>2531</v>
      </c>
      <c r="F1048" s="10" t="s">
        <v>794</v>
      </c>
      <c r="G1048" s="10" t="s">
        <v>2998</v>
      </c>
      <c r="H1048" s="10" t="s">
        <v>1479</v>
      </c>
      <c r="I1048" s="10" t="s">
        <v>794</v>
      </c>
      <c r="J1048" s="10" t="s">
        <v>1004</v>
      </c>
    </row>
    <row r="1049" spans="1:10" ht="15" hidden="1" customHeight="1">
      <c r="A1049" s="9">
        <v>1045</v>
      </c>
      <c r="B1049" s="10" t="s">
        <v>3003</v>
      </c>
      <c r="C1049" s="10" t="s">
        <v>3004</v>
      </c>
      <c r="D1049" s="10" t="s">
        <v>1004</v>
      </c>
      <c r="E1049" s="10" t="s">
        <v>2531</v>
      </c>
      <c r="F1049" s="10" t="s">
        <v>794</v>
      </c>
      <c r="G1049" s="10" t="s">
        <v>2998</v>
      </c>
      <c r="H1049" s="10" t="s">
        <v>1479</v>
      </c>
      <c r="I1049" s="10" t="s">
        <v>794</v>
      </c>
      <c r="J1049" s="10" t="s">
        <v>1004</v>
      </c>
    </row>
    <row r="1050" spans="1:10" ht="15" hidden="1" customHeight="1">
      <c r="A1050" s="9">
        <v>1046</v>
      </c>
      <c r="B1050" s="10" t="s">
        <v>3005</v>
      </c>
      <c r="C1050" s="10" t="s">
        <v>3006</v>
      </c>
      <c r="D1050" s="10" t="s">
        <v>1004</v>
      </c>
      <c r="E1050" s="10" t="s">
        <v>2531</v>
      </c>
      <c r="F1050" s="10" t="s">
        <v>794</v>
      </c>
      <c r="G1050" s="10" t="s">
        <v>2998</v>
      </c>
      <c r="H1050" s="10" t="s">
        <v>1479</v>
      </c>
      <c r="I1050" s="10" t="s">
        <v>794</v>
      </c>
      <c r="J1050" s="10" t="s">
        <v>1004</v>
      </c>
    </row>
    <row r="1051" spans="1:10" ht="15" hidden="1" customHeight="1">
      <c r="A1051" s="9">
        <v>1047</v>
      </c>
      <c r="B1051" s="10" t="s">
        <v>3007</v>
      </c>
      <c r="C1051" s="10" t="s">
        <v>3008</v>
      </c>
      <c r="D1051" s="10" t="s">
        <v>1004</v>
      </c>
      <c r="E1051" s="10" t="s">
        <v>2531</v>
      </c>
      <c r="F1051" s="10" t="s">
        <v>794</v>
      </c>
      <c r="G1051" s="10" t="s">
        <v>2998</v>
      </c>
      <c r="H1051" s="10" t="s">
        <v>1479</v>
      </c>
      <c r="I1051" s="10" t="s">
        <v>794</v>
      </c>
      <c r="J1051" s="10" t="s">
        <v>1004</v>
      </c>
    </row>
    <row r="1052" spans="1:10" ht="15" hidden="1" customHeight="1">
      <c r="A1052" s="9">
        <v>1048</v>
      </c>
      <c r="B1052" s="10" t="s">
        <v>3009</v>
      </c>
      <c r="C1052" s="10" t="s">
        <v>3010</v>
      </c>
      <c r="D1052" s="10" t="s">
        <v>1004</v>
      </c>
      <c r="E1052" s="10" t="s">
        <v>2531</v>
      </c>
      <c r="F1052" s="10" t="s">
        <v>794</v>
      </c>
      <c r="G1052" s="10" t="s">
        <v>2998</v>
      </c>
      <c r="H1052" s="10" t="s">
        <v>1479</v>
      </c>
      <c r="I1052" s="10" t="s">
        <v>794</v>
      </c>
      <c r="J1052" s="10" t="s">
        <v>1004</v>
      </c>
    </row>
    <row r="1053" spans="1:10" ht="15" hidden="1" customHeight="1">
      <c r="A1053" s="9">
        <v>1049</v>
      </c>
      <c r="B1053" s="10" t="s">
        <v>3011</v>
      </c>
      <c r="C1053" s="10" t="s">
        <v>3012</v>
      </c>
      <c r="D1053" s="10" t="s">
        <v>1004</v>
      </c>
      <c r="E1053" s="10" t="s">
        <v>2531</v>
      </c>
      <c r="F1053" s="10" t="s">
        <v>794</v>
      </c>
      <c r="G1053" s="10" t="s">
        <v>2998</v>
      </c>
      <c r="H1053" s="10" t="s">
        <v>1479</v>
      </c>
      <c r="I1053" s="10" t="s">
        <v>794</v>
      </c>
      <c r="J1053" s="10" t="s">
        <v>1004</v>
      </c>
    </row>
    <row r="1054" spans="1:10" ht="15" hidden="1" customHeight="1">
      <c r="A1054" s="9">
        <v>1050</v>
      </c>
      <c r="B1054" s="10" t="s">
        <v>3013</v>
      </c>
      <c r="C1054" s="10" t="s">
        <v>3014</v>
      </c>
      <c r="D1054" s="10" t="s">
        <v>1004</v>
      </c>
      <c r="E1054" s="10" t="s">
        <v>2531</v>
      </c>
      <c r="F1054" s="10" t="s">
        <v>794</v>
      </c>
      <c r="G1054" s="10" t="s">
        <v>2998</v>
      </c>
      <c r="H1054" s="10" t="s">
        <v>1479</v>
      </c>
      <c r="I1054" s="10" t="s">
        <v>794</v>
      </c>
      <c r="J1054" s="10" t="s">
        <v>1004</v>
      </c>
    </row>
    <row r="1055" spans="1:10" ht="15" hidden="1" customHeight="1">
      <c r="A1055" s="9">
        <v>1051</v>
      </c>
      <c r="B1055" s="10" t="s">
        <v>3015</v>
      </c>
      <c r="C1055" s="10" t="s">
        <v>3016</v>
      </c>
      <c r="D1055" s="10" t="s">
        <v>1004</v>
      </c>
      <c r="E1055" s="10" t="s">
        <v>2531</v>
      </c>
      <c r="F1055" s="10" t="s">
        <v>794</v>
      </c>
      <c r="G1055" s="10" t="s">
        <v>2998</v>
      </c>
      <c r="H1055" s="10" t="s">
        <v>1479</v>
      </c>
      <c r="I1055" s="10" t="s">
        <v>794</v>
      </c>
      <c r="J1055" s="10" t="s">
        <v>1004</v>
      </c>
    </row>
    <row r="1056" spans="1:10" ht="15" hidden="1" customHeight="1">
      <c r="A1056" s="9">
        <v>1052</v>
      </c>
      <c r="B1056" s="10" t="s">
        <v>3017</v>
      </c>
      <c r="C1056" s="10" t="s">
        <v>3018</v>
      </c>
      <c r="D1056" s="10" t="s">
        <v>1004</v>
      </c>
      <c r="E1056" s="10" t="s">
        <v>2531</v>
      </c>
      <c r="F1056" s="10" t="s">
        <v>794</v>
      </c>
      <c r="G1056" s="10" t="s">
        <v>2998</v>
      </c>
      <c r="H1056" s="10" t="s">
        <v>1479</v>
      </c>
      <c r="I1056" s="10" t="s">
        <v>794</v>
      </c>
      <c r="J1056" s="10" t="s">
        <v>1004</v>
      </c>
    </row>
    <row r="1057" spans="1:10" ht="15" hidden="1" customHeight="1">
      <c r="A1057" s="9">
        <v>1053</v>
      </c>
      <c r="B1057" s="10" t="s">
        <v>3019</v>
      </c>
      <c r="C1057" s="10" t="s">
        <v>3020</v>
      </c>
      <c r="D1057" s="10" t="s">
        <v>1004</v>
      </c>
      <c r="E1057" s="10" t="s">
        <v>2534</v>
      </c>
      <c r="F1057" s="10" t="s">
        <v>794</v>
      </c>
      <c r="G1057" s="10" t="s">
        <v>2535</v>
      </c>
      <c r="H1057" s="10" t="s">
        <v>1479</v>
      </c>
      <c r="I1057" s="10" t="s">
        <v>794</v>
      </c>
      <c r="J1057" s="10" t="s">
        <v>1004</v>
      </c>
    </row>
    <row r="1058" spans="1:10" ht="15" hidden="1" customHeight="1">
      <c r="A1058" s="9">
        <v>1054</v>
      </c>
      <c r="B1058" s="10" t="s">
        <v>3021</v>
      </c>
      <c r="C1058" s="10" t="s">
        <v>3022</v>
      </c>
      <c r="D1058" s="10" t="s">
        <v>1004</v>
      </c>
      <c r="E1058" s="10" t="s">
        <v>2534</v>
      </c>
      <c r="F1058" s="10" t="s">
        <v>794</v>
      </c>
      <c r="G1058" s="10" t="s">
        <v>2535</v>
      </c>
      <c r="H1058" s="10" t="s">
        <v>1479</v>
      </c>
      <c r="I1058" s="10" t="s">
        <v>794</v>
      </c>
      <c r="J1058" s="10" t="s">
        <v>1004</v>
      </c>
    </row>
    <row r="1059" spans="1:10" ht="15" hidden="1" customHeight="1">
      <c r="A1059" s="9">
        <v>1055</v>
      </c>
      <c r="B1059" s="10" t="s">
        <v>3023</v>
      </c>
      <c r="C1059" s="10" t="s">
        <v>3024</v>
      </c>
      <c r="D1059" s="10" t="s">
        <v>1004</v>
      </c>
      <c r="E1059" s="10" t="s">
        <v>2534</v>
      </c>
      <c r="F1059" s="10" t="s">
        <v>794</v>
      </c>
      <c r="G1059" s="10" t="s">
        <v>2535</v>
      </c>
      <c r="H1059" s="10" t="s">
        <v>1479</v>
      </c>
      <c r="I1059" s="10" t="s">
        <v>794</v>
      </c>
      <c r="J1059" s="10" t="s">
        <v>1004</v>
      </c>
    </row>
    <row r="1060" spans="1:10" ht="15" hidden="1" customHeight="1">
      <c r="A1060" s="9">
        <v>1056</v>
      </c>
      <c r="B1060" s="10" t="s">
        <v>3025</v>
      </c>
      <c r="C1060" s="10" t="s">
        <v>3026</v>
      </c>
      <c r="D1060" s="10" t="s">
        <v>1004</v>
      </c>
      <c r="E1060" s="10" t="s">
        <v>2540</v>
      </c>
      <c r="F1060" s="10" t="s">
        <v>794</v>
      </c>
      <c r="G1060" s="10" t="s">
        <v>2538</v>
      </c>
      <c r="H1060" s="10" t="s">
        <v>1479</v>
      </c>
      <c r="I1060" s="10" t="s">
        <v>793</v>
      </c>
      <c r="J1060" s="10" t="s">
        <v>1004</v>
      </c>
    </row>
    <row r="1061" spans="1:10" ht="15" hidden="1" customHeight="1">
      <c r="A1061" s="9">
        <v>1057</v>
      </c>
      <c r="B1061" s="10" t="s">
        <v>3027</v>
      </c>
      <c r="C1061" s="10" t="s">
        <v>3028</v>
      </c>
      <c r="D1061" s="10" t="s">
        <v>1004</v>
      </c>
      <c r="E1061" s="10" t="s">
        <v>2540</v>
      </c>
      <c r="F1061" s="10" t="s">
        <v>794</v>
      </c>
      <c r="G1061" s="10" t="s">
        <v>2538</v>
      </c>
      <c r="H1061" s="10" t="s">
        <v>1479</v>
      </c>
      <c r="I1061" s="10" t="s">
        <v>793</v>
      </c>
      <c r="J1061" s="10" t="s">
        <v>1004</v>
      </c>
    </row>
    <row r="1062" spans="1:10" ht="15" hidden="1" customHeight="1">
      <c r="A1062" s="9">
        <v>1058</v>
      </c>
      <c r="B1062" s="10" t="s">
        <v>3029</v>
      </c>
      <c r="C1062" s="10" t="s">
        <v>3030</v>
      </c>
      <c r="D1062" s="10" t="s">
        <v>1004</v>
      </c>
      <c r="E1062" s="10" t="s">
        <v>2540</v>
      </c>
      <c r="F1062" s="10" t="s">
        <v>794</v>
      </c>
      <c r="G1062" s="10" t="s">
        <v>2538</v>
      </c>
      <c r="H1062" s="10" t="s">
        <v>1479</v>
      </c>
      <c r="I1062" s="10" t="s">
        <v>793</v>
      </c>
      <c r="J1062" s="10" t="s">
        <v>1004</v>
      </c>
    </row>
    <row r="1063" spans="1:10" ht="15" hidden="1" customHeight="1">
      <c r="A1063" s="9">
        <v>1059</v>
      </c>
      <c r="B1063" s="10" t="s">
        <v>3031</v>
      </c>
      <c r="C1063" s="10" t="s">
        <v>3032</v>
      </c>
      <c r="D1063" s="10" t="s">
        <v>1004</v>
      </c>
      <c r="E1063" s="10" t="s">
        <v>2542</v>
      </c>
      <c r="F1063" s="10" t="s">
        <v>794</v>
      </c>
      <c r="G1063" s="10" t="s">
        <v>3033</v>
      </c>
      <c r="H1063" s="10" t="s">
        <v>1479</v>
      </c>
      <c r="I1063" s="10" t="s">
        <v>793</v>
      </c>
      <c r="J1063" s="10" t="s">
        <v>1004</v>
      </c>
    </row>
    <row r="1064" spans="1:10" ht="15" hidden="1" customHeight="1">
      <c r="A1064" s="9">
        <v>1060</v>
      </c>
      <c r="B1064" s="10" t="s">
        <v>3034</v>
      </c>
      <c r="C1064" s="10" t="s">
        <v>3035</v>
      </c>
      <c r="D1064" s="10" t="s">
        <v>1004</v>
      </c>
      <c r="E1064" s="10" t="s">
        <v>2544</v>
      </c>
      <c r="F1064" s="10" t="s">
        <v>794</v>
      </c>
      <c r="G1064" s="10" t="s">
        <v>3036</v>
      </c>
      <c r="H1064" s="10" t="s">
        <v>1479</v>
      </c>
      <c r="I1064" s="10" t="s">
        <v>793</v>
      </c>
      <c r="J1064" s="10" t="s">
        <v>1004</v>
      </c>
    </row>
    <row r="1065" spans="1:10" ht="15" hidden="1" customHeight="1">
      <c r="A1065" s="9">
        <v>1061</v>
      </c>
      <c r="B1065" s="10" t="s">
        <v>3037</v>
      </c>
      <c r="C1065" s="10" t="s">
        <v>3038</v>
      </c>
      <c r="D1065" s="10" t="s">
        <v>1004</v>
      </c>
      <c r="E1065" s="10" t="s">
        <v>2546</v>
      </c>
      <c r="F1065" s="10" t="s">
        <v>794</v>
      </c>
      <c r="G1065" s="10" t="s">
        <v>3039</v>
      </c>
      <c r="H1065" s="10" t="s">
        <v>1479</v>
      </c>
      <c r="I1065" s="10" t="s">
        <v>793</v>
      </c>
      <c r="J1065" s="10" t="s">
        <v>1004</v>
      </c>
    </row>
    <row r="1066" spans="1:10" ht="15" hidden="1" customHeight="1">
      <c r="A1066" s="9">
        <v>1062</v>
      </c>
      <c r="B1066" s="10" t="s">
        <v>3040</v>
      </c>
      <c r="C1066" s="10" t="s">
        <v>3041</v>
      </c>
      <c r="D1066" s="10" t="s">
        <v>1004</v>
      </c>
      <c r="E1066" s="10" t="s">
        <v>2546</v>
      </c>
      <c r="F1066" s="10" t="s">
        <v>794</v>
      </c>
      <c r="G1066" s="10" t="s">
        <v>3039</v>
      </c>
      <c r="H1066" s="10" t="s">
        <v>1479</v>
      </c>
      <c r="I1066" s="10" t="s">
        <v>793</v>
      </c>
      <c r="J1066" s="10" t="s">
        <v>1004</v>
      </c>
    </row>
    <row r="1067" spans="1:10" ht="15" hidden="1" customHeight="1">
      <c r="A1067" s="9">
        <v>1063</v>
      </c>
      <c r="B1067" s="10" t="s">
        <v>3042</v>
      </c>
      <c r="C1067" s="10" t="s">
        <v>3043</v>
      </c>
      <c r="D1067" s="10" t="s">
        <v>1004</v>
      </c>
      <c r="E1067" s="10" t="s">
        <v>2546</v>
      </c>
      <c r="F1067" s="10" t="s">
        <v>794</v>
      </c>
      <c r="G1067" s="10" t="s">
        <v>3039</v>
      </c>
      <c r="H1067" s="10" t="s">
        <v>1479</v>
      </c>
      <c r="I1067" s="10" t="s">
        <v>793</v>
      </c>
      <c r="J1067" s="10" t="s">
        <v>1004</v>
      </c>
    </row>
    <row r="1068" spans="1:10" ht="15" hidden="1" customHeight="1">
      <c r="A1068" s="9">
        <v>1064</v>
      </c>
      <c r="B1068" s="10" t="s">
        <v>3044</v>
      </c>
      <c r="C1068" s="10" t="s">
        <v>3045</v>
      </c>
      <c r="D1068" s="10" t="s">
        <v>1004</v>
      </c>
      <c r="E1068" s="10" t="s">
        <v>2548</v>
      </c>
      <c r="F1068" s="10" t="s">
        <v>794</v>
      </c>
      <c r="G1068" s="10" t="s">
        <v>3046</v>
      </c>
      <c r="H1068" s="10" t="s">
        <v>1479</v>
      </c>
      <c r="I1068" s="10" t="s">
        <v>794</v>
      </c>
      <c r="J1068" s="10" t="s">
        <v>1004</v>
      </c>
    </row>
    <row r="1069" spans="1:10" ht="15" hidden="1" customHeight="1">
      <c r="A1069" s="9">
        <v>1065</v>
      </c>
      <c r="B1069" s="10" t="s">
        <v>3047</v>
      </c>
      <c r="C1069" s="10" t="s">
        <v>3048</v>
      </c>
      <c r="D1069" s="10" t="s">
        <v>1004</v>
      </c>
      <c r="E1069" s="10" t="s">
        <v>2548</v>
      </c>
      <c r="F1069" s="10" t="s">
        <v>794</v>
      </c>
      <c r="G1069" s="10" t="s">
        <v>2549</v>
      </c>
      <c r="H1069" s="10" t="s">
        <v>1479</v>
      </c>
      <c r="I1069" s="10" t="s">
        <v>794</v>
      </c>
      <c r="J1069" s="10" t="s">
        <v>1004</v>
      </c>
    </row>
    <row r="1070" spans="1:10" ht="15" hidden="1" customHeight="1">
      <c r="A1070" s="9">
        <v>1066</v>
      </c>
      <c r="B1070" s="10" t="s">
        <v>3049</v>
      </c>
      <c r="C1070" s="10" t="s">
        <v>3050</v>
      </c>
      <c r="D1070" s="10" t="s">
        <v>1004</v>
      </c>
      <c r="E1070" s="10" t="s">
        <v>2548</v>
      </c>
      <c r="F1070" s="10" t="s">
        <v>794</v>
      </c>
      <c r="G1070" s="10" t="s">
        <v>2549</v>
      </c>
      <c r="H1070" s="10" t="s">
        <v>1479</v>
      </c>
      <c r="I1070" s="10" t="s">
        <v>794</v>
      </c>
      <c r="J1070" s="10" t="s">
        <v>1004</v>
      </c>
    </row>
    <row r="1071" spans="1:10" ht="15" hidden="1" customHeight="1">
      <c r="A1071" s="9">
        <v>1067</v>
      </c>
      <c r="B1071" s="10" t="s">
        <v>3051</v>
      </c>
      <c r="C1071" s="10" t="s">
        <v>3052</v>
      </c>
      <c r="D1071" s="10" t="s">
        <v>1004</v>
      </c>
      <c r="E1071" s="10" t="s">
        <v>2548</v>
      </c>
      <c r="F1071" s="10" t="s">
        <v>794</v>
      </c>
      <c r="G1071" s="10" t="s">
        <v>2549</v>
      </c>
      <c r="H1071" s="10" t="s">
        <v>1479</v>
      </c>
      <c r="I1071" s="10" t="s">
        <v>794</v>
      </c>
      <c r="J1071" s="10" t="s">
        <v>1004</v>
      </c>
    </row>
    <row r="1072" spans="1:10" ht="15" hidden="1" customHeight="1">
      <c r="A1072" s="9">
        <v>1068</v>
      </c>
      <c r="B1072" s="10" t="s">
        <v>3053</v>
      </c>
      <c r="C1072" s="10" t="s">
        <v>3054</v>
      </c>
      <c r="D1072" s="10" t="s">
        <v>1004</v>
      </c>
      <c r="E1072" s="10" t="s">
        <v>2548</v>
      </c>
      <c r="F1072" s="10" t="s">
        <v>794</v>
      </c>
      <c r="G1072" s="10" t="s">
        <v>3055</v>
      </c>
      <c r="H1072" s="10" t="s">
        <v>1479</v>
      </c>
      <c r="I1072" s="10" t="s">
        <v>794</v>
      </c>
      <c r="J1072" s="10" t="s">
        <v>1004</v>
      </c>
    </row>
    <row r="1073" spans="1:10" ht="15" hidden="1" customHeight="1">
      <c r="A1073" s="9">
        <v>1069</v>
      </c>
      <c r="B1073" s="10" t="s">
        <v>3056</v>
      </c>
      <c r="C1073" s="10" t="s">
        <v>3057</v>
      </c>
      <c r="D1073" s="10" t="s">
        <v>1004</v>
      </c>
      <c r="E1073" s="10" t="s">
        <v>2548</v>
      </c>
      <c r="F1073" s="10" t="s">
        <v>794</v>
      </c>
      <c r="G1073" s="10" t="s">
        <v>3058</v>
      </c>
      <c r="H1073" s="10" t="s">
        <v>1479</v>
      </c>
      <c r="I1073" s="10" t="s">
        <v>793</v>
      </c>
      <c r="J1073" s="10" t="s">
        <v>1004</v>
      </c>
    </row>
    <row r="1074" spans="1:10" ht="15" hidden="1" customHeight="1">
      <c r="A1074" s="9">
        <v>1070</v>
      </c>
      <c r="B1074" s="10" t="s">
        <v>3059</v>
      </c>
      <c r="C1074" s="10" t="s">
        <v>3060</v>
      </c>
      <c r="D1074" s="10" t="s">
        <v>1004</v>
      </c>
      <c r="E1074" s="10" t="s">
        <v>2548</v>
      </c>
      <c r="F1074" s="10" t="s">
        <v>794</v>
      </c>
      <c r="G1074" s="10" t="s">
        <v>2549</v>
      </c>
      <c r="H1074" s="10" t="s">
        <v>1479</v>
      </c>
      <c r="I1074" s="10" t="s">
        <v>793</v>
      </c>
      <c r="J1074" s="10" t="s">
        <v>1004</v>
      </c>
    </row>
    <row r="1075" spans="1:10" ht="15" hidden="1" customHeight="1">
      <c r="A1075" s="9">
        <v>1071</v>
      </c>
      <c r="B1075" s="10" t="s">
        <v>3061</v>
      </c>
      <c r="C1075" s="10" t="s">
        <v>3062</v>
      </c>
      <c r="D1075" s="10" t="s">
        <v>1004</v>
      </c>
      <c r="E1075" s="10" t="s">
        <v>2548</v>
      </c>
      <c r="F1075" s="10" t="s">
        <v>794</v>
      </c>
      <c r="G1075" s="10" t="s">
        <v>2549</v>
      </c>
      <c r="H1075" s="10" t="s">
        <v>1479</v>
      </c>
      <c r="I1075" s="10" t="s">
        <v>793</v>
      </c>
      <c r="J1075" s="10" t="s">
        <v>1004</v>
      </c>
    </row>
    <row r="1076" spans="1:10" ht="15" hidden="1" customHeight="1">
      <c r="A1076" s="9">
        <v>1072</v>
      </c>
      <c r="B1076" s="10" t="s">
        <v>3063</v>
      </c>
      <c r="C1076" s="10" t="s">
        <v>3064</v>
      </c>
      <c r="D1076" s="10" t="s">
        <v>1004</v>
      </c>
      <c r="E1076" s="10" t="s">
        <v>2548</v>
      </c>
      <c r="F1076" s="10" t="s">
        <v>794</v>
      </c>
      <c r="G1076" s="10" t="s">
        <v>2549</v>
      </c>
      <c r="H1076" s="10" t="s">
        <v>1479</v>
      </c>
      <c r="I1076" s="10" t="s">
        <v>794</v>
      </c>
      <c r="J1076" s="10" t="s">
        <v>1004</v>
      </c>
    </row>
    <row r="1077" spans="1:10" ht="15" hidden="1" customHeight="1">
      <c r="A1077" s="9">
        <v>1073</v>
      </c>
      <c r="B1077" s="10" t="s">
        <v>3065</v>
      </c>
      <c r="C1077" s="10" t="s">
        <v>3066</v>
      </c>
      <c r="D1077" s="10" t="s">
        <v>1004</v>
      </c>
      <c r="E1077" s="10" t="s">
        <v>2561</v>
      </c>
      <c r="F1077" s="10" t="s">
        <v>794</v>
      </c>
      <c r="G1077" s="10" t="s">
        <v>2463</v>
      </c>
      <c r="H1077" s="10" t="s">
        <v>1479</v>
      </c>
      <c r="I1077" s="10" t="s">
        <v>793</v>
      </c>
      <c r="J1077" s="10" t="s">
        <v>1004</v>
      </c>
    </row>
    <row r="1078" spans="1:10" ht="15" hidden="1" customHeight="1">
      <c r="A1078" s="9">
        <v>1074</v>
      </c>
      <c r="B1078" s="10" t="s">
        <v>3067</v>
      </c>
      <c r="C1078" s="10" t="s">
        <v>3068</v>
      </c>
      <c r="D1078" s="10" t="s">
        <v>1004</v>
      </c>
      <c r="E1078" s="10" t="s">
        <v>2561</v>
      </c>
      <c r="F1078" s="10" t="s">
        <v>794</v>
      </c>
      <c r="G1078" s="10" t="s">
        <v>2463</v>
      </c>
      <c r="H1078" s="10" t="s">
        <v>1479</v>
      </c>
      <c r="I1078" s="10" t="s">
        <v>793</v>
      </c>
      <c r="J1078" s="10" t="s">
        <v>1004</v>
      </c>
    </row>
    <row r="1079" spans="1:10" ht="15" hidden="1" customHeight="1">
      <c r="A1079" s="9">
        <v>1075</v>
      </c>
      <c r="B1079" s="10" t="s">
        <v>3069</v>
      </c>
      <c r="C1079" s="10" t="s">
        <v>3070</v>
      </c>
      <c r="D1079" s="10" t="s">
        <v>1004</v>
      </c>
      <c r="E1079" s="10" t="s">
        <v>2561</v>
      </c>
      <c r="F1079" s="10" t="s">
        <v>794</v>
      </c>
      <c r="G1079" s="10" t="s">
        <v>2463</v>
      </c>
      <c r="H1079" s="10" t="s">
        <v>1479</v>
      </c>
      <c r="I1079" s="10" t="s">
        <v>793</v>
      </c>
      <c r="J1079" s="10" t="s">
        <v>1004</v>
      </c>
    </row>
    <row r="1080" spans="1:10" ht="15" hidden="1" customHeight="1">
      <c r="A1080" s="9">
        <v>1076</v>
      </c>
      <c r="B1080" s="10" t="s">
        <v>3071</v>
      </c>
      <c r="C1080" s="10" t="s">
        <v>3072</v>
      </c>
      <c r="D1080" s="10" t="s">
        <v>1004</v>
      </c>
      <c r="E1080" s="10" t="s">
        <v>2561</v>
      </c>
      <c r="F1080" s="10" t="s">
        <v>794</v>
      </c>
      <c r="G1080" s="10" t="s">
        <v>2466</v>
      </c>
      <c r="H1080" s="10" t="s">
        <v>1479</v>
      </c>
      <c r="I1080" s="10" t="s">
        <v>793</v>
      </c>
      <c r="J1080" s="10" t="s">
        <v>1004</v>
      </c>
    </row>
    <row r="1081" spans="1:10" ht="15" hidden="1" customHeight="1">
      <c r="A1081" s="9">
        <v>1077</v>
      </c>
      <c r="B1081" s="10" t="s">
        <v>3073</v>
      </c>
      <c r="C1081" s="10" t="s">
        <v>3074</v>
      </c>
      <c r="D1081" s="10" t="s">
        <v>1004</v>
      </c>
      <c r="E1081" s="10" t="s">
        <v>2561</v>
      </c>
      <c r="F1081" s="10" t="s">
        <v>794</v>
      </c>
      <c r="G1081" s="10" t="s">
        <v>2463</v>
      </c>
      <c r="H1081" s="10" t="s">
        <v>1479</v>
      </c>
      <c r="I1081" s="10" t="s">
        <v>793</v>
      </c>
      <c r="J1081" s="10" t="s">
        <v>1004</v>
      </c>
    </row>
    <row r="1082" spans="1:10" ht="15" hidden="1" customHeight="1">
      <c r="A1082" s="9">
        <v>1078</v>
      </c>
      <c r="B1082" s="10" t="s">
        <v>3075</v>
      </c>
      <c r="C1082" s="10" t="s">
        <v>3076</v>
      </c>
      <c r="D1082" s="10" t="s">
        <v>1004</v>
      </c>
      <c r="E1082" s="10" t="s">
        <v>2566</v>
      </c>
      <c r="F1082" s="10" t="s">
        <v>794</v>
      </c>
      <c r="G1082" s="10" t="s">
        <v>2460</v>
      </c>
      <c r="H1082" s="10" t="s">
        <v>1479</v>
      </c>
      <c r="I1082" s="10" t="s">
        <v>793</v>
      </c>
      <c r="J1082" s="10" t="s">
        <v>1004</v>
      </c>
    </row>
    <row r="1083" spans="1:10" ht="15" hidden="1" customHeight="1">
      <c r="A1083" s="9">
        <v>1079</v>
      </c>
      <c r="B1083" s="10" t="s">
        <v>3077</v>
      </c>
      <c r="C1083" s="10" t="s">
        <v>3078</v>
      </c>
      <c r="D1083" s="10" t="s">
        <v>1004</v>
      </c>
      <c r="E1083" s="10" t="s">
        <v>2566</v>
      </c>
      <c r="F1083" s="10" t="s">
        <v>794</v>
      </c>
      <c r="G1083" s="10" t="s">
        <v>2460</v>
      </c>
      <c r="H1083" s="10" t="s">
        <v>1479</v>
      </c>
      <c r="I1083" s="10" t="s">
        <v>793</v>
      </c>
      <c r="J1083" s="10" t="s">
        <v>1004</v>
      </c>
    </row>
    <row r="1084" spans="1:10" ht="15" hidden="1" customHeight="1">
      <c r="A1084" s="9">
        <v>1080</v>
      </c>
      <c r="B1084" s="10" t="s">
        <v>3079</v>
      </c>
      <c r="C1084" s="10" t="s">
        <v>3080</v>
      </c>
      <c r="D1084" s="10" t="s">
        <v>1004</v>
      </c>
      <c r="E1084" s="10" t="s">
        <v>2566</v>
      </c>
      <c r="F1084" s="10" t="s">
        <v>794</v>
      </c>
      <c r="G1084" s="10" t="s">
        <v>2460</v>
      </c>
      <c r="H1084" s="10" t="s">
        <v>1479</v>
      </c>
      <c r="I1084" s="10" t="s">
        <v>793</v>
      </c>
      <c r="J1084" s="10" t="s">
        <v>1004</v>
      </c>
    </row>
    <row r="1085" spans="1:10" ht="15" hidden="1" customHeight="1">
      <c r="A1085" s="9">
        <v>1081</v>
      </c>
      <c r="B1085" s="10" t="s">
        <v>3081</v>
      </c>
      <c r="C1085" s="10" t="s">
        <v>3082</v>
      </c>
      <c r="D1085" s="10" t="s">
        <v>1004</v>
      </c>
      <c r="E1085" s="10" t="s">
        <v>2566</v>
      </c>
      <c r="F1085" s="10" t="s">
        <v>794</v>
      </c>
      <c r="G1085" s="10" t="s">
        <v>2460</v>
      </c>
      <c r="H1085" s="10" t="s">
        <v>1479</v>
      </c>
      <c r="I1085" s="10" t="s">
        <v>793</v>
      </c>
      <c r="J1085" s="10" t="s">
        <v>1004</v>
      </c>
    </row>
    <row r="1086" spans="1:10" ht="15" hidden="1" customHeight="1">
      <c r="A1086" s="9">
        <v>1082</v>
      </c>
      <c r="B1086" s="10" t="s">
        <v>3083</v>
      </c>
      <c r="C1086" s="10" t="s">
        <v>3084</v>
      </c>
      <c r="D1086" s="10" t="s">
        <v>1004</v>
      </c>
      <c r="E1086" s="10" t="s">
        <v>2566</v>
      </c>
      <c r="F1086" s="10" t="s">
        <v>794</v>
      </c>
      <c r="G1086" s="10" t="s">
        <v>2460</v>
      </c>
      <c r="H1086" s="10" t="s">
        <v>1479</v>
      </c>
      <c r="I1086" s="10" t="s">
        <v>793</v>
      </c>
      <c r="J1086" s="10" t="s">
        <v>1004</v>
      </c>
    </row>
    <row r="1087" spans="1:10" ht="15" hidden="1" customHeight="1">
      <c r="A1087" s="9">
        <v>1083</v>
      </c>
      <c r="B1087" s="10" t="s">
        <v>3085</v>
      </c>
      <c r="C1087" s="10" t="s">
        <v>3086</v>
      </c>
      <c r="D1087" s="10" t="s">
        <v>1004</v>
      </c>
      <c r="E1087" s="10" t="s">
        <v>2568</v>
      </c>
      <c r="F1087" s="10" t="s">
        <v>794</v>
      </c>
      <c r="G1087" s="10" t="s">
        <v>2569</v>
      </c>
      <c r="H1087" s="10" t="s">
        <v>1479</v>
      </c>
      <c r="I1087" s="10" t="s">
        <v>793</v>
      </c>
      <c r="J1087" s="10" t="s">
        <v>1004</v>
      </c>
    </row>
    <row r="1088" spans="1:10" ht="15" hidden="1" customHeight="1">
      <c r="A1088" s="9">
        <v>1084</v>
      </c>
      <c r="B1088" s="10" t="s">
        <v>3087</v>
      </c>
      <c r="C1088" s="10" t="s">
        <v>3088</v>
      </c>
      <c r="D1088" s="10" t="s">
        <v>1004</v>
      </c>
      <c r="E1088" s="10" t="s">
        <v>2571</v>
      </c>
      <c r="F1088" s="10" t="s">
        <v>794</v>
      </c>
      <c r="G1088" s="10" t="s">
        <v>2494</v>
      </c>
      <c r="H1088" s="10" t="s">
        <v>1479</v>
      </c>
      <c r="I1088" s="10" t="s">
        <v>793</v>
      </c>
      <c r="J1088" s="10" t="s">
        <v>2841</v>
      </c>
    </row>
    <row r="1089" spans="1:10" ht="15" hidden="1" customHeight="1">
      <c r="A1089" s="9">
        <v>1085</v>
      </c>
      <c r="B1089" s="10" t="s">
        <v>3089</v>
      </c>
      <c r="C1089" s="10" t="s">
        <v>3090</v>
      </c>
      <c r="D1089" s="10" t="s">
        <v>1004</v>
      </c>
      <c r="E1089" s="10" t="s">
        <v>2571</v>
      </c>
      <c r="F1089" s="10" t="s">
        <v>794</v>
      </c>
      <c r="G1089" s="10" t="s">
        <v>2494</v>
      </c>
      <c r="H1089" s="10" t="s">
        <v>1479</v>
      </c>
      <c r="I1089" s="10" t="s">
        <v>793</v>
      </c>
      <c r="J1089" s="10" t="s">
        <v>1004</v>
      </c>
    </row>
    <row r="1090" spans="1:10" ht="15" hidden="1" customHeight="1">
      <c r="A1090" s="9">
        <v>1086</v>
      </c>
      <c r="B1090" s="10" t="s">
        <v>3091</v>
      </c>
      <c r="C1090" s="10" t="s">
        <v>3092</v>
      </c>
      <c r="D1090" s="10" t="s">
        <v>1004</v>
      </c>
      <c r="E1090" s="10" t="s">
        <v>2571</v>
      </c>
      <c r="F1090" s="10" t="s">
        <v>794</v>
      </c>
      <c r="G1090" s="10" t="s">
        <v>2494</v>
      </c>
      <c r="H1090" s="10" t="s">
        <v>1479</v>
      </c>
      <c r="I1090" s="10" t="s">
        <v>793</v>
      </c>
      <c r="J1090" s="10" t="s">
        <v>1004</v>
      </c>
    </row>
    <row r="1091" spans="1:10" ht="15" hidden="1" customHeight="1">
      <c r="A1091" s="9">
        <v>1087</v>
      </c>
      <c r="B1091" s="10" t="s">
        <v>3093</v>
      </c>
      <c r="C1091" s="10" t="s">
        <v>3094</v>
      </c>
      <c r="D1091" s="10" t="s">
        <v>1004</v>
      </c>
      <c r="E1091" s="10" t="s">
        <v>2573</v>
      </c>
      <c r="F1091" s="10" t="s">
        <v>794</v>
      </c>
      <c r="G1091" s="10" t="s">
        <v>2574</v>
      </c>
      <c r="H1091" s="10" t="s">
        <v>1479</v>
      </c>
      <c r="I1091" s="10" t="s">
        <v>794</v>
      </c>
      <c r="J1091" s="10" t="s">
        <v>2527</v>
      </c>
    </row>
    <row r="1092" spans="1:10" ht="15" hidden="1" customHeight="1">
      <c r="A1092" s="9">
        <v>1088</v>
      </c>
      <c r="B1092" s="10" t="s">
        <v>3095</v>
      </c>
      <c r="C1092" s="10" t="s">
        <v>3096</v>
      </c>
      <c r="D1092" s="10" t="s">
        <v>1004</v>
      </c>
      <c r="E1092" s="10" t="s">
        <v>2573</v>
      </c>
      <c r="F1092" s="10" t="s">
        <v>794</v>
      </c>
      <c r="G1092" s="10" t="s">
        <v>2574</v>
      </c>
      <c r="H1092" s="10" t="s">
        <v>1479</v>
      </c>
      <c r="I1092" s="10" t="s">
        <v>794</v>
      </c>
      <c r="J1092" s="10" t="s">
        <v>2527</v>
      </c>
    </row>
    <row r="1093" spans="1:10" ht="15" hidden="1" customHeight="1">
      <c r="A1093" s="9">
        <v>1089</v>
      </c>
      <c r="B1093" s="10" t="s">
        <v>3097</v>
      </c>
      <c r="C1093" s="10" t="s">
        <v>3098</v>
      </c>
      <c r="D1093" s="10" t="s">
        <v>1004</v>
      </c>
      <c r="E1093" s="10" t="s">
        <v>2576</v>
      </c>
      <c r="F1093" s="10" t="s">
        <v>794</v>
      </c>
      <c r="G1093" s="10" t="s">
        <v>2577</v>
      </c>
      <c r="H1093" s="10" t="s">
        <v>1479</v>
      </c>
      <c r="I1093" s="10" t="s">
        <v>793</v>
      </c>
      <c r="J1093" s="10" t="s">
        <v>1004</v>
      </c>
    </row>
    <row r="1094" spans="1:10" ht="15" hidden="1" customHeight="1">
      <c r="A1094" s="9">
        <v>1090</v>
      </c>
      <c r="B1094" s="10" t="s">
        <v>3099</v>
      </c>
      <c r="C1094" s="10" t="s">
        <v>3100</v>
      </c>
      <c r="D1094" s="10" t="s">
        <v>792</v>
      </c>
      <c r="E1094" s="10" t="s">
        <v>1101</v>
      </c>
      <c r="F1094" s="10" t="s">
        <v>793</v>
      </c>
      <c r="G1094" s="10" t="s">
        <v>880</v>
      </c>
      <c r="H1094" s="10" t="s">
        <v>802</v>
      </c>
      <c r="I1094" s="10" t="s">
        <v>793</v>
      </c>
      <c r="J1094" s="10" t="s">
        <v>881</v>
      </c>
    </row>
    <row r="1095" spans="1:10" ht="15" hidden="1" customHeight="1">
      <c r="A1095" s="9">
        <v>1091</v>
      </c>
      <c r="B1095" s="10" t="s">
        <v>3101</v>
      </c>
      <c r="C1095" s="10" t="s">
        <v>3102</v>
      </c>
      <c r="D1095" s="10" t="s">
        <v>792</v>
      </c>
      <c r="E1095" s="10" t="s">
        <v>3100</v>
      </c>
      <c r="F1095" s="10" t="s">
        <v>794</v>
      </c>
      <c r="G1095" s="10" t="s">
        <v>880</v>
      </c>
      <c r="H1095" s="10" t="s">
        <v>802</v>
      </c>
      <c r="I1095" s="10" t="s">
        <v>793</v>
      </c>
      <c r="J1095" s="10" t="s">
        <v>881</v>
      </c>
    </row>
    <row r="1096" spans="1:10" ht="15" hidden="1" customHeight="1">
      <c r="A1096" s="9">
        <v>1092</v>
      </c>
      <c r="B1096" s="10" t="s">
        <v>3103</v>
      </c>
      <c r="C1096" s="10" t="s">
        <v>3104</v>
      </c>
      <c r="D1096" s="10" t="s">
        <v>792</v>
      </c>
      <c r="E1096" s="10" t="s">
        <v>3100</v>
      </c>
      <c r="F1096" s="10" t="s">
        <v>794</v>
      </c>
      <c r="G1096" s="10" t="s">
        <v>880</v>
      </c>
      <c r="H1096" s="10" t="s">
        <v>802</v>
      </c>
      <c r="I1096" s="10" t="s">
        <v>793</v>
      </c>
      <c r="J1096" s="10" t="s">
        <v>881</v>
      </c>
    </row>
    <row r="1097" spans="1:10" ht="15" hidden="1" customHeight="1">
      <c r="A1097" s="9">
        <v>1093</v>
      </c>
      <c r="B1097" s="10" t="s">
        <v>3105</v>
      </c>
      <c r="C1097" s="10" t="s">
        <v>3106</v>
      </c>
      <c r="D1097" s="10" t="s">
        <v>792</v>
      </c>
      <c r="E1097" s="10" t="s">
        <v>3100</v>
      </c>
      <c r="F1097" s="10" t="s">
        <v>794</v>
      </c>
      <c r="G1097" s="10" t="s">
        <v>880</v>
      </c>
      <c r="H1097" s="10" t="s">
        <v>802</v>
      </c>
      <c r="I1097" s="10" t="s">
        <v>793</v>
      </c>
      <c r="J1097" s="10" t="s">
        <v>881</v>
      </c>
    </row>
    <row r="1098" spans="1:10" ht="15" hidden="1" customHeight="1">
      <c r="A1098" s="9">
        <v>1094</v>
      </c>
      <c r="B1098" s="10" t="s">
        <v>3107</v>
      </c>
      <c r="C1098" s="10" t="s">
        <v>3108</v>
      </c>
      <c r="D1098" s="10" t="s">
        <v>792</v>
      </c>
      <c r="E1098" s="10" t="s">
        <v>3100</v>
      </c>
      <c r="F1098" s="10" t="s">
        <v>794</v>
      </c>
      <c r="G1098" s="10" t="s">
        <v>880</v>
      </c>
      <c r="H1098" s="10" t="s">
        <v>802</v>
      </c>
      <c r="I1098" s="10" t="s">
        <v>793</v>
      </c>
      <c r="J1098" s="10" t="s">
        <v>881</v>
      </c>
    </row>
    <row r="1099" spans="1:10" ht="15" hidden="1" customHeight="1">
      <c r="A1099" s="9">
        <v>1095</v>
      </c>
      <c r="B1099" s="10" t="s">
        <v>3109</v>
      </c>
      <c r="C1099" s="10" t="s">
        <v>3110</v>
      </c>
      <c r="D1099" s="10" t="s">
        <v>792</v>
      </c>
      <c r="E1099" s="10" t="s">
        <v>3100</v>
      </c>
      <c r="F1099" s="10" t="s">
        <v>794</v>
      </c>
      <c r="G1099" s="10" t="s">
        <v>880</v>
      </c>
      <c r="H1099" s="10" t="s">
        <v>802</v>
      </c>
      <c r="I1099" s="10" t="s">
        <v>794</v>
      </c>
      <c r="J1099" s="10" t="s">
        <v>881</v>
      </c>
    </row>
    <row r="1100" spans="1:10" ht="15" hidden="1" customHeight="1">
      <c r="A1100" s="9">
        <v>1096</v>
      </c>
      <c r="B1100" s="10" t="s">
        <v>3111</v>
      </c>
      <c r="C1100" s="10" t="s">
        <v>3112</v>
      </c>
      <c r="D1100" s="10" t="s">
        <v>792</v>
      </c>
      <c r="E1100" s="10" t="s">
        <v>3100</v>
      </c>
      <c r="F1100" s="10" t="s">
        <v>794</v>
      </c>
      <c r="G1100" s="10" t="s">
        <v>880</v>
      </c>
      <c r="H1100" s="10" t="s">
        <v>802</v>
      </c>
      <c r="I1100" s="10" t="s">
        <v>793</v>
      </c>
      <c r="J1100" s="10" t="s">
        <v>881</v>
      </c>
    </row>
    <row r="1101" spans="1:10" ht="15" hidden="1" customHeight="1">
      <c r="A1101" s="9">
        <v>1097</v>
      </c>
      <c r="B1101" s="10" t="s">
        <v>3113</v>
      </c>
      <c r="C1101" s="10" t="s">
        <v>3114</v>
      </c>
      <c r="D1101" s="10" t="s">
        <v>792</v>
      </c>
      <c r="E1101" s="10" t="s">
        <v>1101</v>
      </c>
      <c r="F1101" s="10" t="s">
        <v>793</v>
      </c>
      <c r="G1101" s="10" t="s">
        <v>880</v>
      </c>
      <c r="H1101" s="10" t="s">
        <v>802</v>
      </c>
      <c r="I1101" s="10" t="s">
        <v>793</v>
      </c>
      <c r="J1101" s="10" t="s">
        <v>881</v>
      </c>
    </row>
    <row r="1102" spans="1:10" ht="15" hidden="1" customHeight="1">
      <c r="A1102" s="9">
        <v>1098</v>
      </c>
      <c r="B1102" s="10" t="s">
        <v>3115</v>
      </c>
      <c r="C1102" s="10" t="s">
        <v>3116</v>
      </c>
      <c r="D1102" s="10" t="s">
        <v>792</v>
      </c>
      <c r="E1102" s="10" t="s">
        <v>3114</v>
      </c>
      <c r="F1102" s="10" t="s">
        <v>794</v>
      </c>
      <c r="G1102" s="10" t="s">
        <v>880</v>
      </c>
      <c r="H1102" s="10" t="s">
        <v>802</v>
      </c>
      <c r="I1102" s="10" t="s">
        <v>794</v>
      </c>
      <c r="J1102" s="10" t="s">
        <v>881</v>
      </c>
    </row>
    <row r="1103" spans="1:10" ht="15" hidden="1" customHeight="1">
      <c r="A1103" s="9">
        <v>1099</v>
      </c>
      <c r="B1103" s="10" t="s">
        <v>3117</v>
      </c>
      <c r="C1103" s="10" t="s">
        <v>3118</v>
      </c>
      <c r="D1103" s="10" t="s">
        <v>792</v>
      </c>
      <c r="E1103" s="10" t="s">
        <v>3114</v>
      </c>
      <c r="F1103" s="10" t="s">
        <v>794</v>
      </c>
      <c r="G1103" s="10" t="s">
        <v>880</v>
      </c>
      <c r="H1103" s="10" t="s">
        <v>802</v>
      </c>
      <c r="I1103" s="10" t="s">
        <v>793</v>
      </c>
      <c r="J1103" s="10" t="s">
        <v>881</v>
      </c>
    </row>
    <row r="1104" spans="1:10" ht="15" hidden="1" customHeight="1">
      <c r="A1104" s="9">
        <v>1100</v>
      </c>
      <c r="B1104" s="10" t="s">
        <v>3119</v>
      </c>
      <c r="C1104" s="10" t="s">
        <v>3120</v>
      </c>
      <c r="D1104" s="10" t="s">
        <v>792</v>
      </c>
      <c r="E1104" s="10" t="s">
        <v>3114</v>
      </c>
      <c r="F1104" s="10" t="s">
        <v>794</v>
      </c>
      <c r="G1104" s="10" t="s">
        <v>880</v>
      </c>
      <c r="H1104" s="10" t="s">
        <v>802</v>
      </c>
      <c r="I1104" s="10" t="s">
        <v>793</v>
      </c>
      <c r="J1104" s="10" t="s">
        <v>881</v>
      </c>
    </row>
    <row r="1105" spans="1:10" ht="15" hidden="1" customHeight="1">
      <c r="A1105" s="9">
        <v>1101</v>
      </c>
      <c r="B1105" s="10" t="s">
        <v>3121</v>
      </c>
      <c r="C1105" s="10" t="s">
        <v>3122</v>
      </c>
      <c r="D1105" s="10" t="s">
        <v>792</v>
      </c>
      <c r="E1105" s="10" t="s">
        <v>3114</v>
      </c>
      <c r="F1105" s="10" t="s">
        <v>794</v>
      </c>
      <c r="G1105" s="10" t="s">
        <v>880</v>
      </c>
      <c r="H1105" s="10" t="s">
        <v>802</v>
      </c>
      <c r="I1105" s="10" t="s">
        <v>793</v>
      </c>
      <c r="J1105" s="10" t="s">
        <v>881</v>
      </c>
    </row>
    <row r="1106" spans="1:10" ht="15" hidden="1" customHeight="1">
      <c r="A1106" s="9">
        <v>1102</v>
      </c>
      <c r="B1106" s="10" t="s">
        <v>3123</v>
      </c>
      <c r="C1106" s="10" t="s">
        <v>3124</v>
      </c>
      <c r="D1106" s="10" t="s">
        <v>792</v>
      </c>
      <c r="E1106" s="10" t="s">
        <v>3114</v>
      </c>
      <c r="F1106" s="10" t="s">
        <v>794</v>
      </c>
      <c r="G1106" s="10" t="s">
        <v>880</v>
      </c>
      <c r="H1106" s="10" t="s">
        <v>802</v>
      </c>
      <c r="I1106" s="10" t="s">
        <v>794</v>
      </c>
      <c r="J1106" s="10" t="s">
        <v>881</v>
      </c>
    </row>
    <row r="1107" spans="1:10" ht="15" hidden="1" customHeight="1">
      <c r="A1107" s="9">
        <v>1103</v>
      </c>
      <c r="B1107" s="10" t="s">
        <v>3125</v>
      </c>
      <c r="C1107" s="10" t="s">
        <v>3126</v>
      </c>
      <c r="D1107" s="10" t="s">
        <v>792</v>
      </c>
      <c r="E1107" s="10" t="s">
        <v>3114</v>
      </c>
      <c r="F1107" s="10" t="s">
        <v>794</v>
      </c>
      <c r="G1107" s="10" t="s">
        <v>880</v>
      </c>
      <c r="H1107" s="10" t="s">
        <v>802</v>
      </c>
      <c r="I1107" s="10" t="s">
        <v>793</v>
      </c>
      <c r="J1107" s="10" t="s">
        <v>881</v>
      </c>
    </row>
    <row r="1108" spans="1:10" ht="15" hidden="1" customHeight="1">
      <c r="A1108" s="9">
        <v>1104</v>
      </c>
      <c r="B1108" s="10" t="s">
        <v>3127</v>
      </c>
      <c r="C1108" s="10" t="s">
        <v>3128</v>
      </c>
      <c r="D1108" s="10" t="s">
        <v>792</v>
      </c>
      <c r="E1108" s="10" t="s">
        <v>1101</v>
      </c>
      <c r="F1108" s="10" t="s">
        <v>793</v>
      </c>
      <c r="G1108" s="10" t="s">
        <v>911</v>
      </c>
      <c r="H1108" s="10" t="s">
        <v>802</v>
      </c>
      <c r="I1108" s="10" t="s">
        <v>793</v>
      </c>
      <c r="J1108" s="10" t="s">
        <v>881</v>
      </c>
    </row>
    <row r="1109" spans="1:10" ht="15" hidden="1" customHeight="1">
      <c r="A1109" s="9">
        <v>1105</v>
      </c>
      <c r="B1109" s="10" t="s">
        <v>3129</v>
      </c>
      <c r="C1109" s="10" t="s">
        <v>3130</v>
      </c>
      <c r="D1109" s="10" t="s">
        <v>792</v>
      </c>
      <c r="E1109" s="10" t="s">
        <v>3128</v>
      </c>
      <c r="F1109" s="10" t="s">
        <v>794</v>
      </c>
      <c r="G1109" s="10" t="s">
        <v>911</v>
      </c>
      <c r="H1109" s="10" t="s">
        <v>802</v>
      </c>
      <c r="I1109" s="10" t="s">
        <v>793</v>
      </c>
      <c r="J1109" s="10" t="s">
        <v>881</v>
      </c>
    </row>
    <row r="1110" spans="1:10" ht="15" hidden="1" customHeight="1">
      <c r="A1110" s="9">
        <v>1106</v>
      </c>
      <c r="B1110" s="10" t="s">
        <v>3131</v>
      </c>
      <c r="C1110" s="10" t="s">
        <v>3132</v>
      </c>
      <c r="D1110" s="10" t="s">
        <v>792</v>
      </c>
      <c r="E1110" s="10" t="s">
        <v>3128</v>
      </c>
      <c r="F1110" s="10" t="s">
        <v>794</v>
      </c>
      <c r="G1110" s="10" t="s">
        <v>911</v>
      </c>
      <c r="H1110" s="10" t="s">
        <v>802</v>
      </c>
      <c r="I1110" s="10" t="s">
        <v>793</v>
      </c>
      <c r="J1110" s="10" t="s">
        <v>881</v>
      </c>
    </row>
    <row r="1111" spans="1:10" ht="15" hidden="1" customHeight="1">
      <c r="A1111" s="9">
        <v>1107</v>
      </c>
      <c r="B1111" s="10" t="s">
        <v>3133</v>
      </c>
      <c r="C1111" s="10" t="s">
        <v>3134</v>
      </c>
      <c r="D1111" s="10" t="s">
        <v>792</v>
      </c>
      <c r="E1111" s="10" t="s">
        <v>3128</v>
      </c>
      <c r="F1111" s="10" t="s">
        <v>794</v>
      </c>
      <c r="G1111" s="10" t="s">
        <v>911</v>
      </c>
      <c r="H1111" s="10" t="s">
        <v>802</v>
      </c>
      <c r="I1111" s="10" t="s">
        <v>793</v>
      </c>
      <c r="J1111" s="10" t="s">
        <v>881</v>
      </c>
    </row>
    <row r="1112" spans="1:10" ht="15" hidden="1" customHeight="1">
      <c r="A1112" s="9">
        <v>1108</v>
      </c>
      <c r="B1112" s="10" t="s">
        <v>3135</v>
      </c>
      <c r="C1112" s="10" t="s">
        <v>3136</v>
      </c>
      <c r="D1112" s="10" t="s">
        <v>792</v>
      </c>
      <c r="E1112" s="10" t="s">
        <v>3128</v>
      </c>
      <c r="F1112" s="10" t="s">
        <v>794</v>
      </c>
      <c r="G1112" s="10" t="s">
        <v>911</v>
      </c>
      <c r="H1112" s="10" t="s">
        <v>802</v>
      </c>
      <c r="I1112" s="10" t="s">
        <v>793</v>
      </c>
      <c r="J1112" s="10" t="s">
        <v>881</v>
      </c>
    </row>
    <row r="1113" spans="1:10" ht="15" hidden="1" customHeight="1">
      <c r="A1113" s="9">
        <v>1109</v>
      </c>
      <c r="B1113" s="10" t="s">
        <v>3137</v>
      </c>
      <c r="C1113" s="10" t="s">
        <v>3138</v>
      </c>
      <c r="D1113" s="10" t="s">
        <v>792</v>
      </c>
      <c r="E1113" s="10" t="s">
        <v>1101</v>
      </c>
      <c r="F1113" s="10" t="s">
        <v>793</v>
      </c>
      <c r="G1113" s="10" t="s">
        <v>892</v>
      </c>
      <c r="H1113" s="10" t="s">
        <v>802</v>
      </c>
      <c r="I1113" s="10" t="s">
        <v>793</v>
      </c>
      <c r="J1113" s="10" t="s">
        <v>881</v>
      </c>
    </row>
    <row r="1114" spans="1:10" ht="15" hidden="1" customHeight="1">
      <c r="A1114" s="9">
        <v>1110</v>
      </c>
      <c r="B1114" s="10" t="s">
        <v>3139</v>
      </c>
      <c r="C1114" s="10" t="s">
        <v>3140</v>
      </c>
      <c r="D1114" s="10" t="s">
        <v>792</v>
      </c>
      <c r="E1114" s="10" t="s">
        <v>3138</v>
      </c>
      <c r="F1114" s="10" t="s">
        <v>794</v>
      </c>
      <c r="G1114" s="10" t="s">
        <v>892</v>
      </c>
      <c r="H1114" s="10" t="s">
        <v>802</v>
      </c>
      <c r="I1114" s="10" t="s">
        <v>794</v>
      </c>
      <c r="J1114" s="10" t="s">
        <v>920</v>
      </c>
    </row>
    <row r="1115" spans="1:10" ht="15" hidden="1" customHeight="1">
      <c r="A1115" s="9">
        <v>1111</v>
      </c>
      <c r="B1115" s="10" t="s">
        <v>3141</v>
      </c>
      <c r="C1115" s="10" t="s">
        <v>3142</v>
      </c>
      <c r="D1115" s="10" t="s">
        <v>792</v>
      </c>
      <c r="E1115" s="10" t="s">
        <v>3138</v>
      </c>
      <c r="F1115" s="10" t="s">
        <v>794</v>
      </c>
      <c r="G1115" s="10" t="s">
        <v>892</v>
      </c>
      <c r="H1115" s="10" t="s">
        <v>802</v>
      </c>
      <c r="I1115" s="10" t="s">
        <v>794</v>
      </c>
      <c r="J1115" s="10" t="s">
        <v>920</v>
      </c>
    </row>
    <row r="1116" spans="1:10" ht="15" hidden="1" customHeight="1">
      <c r="A1116" s="9">
        <v>1112</v>
      </c>
      <c r="B1116" s="10" t="s">
        <v>3143</v>
      </c>
      <c r="C1116" s="10" t="s">
        <v>3144</v>
      </c>
      <c r="D1116" s="10" t="s">
        <v>792</v>
      </c>
      <c r="E1116" s="10" t="s">
        <v>1101</v>
      </c>
      <c r="F1116" s="10" t="s">
        <v>793</v>
      </c>
      <c r="G1116" s="10" t="s">
        <v>892</v>
      </c>
      <c r="H1116" s="10" t="s">
        <v>802</v>
      </c>
      <c r="I1116" s="10" t="s">
        <v>793</v>
      </c>
      <c r="J1116" s="10" t="s">
        <v>881</v>
      </c>
    </row>
    <row r="1117" spans="1:10" ht="15" hidden="1" customHeight="1">
      <c r="A1117" s="9">
        <v>1113</v>
      </c>
      <c r="B1117" s="10" t="s">
        <v>3145</v>
      </c>
      <c r="C1117" s="10" t="s">
        <v>3146</v>
      </c>
      <c r="D1117" s="10" t="s">
        <v>792</v>
      </c>
      <c r="E1117" s="10" t="s">
        <v>3144</v>
      </c>
      <c r="F1117" s="10" t="s">
        <v>794</v>
      </c>
      <c r="G1117" s="10" t="s">
        <v>892</v>
      </c>
      <c r="H1117" s="10" t="s">
        <v>802</v>
      </c>
      <c r="I1117" s="10" t="s">
        <v>794</v>
      </c>
      <c r="J1117" s="10" t="s">
        <v>920</v>
      </c>
    </row>
    <row r="1118" spans="1:10" ht="15" hidden="1" customHeight="1">
      <c r="A1118" s="9">
        <v>1114</v>
      </c>
      <c r="B1118" s="10" t="s">
        <v>3147</v>
      </c>
      <c r="C1118" s="10" t="s">
        <v>3148</v>
      </c>
      <c r="D1118" s="10" t="s">
        <v>792</v>
      </c>
      <c r="E1118" s="10" t="s">
        <v>3144</v>
      </c>
      <c r="F1118" s="10" t="s">
        <v>794</v>
      </c>
      <c r="G1118" s="10" t="s">
        <v>892</v>
      </c>
      <c r="H1118" s="10" t="s">
        <v>802</v>
      </c>
      <c r="I1118" s="10" t="s">
        <v>794</v>
      </c>
      <c r="J1118" s="10" t="s">
        <v>920</v>
      </c>
    </row>
    <row r="1119" spans="1:10" ht="15" hidden="1" customHeight="1">
      <c r="A1119" s="9">
        <v>1115</v>
      </c>
      <c r="B1119" s="10" t="s">
        <v>3149</v>
      </c>
      <c r="C1119" s="10" t="s">
        <v>3150</v>
      </c>
      <c r="D1119" s="10" t="s">
        <v>792</v>
      </c>
      <c r="E1119" s="10" t="s">
        <v>3144</v>
      </c>
      <c r="F1119" s="10" t="s">
        <v>794</v>
      </c>
      <c r="G1119" s="10" t="s">
        <v>892</v>
      </c>
      <c r="H1119" s="10" t="s">
        <v>802</v>
      </c>
      <c r="I1119" s="10" t="s">
        <v>794</v>
      </c>
      <c r="J1119" s="10" t="s">
        <v>920</v>
      </c>
    </row>
    <row r="1120" spans="1:10" ht="15" hidden="1" customHeight="1">
      <c r="A1120" s="9">
        <v>1116</v>
      </c>
      <c r="B1120" s="10" t="s">
        <v>3151</v>
      </c>
      <c r="C1120" s="10" t="s">
        <v>3152</v>
      </c>
      <c r="D1120" s="10" t="s">
        <v>792</v>
      </c>
      <c r="E1120" s="10" t="s">
        <v>3144</v>
      </c>
      <c r="F1120" s="10" t="s">
        <v>794</v>
      </c>
      <c r="G1120" s="10" t="s">
        <v>892</v>
      </c>
      <c r="H1120" s="10" t="s">
        <v>802</v>
      </c>
      <c r="I1120" s="10" t="s">
        <v>793</v>
      </c>
      <c r="J1120" s="10" t="s">
        <v>881</v>
      </c>
    </row>
    <row r="1121" spans="1:10" ht="15" hidden="1" customHeight="1">
      <c r="A1121" s="9">
        <v>1117</v>
      </c>
      <c r="B1121" s="10" t="s">
        <v>3153</v>
      </c>
      <c r="C1121" s="10" t="s">
        <v>3154</v>
      </c>
      <c r="D1121" s="10" t="s">
        <v>792</v>
      </c>
      <c r="E1121" s="10" t="s">
        <v>3144</v>
      </c>
      <c r="F1121" s="10" t="s">
        <v>794</v>
      </c>
      <c r="G1121" s="10" t="s">
        <v>892</v>
      </c>
      <c r="H1121" s="10" t="s">
        <v>802</v>
      </c>
      <c r="I1121" s="10" t="s">
        <v>793</v>
      </c>
      <c r="J1121" s="10" t="s">
        <v>881</v>
      </c>
    </row>
    <row r="1122" spans="1:10" ht="15" hidden="1" customHeight="1">
      <c r="A1122" s="9">
        <v>1118</v>
      </c>
      <c r="B1122" s="10" t="s">
        <v>3155</v>
      </c>
      <c r="C1122" s="10" t="s">
        <v>3156</v>
      </c>
      <c r="D1122" s="10" t="s">
        <v>792</v>
      </c>
      <c r="E1122" s="10" t="s">
        <v>3144</v>
      </c>
      <c r="F1122" s="10" t="s">
        <v>794</v>
      </c>
      <c r="G1122" s="10" t="s">
        <v>892</v>
      </c>
      <c r="H1122" s="10" t="s">
        <v>802</v>
      </c>
      <c r="I1122" s="10" t="s">
        <v>793</v>
      </c>
      <c r="J1122" s="10" t="s">
        <v>881</v>
      </c>
    </row>
    <row r="1123" spans="1:10" ht="15" hidden="1" customHeight="1">
      <c r="A1123" s="9">
        <v>1119</v>
      </c>
      <c r="B1123" s="10" t="s">
        <v>3157</v>
      </c>
      <c r="C1123" s="10" t="s">
        <v>3158</v>
      </c>
      <c r="D1123" s="10" t="s">
        <v>792</v>
      </c>
      <c r="E1123" s="10" t="s">
        <v>1101</v>
      </c>
      <c r="F1123" s="10" t="s">
        <v>793</v>
      </c>
      <c r="G1123" s="10" t="s">
        <v>892</v>
      </c>
      <c r="H1123" s="10" t="s">
        <v>802</v>
      </c>
      <c r="I1123" s="10" t="s">
        <v>793</v>
      </c>
      <c r="J1123" s="10" t="s">
        <v>881</v>
      </c>
    </row>
    <row r="1124" spans="1:10" ht="15" hidden="1" customHeight="1">
      <c r="A1124" s="9">
        <v>1120</v>
      </c>
      <c r="B1124" s="10" t="s">
        <v>3159</v>
      </c>
      <c r="C1124" s="10" t="s">
        <v>3160</v>
      </c>
      <c r="D1124" s="10" t="s">
        <v>792</v>
      </c>
      <c r="E1124" s="10" t="s">
        <v>3158</v>
      </c>
      <c r="F1124" s="10" t="s">
        <v>794</v>
      </c>
      <c r="G1124" s="10" t="s">
        <v>892</v>
      </c>
      <c r="H1124" s="10" t="s">
        <v>802</v>
      </c>
      <c r="I1124" s="10" t="s">
        <v>794</v>
      </c>
      <c r="J1124" s="10" t="s">
        <v>920</v>
      </c>
    </row>
    <row r="1125" spans="1:10" ht="15" hidden="1" customHeight="1">
      <c r="A1125" s="9">
        <v>1121</v>
      </c>
      <c r="B1125" s="10" t="s">
        <v>3161</v>
      </c>
      <c r="C1125" s="10" t="s">
        <v>3162</v>
      </c>
      <c r="D1125" s="10" t="s">
        <v>792</v>
      </c>
      <c r="E1125" s="10" t="s">
        <v>1101</v>
      </c>
      <c r="F1125" s="10" t="s">
        <v>793</v>
      </c>
      <c r="G1125" s="10" t="s">
        <v>892</v>
      </c>
      <c r="H1125" s="10" t="s">
        <v>802</v>
      </c>
      <c r="I1125" s="10" t="s">
        <v>793</v>
      </c>
      <c r="J1125" s="10" t="s">
        <v>881</v>
      </c>
    </row>
    <row r="1126" spans="1:10" ht="15" hidden="1" customHeight="1">
      <c r="A1126" s="9">
        <v>1122</v>
      </c>
      <c r="B1126" s="10" t="s">
        <v>3163</v>
      </c>
      <c r="C1126" s="10" t="s">
        <v>3164</v>
      </c>
      <c r="D1126" s="10" t="s">
        <v>792</v>
      </c>
      <c r="E1126" s="10" t="s">
        <v>3162</v>
      </c>
      <c r="F1126" s="10" t="s">
        <v>794</v>
      </c>
      <c r="G1126" s="10" t="s">
        <v>892</v>
      </c>
      <c r="H1126" s="10" t="s">
        <v>802</v>
      </c>
      <c r="I1126" s="10" t="s">
        <v>794</v>
      </c>
      <c r="J1126" s="10" t="s">
        <v>881</v>
      </c>
    </row>
    <row r="1127" spans="1:10" ht="15" hidden="1" customHeight="1">
      <c r="A1127" s="9">
        <v>1123</v>
      </c>
      <c r="B1127" s="10" t="s">
        <v>3165</v>
      </c>
      <c r="C1127" s="10" t="s">
        <v>3166</v>
      </c>
      <c r="D1127" s="10" t="s">
        <v>792</v>
      </c>
      <c r="E1127" s="10" t="s">
        <v>3162</v>
      </c>
      <c r="F1127" s="10" t="s">
        <v>794</v>
      </c>
      <c r="G1127" s="10" t="s">
        <v>892</v>
      </c>
      <c r="H1127" s="10" t="s">
        <v>802</v>
      </c>
      <c r="I1127" s="10" t="s">
        <v>793</v>
      </c>
      <c r="J1127" s="10" t="s">
        <v>881</v>
      </c>
    </row>
    <row r="1128" spans="1:10" ht="15" hidden="1" customHeight="1">
      <c r="A1128" s="9">
        <v>1124</v>
      </c>
      <c r="B1128" s="10" t="s">
        <v>3167</v>
      </c>
      <c r="C1128" s="10" t="s">
        <v>3168</v>
      </c>
      <c r="D1128" s="10" t="s">
        <v>792</v>
      </c>
      <c r="E1128" s="10" t="s">
        <v>3162</v>
      </c>
      <c r="F1128" s="10" t="s">
        <v>794</v>
      </c>
      <c r="G1128" s="10" t="s">
        <v>892</v>
      </c>
      <c r="H1128" s="10" t="s">
        <v>802</v>
      </c>
      <c r="I1128" s="10" t="s">
        <v>793</v>
      </c>
      <c r="J1128" s="10" t="s">
        <v>881</v>
      </c>
    </row>
    <row r="1129" spans="1:10" ht="15" hidden="1" customHeight="1">
      <c r="A1129" s="9">
        <v>1125</v>
      </c>
      <c r="B1129" s="10" t="s">
        <v>3169</v>
      </c>
      <c r="C1129" s="10" t="s">
        <v>3170</v>
      </c>
      <c r="D1129" s="10" t="s">
        <v>792</v>
      </c>
      <c r="E1129" s="10" t="s">
        <v>3162</v>
      </c>
      <c r="F1129" s="10" t="s">
        <v>794</v>
      </c>
      <c r="G1129" s="10" t="s">
        <v>892</v>
      </c>
      <c r="H1129" s="10" t="s">
        <v>802</v>
      </c>
      <c r="I1129" s="10" t="s">
        <v>793</v>
      </c>
      <c r="J1129" s="10" t="s">
        <v>920</v>
      </c>
    </row>
    <row r="1130" spans="1:10" ht="15" hidden="1" customHeight="1">
      <c r="A1130" s="9">
        <v>1126</v>
      </c>
      <c r="B1130" s="10" t="s">
        <v>3171</v>
      </c>
      <c r="C1130" s="10" t="s">
        <v>3172</v>
      </c>
      <c r="D1130" s="10" t="s">
        <v>792</v>
      </c>
      <c r="E1130" s="10" t="s">
        <v>3162</v>
      </c>
      <c r="F1130" s="10" t="s">
        <v>794</v>
      </c>
      <c r="G1130" s="10" t="s">
        <v>892</v>
      </c>
      <c r="H1130" s="10" t="s">
        <v>802</v>
      </c>
      <c r="I1130" s="10" t="s">
        <v>794</v>
      </c>
      <c r="J1130" s="10" t="s">
        <v>920</v>
      </c>
    </row>
    <row r="1131" spans="1:10" ht="15" hidden="1" customHeight="1">
      <c r="A1131" s="9">
        <v>1127</v>
      </c>
      <c r="B1131" s="10" t="s">
        <v>3173</v>
      </c>
      <c r="C1131" s="10" t="s">
        <v>3174</v>
      </c>
      <c r="D1131" s="10" t="s">
        <v>792</v>
      </c>
      <c r="E1131" s="10" t="s">
        <v>3162</v>
      </c>
      <c r="F1131" s="10" t="s">
        <v>794</v>
      </c>
      <c r="G1131" s="10" t="s">
        <v>892</v>
      </c>
      <c r="H1131" s="10" t="s">
        <v>802</v>
      </c>
      <c r="I1131" s="10" t="s">
        <v>794</v>
      </c>
      <c r="J1131" s="10" t="s">
        <v>920</v>
      </c>
    </row>
    <row r="1132" spans="1:10" ht="15" hidden="1" customHeight="1">
      <c r="A1132" s="9">
        <v>1128</v>
      </c>
      <c r="B1132" s="10" t="s">
        <v>3175</v>
      </c>
      <c r="C1132" s="10" t="s">
        <v>3176</v>
      </c>
      <c r="D1132" s="10" t="s">
        <v>792</v>
      </c>
      <c r="E1132" s="10" t="s">
        <v>3162</v>
      </c>
      <c r="F1132" s="10" t="s">
        <v>794</v>
      </c>
      <c r="G1132" s="10" t="s">
        <v>892</v>
      </c>
      <c r="H1132" s="10" t="s">
        <v>802</v>
      </c>
      <c r="I1132" s="10" t="s">
        <v>794</v>
      </c>
      <c r="J1132" s="10" t="s">
        <v>920</v>
      </c>
    </row>
    <row r="1133" spans="1:10" ht="15" hidden="1" customHeight="1">
      <c r="A1133" s="9">
        <v>1129</v>
      </c>
      <c r="B1133" s="10" t="s">
        <v>3177</v>
      </c>
      <c r="C1133" s="10" t="s">
        <v>3178</v>
      </c>
      <c r="D1133" s="10" t="s">
        <v>792</v>
      </c>
      <c r="E1133" s="10" t="s">
        <v>3162</v>
      </c>
      <c r="F1133" s="10" t="s">
        <v>794</v>
      </c>
      <c r="G1133" s="10" t="s">
        <v>892</v>
      </c>
      <c r="H1133" s="10" t="s">
        <v>802</v>
      </c>
      <c r="I1133" s="10" t="s">
        <v>794</v>
      </c>
      <c r="J1133" s="10" t="s">
        <v>920</v>
      </c>
    </row>
    <row r="1134" spans="1:10" ht="15" hidden="1" customHeight="1">
      <c r="A1134" s="9">
        <v>1130</v>
      </c>
      <c r="B1134" s="10" t="s">
        <v>3179</v>
      </c>
      <c r="C1134" s="10" t="s">
        <v>3180</v>
      </c>
      <c r="D1134" s="10" t="s">
        <v>792</v>
      </c>
      <c r="E1134" s="10" t="s">
        <v>3162</v>
      </c>
      <c r="F1134" s="10" t="s">
        <v>794</v>
      </c>
      <c r="G1134" s="10" t="s">
        <v>892</v>
      </c>
      <c r="H1134" s="10" t="s">
        <v>802</v>
      </c>
      <c r="I1134" s="10" t="s">
        <v>794</v>
      </c>
      <c r="J1134" s="10" t="s">
        <v>920</v>
      </c>
    </row>
    <row r="1135" spans="1:10" ht="15" hidden="1" customHeight="1">
      <c r="A1135" s="9">
        <v>1131</v>
      </c>
      <c r="B1135" s="10" t="s">
        <v>3181</v>
      </c>
      <c r="C1135" s="10" t="s">
        <v>3182</v>
      </c>
      <c r="D1135" s="10" t="s">
        <v>792</v>
      </c>
      <c r="E1135" s="10" t="s">
        <v>3162</v>
      </c>
      <c r="F1135" s="10" t="s">
        <v>794</v>
      </c>
      <c r="G1135" s="10" t="s">
        <v>892</v>
      </c>
      <c r="H1135" s="10" t="s">
        <v>802</v>
      </c>
      <c r="I1135" s="10" t="s">
        <v>793</v>
      </c>
      <c r="J1135" s="10" t="s">
        <v>881</v>
      </c>
    </row>
    <row r="1136" spans="1:10" ht="15" hidden="1" customHeight="1">
      <c r="A1136" s="9">
        <v>1132</v>
      </c>
      <c r="B1136" s="10" t="s">
        <v>3183</v>
      </c>
      <c r="C1136" s="10" t="s">
        <v>3184</v>
      </c>
      <c r="D1136" s="10" t="s">
        <v>792</v>
      </c>
      <c r="E1136" s="10" t="s">
        <v>3162</v>
      </c>
      <c r="F1136" s="10" t="s">
        <v>794</v>
      </c>
      <c r="G1136" s="10" t="s">
        <v>892</v>
      </c>
      <c r="H1136" s="10" t="s">
        <v>802</v>
      </c>
      <c r="I1136" s="10" t="s">
        <v>794</v>
      </c>
      <c r="J1136" s="10" t="s">
        <v>920</v>
      </c>
    </row>
    <row r="1137" spans="1:10" ht="15" hidden="1" customHeight="1">
      <c r="A1137" s="9">
        <v>1133</v>
      </c>
      <c r="B1137" s="10" t="s">
        <v>3185</v>
      </c>
      <c r="C1137" s="10" t="s">
        <v>3186</v>
      </c>
      <c r="D1137" s="10" t="s">
        <v>792</v>
      </c>
      <c r="E1137" s="10" t="s">
        <v>3162</v>
      </c>
      <c r="F1137" s="10" t="s">
        <v>794</v>
      </c>
      <c r="G1137" s="10" t="s">
        <v>892</v>
      </c>
      <c r="H1137" s="10" t="s">
        <v>802</v>
      </c>
      <c r="I1137" s="10" t="s">
        <v>794</v>
      </c>
      <c r="J1137" s="10" t="s">
        <v>920</v>
      </c>
    </row>
    <row r="1138" spans="1:10" ht="15" hidden="1" customHeight="1">
      <c r="A1138" s="9">
        <v>1134</v>
      </c>
      <c r="B1138" s="10" t="s">
        <v>3187</v>
      </c>
      <c r="C1138" s="10" t="s">
        <v>3188</v>
      </c>
      <c r="D1138" s="10" t="s">
        <v>792</v>
      </c>
      <c r="E1138" s="10" t="s">
        <v>3162</v>
      </c>
      <c r="F1138" s="10" t="s">
        <v>794</v>
      </c>
      <c r="G1138" s="10" t="s">
        <v>892</v>
      </c>
      <c r="H1138" s="10" t="s">
        <v>802</v>
      </c>
      <c r="I1138" s="10" t="s">
        <v>794</v>
      </c>
      <c r="J1138" s="10" t="s">
        <v>920</v>
      </c>
    </row>
    <row r="1139" spans="1:10" ht="15" hidden="1" customHeight="1">
      <c r="A1139" s="9">
        <v>1135</v>
      </c>
      <c r="B1139" s="10" t="s">
        <v>3189</v>
      </c>
      <c r="C1139" s="10" t="s">
        <v>3190</v>
      </c>
      <c r="D1139" s="10" t="s">
        <v>792</v>
      </c>
      <c r="E1139" s="10" t="s">
        <v>3162</v>
      </c>
      <c r="F1139" s="10" t="s">
        <v>794</v>
      </c>
      <c r="G1139" s="10" t="s">
        <v>977</v>
      </c>
      <c r="H1139" s="10" t="s">
        <v>978</v>
      </c>
      <c r="I1139" s="10" t="s">
        <v>794</v>
      </c>
      <c r="J1139" s="10" t="s">
        <v>920</v>
      </c>
    </row>
    <row r="1140" spans="1:10" ht="15" hidden="1" customHeight="1">
      <c r="A1140" s="9">
        <v>1136</v>
      </c>
      <c r="B1140" s="10" t="s">
        <v>3191</v>
      </c>
      <c r="C1140" s="10" t="s">
        <v>3192</v>
      </c>
      <c r="D1140" s="10" t="s">
        <v>792</v>
      </c>
      <c r="E1140" s="10" t="s">
        <v>3162</v>
      </c>
      <c r="F1140" s="10" t="s">
        <v>794</v>
      </c>
      <c r="G1140" s="10" t="s">
        <v>892</v>
      </c>
      <c r="H1140" s="10" t="s">
        <v>802</v>
      </c>
      <c r="I1140" s="10" t="s">
        <v>794</v>
      </c>
      <c r="J1140" s="10" t="s">
        <v>920</v>
      </c>
    </row>
    <row r="1141" spans="1:10" ht="15" hidden="1" customHeight="1">
      <c r="A1141" s="9">
        <v>1137</v>
      </c>
      <c r="B1141" s="10" t="s">
        <v>3193</v>
      </c>
      <c r="C1141" s="10" t="s">
        <v>3194</v>
      </c>
      <c r="D1141" s="10" t="s">
        <v>792</v>
      </c>
      <c r="E1141" s="10" t="s">
        <v>1101</v>
      </c>
      <c r="F1141" s="10" t="s">
        <v>794</v>
      </c>
      <c r="G1141" s="10" t="s">
        <v>892</v>
      </c>
      <c r="H1141" s="10" t="s">
        <v>802</v>
      </c>
      <c r="I1141" s="10" t="s">
        <v>793</v>
      </c>
      <c r="J1141" s="10" t="s">
        <v>881</v>
      </c>
    </row>
    <row r="1142" spans="1:10" ht="15" hidden="1" customHeight="1">
      <c r="A1142" s="9">
        <v>1138</v>
      </c>
      <c r="B1142" s="10" t="s">
        <v>3195</v>
      </c>
      <c r="C1142" s="10" t="s">
        <v>3196</v>
      </c>
      <c r="D1142" s="10" t="s">
        <v>792</v>
      </c>
      <c r="E1142" s="10" t="s">
        <v>1101</v>
      </c>
      <c r="F1142" s="10" t="s">
        <v>793</v>
      </c>
      <c r="G1142" s="10" t="s">
        <v>3197</v>
      </c>
      <c r="H1142" s="10" t="s">
        <v>802</v>
      </c>
      <c r="I1142" s="10" t="s">
        <v>793</v>
      </c>
      <c r="J1142" s="10" t="s">
        <v>881</v>
      </c>
    </row>
    <row r="1143" spans="1:10" ht="15" hidden="1" customHeight="1">
      <c r="A1143" s="9">
        <v>1139</v>
      </c>
      <c r="B1143" s="10" t="s">
        <v>3198</v>
      </c>
      <c r="C1143" s="10" t="s">
        <v>3199</v>
      </c>
      <c r="D1143" s="10" t="s">
        <v>792</v>
      </c>
      <c r="E1143" s="10" t="s">
        <v>3196</v>
      </c>
      <c r="F1143" s="10" t="s">
        <v>794</v>
      </c>
      <c r="G1143" s="10" t="s">
        <v>3197</v>
      </c>
      <c r="H1143" s="10" t="s">
        <v>802</v>
      </c>
      <c r="I1143" s="10" t="s">
        <v>793</v>
      </c>
      <c r="J1143" s="10" t="s">
        <v>881</v>
      </c>
    </row>
    <row r="1144" spans="1:10" ht="15" hidden="1" customHeight="1">
      <c r="A1144" s="9">
        <v>1140</v>
      </c>
      <c r="B1144" s="10" t="s">
        <v>3200</v>
      </c>
      <c r="C1144" s="10" t="s">
        <v>3201</v>
      </c>
      <c r="D1144" s="10" t="s">
        <v>792</v>
      </c>
      <c r="E1144" s="10" t="s">
        <v>3196</v>
      </c>
      <c r="F1144" s="10" t="s">
        <v>794</v>
      </c>
      <c r="G1144" s="10" t="s">
        <v>3197</v>
      </c>
      <c r="H1144" s="10" t="s">
        <v>802</v>
      </c>
      <c r="I1144" s="10" t="s">
        <v>793</v>
      </c>
      <c r="J1144" s="10" t="s">
        <v>881</v>
      </c>
    </row>
    <row r="1145" spans="1:10" ht="15" hidden="1" customHeight="1">
      <c r="A1145" s="9">
        <v>1141</v>
      </c>
      <c r="B1145" s="10" t="s">
        <v>3202</v>
      </c>
      <c r="C1145" s="10" t="s">
        <v>3203</v>
      </c>
      <c r="D1145" s="10" t="s">
        <v>792</v>
      </c>
      <c r="E1145" s="10" t="s">
        <v>1101</v>
      </c>
      <c r="F1145" s="10" t="s">
        <v>793</v>
      </c>
      <c r="G1145" s="10" t="s">
        <v>3197</v>
      </c>
      <c r="H1145" s="10" t="s">
        <v>802</v>
      </c>
      <c r="I1145" s="10" t="s">
        <v>793</v>
      </c>
      <c r="J1145" s="10" t="s">
        <v>881</v>
      </c>
    </row>
    <row r="1146" spans="1:10" ht="15" hidden="1" customHeight="1">
      <c r="A1146" s="9">
        <v>1142</v>
      </c>
      <c r="B1146" s="10" t="s">
        <v>3204</v>
      </c>
      <c r="C1146" s="10" t="s">
        <v>3205</v>
      </c>
      <c r="D1146" s="10" t="s">
        <v>792</v>
      </c>
      <c r="E1146" s="10" t="s">
        <v>3203</v>
      </c>
      <c r="F1146" s="10" t="s">
        <v>794</v>
      </c>
      <c r="G1146" s="10" t="s">
        <v>3197</v>
      </c>
      <c r="H1146" s="10" t="s">
        <v>802</v>
      </c>
      <c r="I1146" s="10" t="s">
        <v>793</v>
      </c>
      <c r="J1146" s="10" t="s">
        <v>881</v>
      </c>
    </row>
    <row r="1147" spans="1:10" ht="15" hidden="1" customHeight="1">
      <c r="A1147" s="9">
        <v>1143</v>
      </c>
      <c r="B1147" s="10" t="s">
        <v>3206</v>
      </c>
      <c r="C1147" s="10" t="s">
        <v>3207</v>
      </c>
      <c r="D1147" s="10" t="s">
        <v>792</v>
      </c>
      <c r="E1147" s="10" t="s">
        <v>3203</v>
      </c>
      <c r="F1147" s="10" t="s">
        <v>794</v>
      </c>
      <c r="G1147" s="10" t="s">
        <v>3197</v>
      </c>
      <c r="H1147" s="10" t="s">
        <v>802</v>
      </c>
      <c r="I1147" s="10" t="s">
        <v>793</v>
      </c>
      <c r="J1147" s="10" t="s">
        <v>881</v>
      </c>
    </row>
    <row r="1148" spans="1:10" ht="15" hidden="1" customHeight="1">
      <c r="A1148" s="9">
        <v>1144</v>
      </c>
      <c r="B1148" s="10" t="s">
        <v>3208</v>
      </c>
      <c r="C1148" s="10" t="s">
        <v>3209</v>
      </c>
      <c r="D1148" s="10" t="s">
        <v>792</v>
      </c>
      <c r="E1148" s="10" t="s">
        <v>1101</v>
      </c>
      <c r="F1148" s="10" t="s">
        <v>793</v>
      </c>
      <c r="G1148" s="10" t="s">
        <v>880</v>
      </c>
      <c r="H1148" s="10" t="s">
        <v>802</v>
      </c>
      <c r="I1148" s="10" t="s">
        <v>794</v>
      </c>
      <c r="J1148" s="10" t="s">
        <v>795</v>
      </c>
    </row>
    <row r="1149" spans="1:10" ht="15" hidden="1" customHeight="1">
      <c r="A1149" s="9">
        <v>1145</v>
      </c>
      <c r="B1149" s="10" t="s">
        <v>3210</v>
      </c>
      <c r="C1149" s="10" t="s">
        <v>3211</v>
      </c>
      <c r="D1149" s="10" t="s">
        <v>792</v>
      </c>
      <c r="E1149" s="10" t="s">
        <v>3209</v>
      </c>
      <c r="F1149" s="10" t="s">
        <v>794</v>
      </c>
      <c r="G1149" s="10" t="s">
        <v>880</v>
      </c>
      <c r="H1149" s="10" t="s">
        <v>802</v>
      </c>
      <c r="I1149" s="10" t="s">
        <v>794</v>
      </c>
      <c r="J1149" s="10" t="s">
        <v>795</v>
      </c>
    </row>
    <row r="1150" spans="1:10" ht="15" hidden="1" customHeight="1">
      <c r="A1150" s="9">
        <v>1146</v>
      </c>
      <c r="B1150" s="10" t="s">
        <v>3212</v>
      </c>
      <c r="C1150" s="10" t="s">
        <v>3213</v>
      </c>
      <c r="D1150" s="10" t="s">
        <v>792</v>
      </c>
      <c r="E1150" s="10" t="s">
        <v>3209</v>
      </c>
      <c r="F1150" s="10" t="s">
        <v>794</v>
      </c>
      <c r="G1150" s="10" t="s">
        <v>892</v>
      </c>
      <c r="H1150" s="10" t="s">
        <v>802</v>
      </c>
      <c r="I1150" s="10" t="s">
        <v>794</v>
      </c>
      <c r="J1150" s="10" t="s">
        <v>795</v>
      </c>
    </row>
    <row r="1151" spans="1:10" ht="15" hidden="1" customHeight="1">
      <c r="A1151" s="9">
        <v>1147</v>
      </c>
      <c r="B1151" s="10" t="s">
        <v>3214</v>
      </c>
      <c r="C1151" s="10" t="s">
        <v>3215</v>
      </c>
      <c r="D1151" s="10" t="s">
        <v>792</v>
      </c>
      <c r="E1151" s="10" t="s">
        <v>1118</v>
      </c>
      <c r="F1151" s="10" t="s">
        <v>794</v>
      </c>
      <c r="G1151" s="10" t="s">
        <v>801</v>
      </c>
      <c r="H1151" s="10" t="s">
        <v>802</v>
      </c>
      <c r="I1151" s="10" t="s">
        <v>794</v>
      </c>
      <c r="J1151" s="10" t="s">
        <v>1004</v>
      </c>
    </row>
    <row r="1152" spans="1:10" ht="15" hidden="1" customHeight="1">
      <c r="A1152" s="9">
        <v>1148</v>
      </c>
      <c r="B1152" s="10" t="s">
        <v>3216</v>
      </c>
      <c r="C1152" s="10" t="s">
        <v>3217</v>
      </c>
      <c r="D1152" s="10" t="s">
        <v>792</v>
      </c>
      <c r="E1152" s="10" t="s">
        <v>1118</v>
      </c>
      <c r="F1152" s="10" t="s">
        <v>794</v>
      </c>
      <c r="G1152" s="10" t="s">
        <v>801</v>
      </c>
      <c r="H1152" s="10" t="s">
        <v>802</v>
      </c>
      <c r="I1152" s="10" t="s">
        <v>794</v>
      </c>
      <c r="J1152" s="10" t="s">
        <v>1004</v>
      </c>
    </row>
    <row r="1153" spans="1:10" ht="15" hidden="1" customHeight="1">
      <c r="A1153" s="9">
        <v>1149</v>
      </c>
      <c r="B1153" s="10" t="s">
        <v>3218</v>
      </c>
      <c r="C1153" s="10" t="s">
        <v>3219</v>
      </c>
      <c r="D1153" s="10" t="s">
        <v>792</v>
      </c>
      <c r="E1153" s="10" t="s">
        <v>1118</v>
      </c>
      <c r="F1153" s="10" t="s">
        <v>794</v>
      </c>
      <c r="G1153" s="10" t="s">
        <v>801</v>
      </c>
      <c r="H1153" s="10" t="s">
        <v>802</v>
      </c>
      <c r="I1153" s="10" t="s">
        <v>794</v>
      </c>
      <c r="J1153" s="10" t="s">
        <v>1004</v>
      </c>
    </row>
    <row r="1154" spans="1:10" ht="15" hidden="1" customHeight="1">
      <c r="A1154" s="9">
        <v>1150</v>
      </c>
      <c r="B1154" s="10" t="s">
        <v>3220</v>
      </c>
      <c r="C1154" s="10" t="s">
        <v>3221</v>
      </c>
      <c r="D1154" s="10" t="s">
        <v>792</v>
      </c>
      <c r="E1154" s="10" t="s">
        <v>1118</v>
      </c>
      <c r="F1154" s="10" t="s">
        <v>794</v>
      </c>
      <c r="G1154" s="10" t="s">
        <v>801</v>
      </c>
      <c r="H1154" s="10" t="s">
        <v>802</v>
      </c>
      <c r="I1154" s="10" t="s">
        <v>794</v>
      </c>
      <c r="J1154" s="10" t="s">
        <v>795</v>
      </c>
    </row>
    <row r="1155" spans="1:10" ht="15" hidden="1" customHeight="1">
      <c r="A1155" s="9">
        <v>1151</v>
      </c>
      <c r="B1155" s="10" t="s">
        <v>3222</v>
      </c>
      <c r="C1155" s="10" t="s">
        <v>3223</v>
      </c>
      <c r="D1155" s="10" t="s">
        <v>792</v>
      </c>
      <c r="E1155" s="10" t="s">
        <v>1120</v>
      </c>
      <c r="F1155" s="10" t="s">
        <v>794</v>
      </c>
      <c r="G1155" s="10" t="s">
        <v>801</v>
      </c>
      <c r="H1155" s="10" t="s">
        <v>802</v>
      </c>
      <c r="I1155" s="10" t="s">
        <v>794</v>
      </c>
      <c r="J1155" s="10" t="s">
        <v>1004</v>
      </c>
    </row>
    <row r="1156" spans="1:10" ht="15" hidden="1" customHeight="1">
      <c r="A1156" s="9">
        <v>1152</v>
      </c>
      <c r="B1156" s="10" t="s">
        <v>3224</v>
      </c>
      <c r="C1156" s="10" t="s">
        <v>3225</v>
      </c>
      <c r="D1156" s="10" t="s">
        <v>792</v>
      </c>
      <c r="E1156" s="10" t="s">
        <v>1126</v>
      </c>
      <c r="F1156" s="10" t="s">
        <v>794</v>
      </c>
      <c r="G1156" s="10" t="s">
        <v>892</v>
      </c>
      <c r="H1156" s="10" t="s">
        <v>802</v>
      </c>
      <c r="I1156" s="10" t="s">
        <v>794</v>
      </c>
      <c r="J1156" s="10" t="s">
        <v>119</v>
      </c>
    </row>
    <row r="1157" spans="1:10" ht="15" hidden="1" customHeight="1">
      <c r="A1157" s="9">
        <v>1153</v>
      </c>
      <c r="B1157" s="10" t="s">
        <v>3226</v>
      </c>
      <c r="C1157" s="10" t="s">
        <v>3227</v>
      </c>
      <c r="D1157" s="10" t="s">
        <v>792</v>
      </c>
      <c r="E1157" s="10" t="s">
        <v>1147</v>
      </c>
      <c r="F1157" s="10" t="s">
        <v>794</v>
      </c>
      <c r="G1157" s="10" t="s">
        <v>3228</v>
      </c>
      <c r="H1157" s="10" t="s">
        <v>802</v>
      </c>
      <c r="I1157" s="10" t="s">
        <v>794</v>
      </c>
      <c r="J1157" s="10" t="s">
        <v>119</v>
      </c>
    </row>
    <row r="1158" spans="1:10" ht="15" hidden="1" customHeight="1">
      <c r="A1158" s="9">
        <v>1154</v>
      </c>
      <c r="B1158" s="10" t="s">
        <v>3229</v>
      </c>
      <c r="C1158" s="10" t="s">
        <v>3230</v>
      </c>
      <c r="D1158" s="10" t="s">
        <v>792</v>
      </c>
      <c r="E1158" s="10" t="s">
        <v>1147</v>
      </c>
      <c r="F1158" s="10" t="s">
        <v>794</v>
      </c>
      <c r="G1158" s="10" t="s">
        <v>3228</v>
      </c>
      <c r="H1158" s="10" t="s">
        <v>802</v>
      </c>
      <c r="I1158" s="10" t="s">
        <v>794</v>
      </c>
      <c r="J1158" s="10" t="s">
        <v>119</v>
      </c>
    </row>
    <row r="1159" spans="1:10" ht="15" hidden="1" customHeight="1">
      <c r="A1159" s="9">
        <v>1155</v>
      </c>
      <c r="B1159" s="10" t="s">
        <v>3231</v>
      </c>
      <c r="C1159" s="10" t="s">
        <v>3232</v>
      </c>
      <c r="D1159" s="10" t="s">
        <v>792</v>
      </c>
      <c r="E1159" s="10" t="s">
        <v>1147</v>
      </c>
      <c r="F1159" s="10" t="s">
        <v>794</v>
      </c>
      <c r="G1159" s="10" t="s">
        <v>3228</v>
      </c>
      <c r="H1159" s="10" t="s">
        <v>802</v>
      </c>
      <c r="I1159" s="10" t="s">
        <v>794</v>
      </c>
      <c r="J1159" s="10" t="s">
        <v>119</v>
      </c>
    </row>
    <row r="1160" spans="1:10" ht="15" hidden="1" customHeight="1">
      <c r="A1160" s="9">
        <v>1156</v>
      </c>
      <c r="B1160" s="10" t="s">
        <v>3233</v>
      </c>
      <c r="C1160" s="10" t="s">
        <v>3234</v>
      </c>
      <c r="D1160" s="10" t="s">
        <v>792</v>
      </c>
      <c r="E1160" s="10" t="s">
        <v>1147</v>
      </c>
      <c r="F1160" s="10" t="s">
        <v>794</v>
      </c>
      <c r="G1160" s="10" t="s">
        <v>1222</v>
      </c>
      <c r="H1160" s="10" t="s">
        <v>802</v>
      </c>
      <c r="I1160" s="10" t="s">
        <v>794</v>
      </c>
      <c r="J1160" s="10" t="s">
        <v>119</v>
      </c>
    </row>
    <row r="1161" spans="1:10" ht="15" hidden="1" customHeight="1">
      <c r="A1161" s="9">
        <v>1157</v>
      </c>
      <c r="B1161" s="10" t="s">
        <v>3235</v>
      </c>
      <c r="C1161" s="10" t="s">
        <v>3236</v>
      </c>
      <c r="D1161" s="10" t="s">
        <v>792</v>
      </c>
      <c r="E1161" s="10" t="s">
        <v>1147</v>
      </c>
      <c r="F1161" s="10" t="s">
        <v>794</v>
      </c>
      <c r="G1161" s="10" t="s">
        <v>1222</v>
      </c>
      <c r="H1161" s="10" t="s">
        <v>802</v>
      </c>
      <c r="I1161" s="10" t="s">
        <v>794</v>
      </c>
      <c r="J1161" s="10" t="s">
        <v>795</v>
      </c>
    </row>
    <row r="1162" spans="1:10" ht="15" hidden="1" customHeight="1">
      <c r="A1162" s="9">
        <v>1158</v>
      </c>
      <c r="B1162" s="10" t="s">
        <v>3237</v>
      </c>
      <c r="C1162" s="10" t="s">
        <v>3238</v>
      </c>
      <c r="D1162" s="10" t="s">
        <v>792</v>
      </c>
      <c r="E1162" s="10" t="s">
        <v>1149</v>
      </c>
      <c r="F1162" s="10" t="s">
        <v>794</v>
      </c>
      <c r="G1162" s="10" t="s">
        <v>3239</v>
      </c>
      <c r="H1162" s="10" t="s">
        <v>802</v>
      </c>
      <c r="I1162" s="10" t="s">
        <v>794</v>
      </c>
      <c r="J1162" s="10" t="s">
        <v>119</v>
      </c>
    </row>
    <row r="1163" spans="1:10" ht="15" hidden="1" customHeight="1">
      <c r="A1163" s="9">
        <v>1159</v>
      </c>
      <c r="B1163" s="10" t="s">
        <v>3240</v>
      </c>
      <c r="C1163" s="10" t="s">
        <v>3241</v>
      </c>
      <c r="D1163" s="10" t="s">
        <v>792</v>
      </c>
      <c r="E1163" s="10" t="s">
        <v>1149</v>
      </c>
      <c r="F1163" s="10" t="s">
        <v>794</v>
      </c>
      <c r="G1163" s="10" t="s">
        <v>3239</v>
      </c>
      <c r="H1163" s="10" t="s">
        <v>802</v>
      </c>
      <c r="I1163" s="10" t="s">
        <v>794</v>
      </c>
      <c r="J1163" s="10" t="s">
        <v>119</v>
      </c>
    </row>
    <row r="1164" spans="1:10" ht="15" hidden="1" customHeight="1">
      <c r="A1164" s="9">
        <v>1160</v>
      </c>
      <c r="B1164" s="10" t="s">
        <v>3242</v>
      </c>
      <c r="C1164" s="10" t="s">
        <v>3243</v>
      </c>
      <c r="D1164" s="10" t="s">
        <v>792</v>
      </c>
      <c r="E1164" s="10" t="s">
        <v>1149</v>
      </c>
      <c r="F1164" s="10" t="s">
        <v>794</v>
      </c>
      <c r="G1164" s="10" t="s">
        <v>3239</v>
      </c>
      <c r="H1164" s="10" t="s">
        <v>802</v>
      </c>
      <c r="I1164" s="10" t="s">
        <v>794</v>
      </c>
      <c r="J1164" s="10" t="s">
        <v>119</v>
      </c>
    </row>
    <row r="1165" spans="1:10" ht="15" hidden="1" customHeight="1">
      <c r="A1165" s="9">
        <v>1161</v>
      </c>
      <c r="B1165" s="10" t="s">
        <v>3244</v>
      </c>
      <c r="C1165" s="10" t="s">
        <v>3245</v>
      </c>
      <c r="D1165" s="10" t="s">
        <v>792</v>
      </c>
      <c r="E1165" s="10" t="s">
        <v>1149</v>
      </c>
      <c r="F1165" s="10" t="s">
        <v>794</v>
      </c>
      <c r="G1165" s="10" t="s">
        <v>3239</v>
      </c>
      <c r="H1165" s="10" t="s">
        <v>802</v>
      </c>
      <c r="I1165" s="10" t="s">
        <v>794</v>
      </c>
      <c r="J1165" s="10" t="s">
        <v>119</v>
      </c>
    </row>
    <row r="1166" spans="1:10" ht="15" hidden="1" customHeight="1">
      <c r="A1166" s="9">
        <v>1162</v>
      </c>
      <c r="B1166" s="10" t="s">
        <v>3246</v>
      </c>
      <c r="C1166" s="10" t="s">
        <v>3247</v>
      </c>
      <c r="D1166" s="10" t="s">
        <v>792</v>
      </c>
      <c r="E1166" s="10" t="s">
        <v>1149</v>
      </c>
      <c r="F1166" s="10" t="s">
        <v>794</v>
      </c>
      <c r="G1166" s="10" t="s">
        <v>3239</v>
      </c>
      <c r="H1166" s="10" t="s">
        <v>802</v>
      </c>
      <c r="I1166" s="10" t="s">
        <v>794</v>
      </c>
      <c r="J1166" s="10" t="s">
        <v>119</v>
      </c>
    </row>
    <row r="1167" spans="1:10" ht="15" hidden="1" customHeight="1">
      <c r="A1167" s="9">
        <v>1163</v>
      </c>
      <c r="B1167" s="10" t="s">
        <v>3248</v>
      </c>
      <c r="C1167" s="10" t="s">
        <v>3249</v>
      </c>
      <c r="D1167" s="10" t="s">
        <v>792</v>
      </c>
      <c r="E1167" s="10" t="s">
        <v>1149</v>
      </c>
      <c r="F1167" s="10" t="s">
        <v>794</v>
      </c>
      <c r="G1167" s="10" t="s">
        <v>3239</v>
      </c>
      <c r="H1167" s="10" t="s">
        <v>802</v>
      </c>
      <c r="I1167" s="10" t="s">
        <v>794</v>
      </c>
      <c r="J1167" s="10" t="s">
        <v>795</v>
      </c>
    </row>
    <row r="1168" spans="1:10" ht="15" hidden="1" customHeight="1">
      <c r="A1168" s="9">
        <v>1164</v>
      </c>
      <c r="B1168" s="10" t="s">
        <v>3250</v>
      </c>
      <c r="C1168" s="10" t="s">
        <v>3251</v>
      </c>
      <c r="D1168" s="10" t="s">
        <v>792</v>
      </c>
      <c r="E1168" s="10" t="s">
        <v>1151</v>
      </c>
      <c r="F1168" s="10" t="s">
        <v>794</v>
      </c>
      <c r="G1168" s="10" t="s">
        <v>3252</v>
      </c>
      <c r="H1168" s="10" t="s">
        <v>802</v>
      </c>
      <c r="I1168" s="10" t="s">
        <v>794</v>
      </c>
      <c r="J1168" s="10" t="s">
        <v>119</v>
      </c>
    </row>
    <row r="1169" spans="1:10" ht="15" hidden="1" customHeight="1">
      <c r="A1169" s="9">
        <v>1165</v>
      </c>
      <c r="B1169" s="10" t="s">
        <v>3253</v>
      </c>
      <c r="C1169" s="10" t="s">
        <v>3254</v>
      </c>
      <c r="D1169" s="10" t="s">
        <v>792</v>
      </c>
      <c r="E1169" s="10" t="s">
        <v>1151</v>
      </c>
      <c r="F1169" s="10" t="s">
        <v>794</v>
      </c>
      <c r="G1169" s="10" t="s">
        <v>3252</v>
      </c>
      <c r="H1169" s="10" t="s">
        <v>802</v>
      </c>
      <c r="I1169" s="10" t="s">
        <v>794</v>
      </c>
      <c r="J1169" s="10" t="s">
        <v>119</v>
      </c>
    </row>
    <row r="1170" spans="1:10" ht="15" hidden="1" customHeight="1">
      <c r="A1170" s="9">
        <v>1166</v>
      </c>
      <c r="B1170" s="10" t="s">
        <v>3255</v>
      </c>
      <c r="C1170" s="10" t="s">
        <v>3256</v>
      </c>
      <c r="D1170" s="10" t="s">
        <v>792</v>
      </c>
      <c r="E1170" s="10" t="s">
        <v>1151</v>
      </c>
      <c r="F1170" s="10" t="s">
        <v>794</v>
      </c>
      <c r="G1170" s="10" t="s">
        <v>3252</v>
      </c>
      <c r="H1170" s="10" t="s">
        <v>802</v>
      </c>
      <c r="I1170" s="10" t="s">
        <v>794</v>
      </c>
      <c r="J1170" s="10" t="s">
        <v>119</v>
      </c>
    </row>
    <row r="1171" spans="1:10" ht="15" hidden="1" customHeight="1">
      <c r="A1171" s="9">
        <v>1167</v>
      </c>
      <c r="B1171" s="10" t="s">
        <v>3257</v>
      </c>
      <c r="C1171" s="10" t="s">
        <v>3258</v>
      </c>
      <c r="D1171" s="10" t="s">
        <v>792</v>
      </c>
      <c r="E1171" s="10" t="s">
        <v>1151</v>
      </c>
      <c r="F1171" s="10" t="s">
        <v>794</v>
      </c>
      <c r="G1171" s="10" t="s">
        <v>3252</v>
      </c>
      <c r="H1171" s="10" t="s">
        <v>802</v>
      </c>
      <c r="I1171" s="10" t="s">
        <v>794</v>
      </c>
      <c r="J1171" s="10" t="s">
        <v>795</v>
      </c>
    </row>
    <row r="1172" spans="1:10" ht="15" hidden="1" customHeight="1">
      <c r="A1172" s="9">
        <v>1168</v>
      </c>
      <c r="B1172" s="10" t="s">
        <v>3259</v>
      </c>
      <c r="C1172" s="10" t="s">
        <v>3260</v>
      </c>
      <c r="D1172" s="10" t="s">
        <v>792</v>
      </c>
      <c r="E1172" s="10" t="s">
        <v>1151</v>
      </c>
      <c r="F1172" s="10" t="s">
        <v>794</v>
      </c>
      <c r="G1172" s="10" t="s">
        <v>3252</v>
      </c>
      <c r="H1172" s="10" t="s">
        <v>802</v>
      </c>
      <c r="I1172" s="10" t="s">
        <v>794</v>
      </c>
      <c r="J1172" s="10" t="s">
        <v>119</v>
      </c>
    </row>
    <row r="1173" spans="1:10" ht="15" hidden="1" customHeight="1">
      <c r="A1173" s="9">
        <v>1169</v>
      </c>
      <c r="B1173" s="10" t="s">
        <v>3261</v>
      </c>
      <c r="C1173" s="10" t="s">
        <v>3262</v>
      </c>
      <c r="D1173" s="10" t="s">
        <v>792</v>
      </c>
      <c r="E1173" s="10" t="s">
        <v>1151</v>
      </c>
      <c r="F1173" s="10" t="s">
        <v>794</v>
      </c>
      <c r="G1173" s="10" t="s">
        <v>3252</v>
      </c>
      <c r="H1173" s="10" t="s">
        <v>802</v>
      </c>
      <c r="I1173" s="10" t="s">
        <v>794</v>
      </c>
      <c r="J1173" s="10" t="s">
        <v>119</v>
      </c>
    </row>
    <row r="1174" spans="1:10" ht="15" hidden="1" customHeight="1">
      <c r="A1174" s="9">
        <v>1170</v>
      </c>
      <c r="B1174" s="10" t="s">
        <v>3263</v>
      </c>
      <c r="C1174" s="10" t="s">
        <v>3264</v>
      </c>
      <c r="D1174" s="10" t="s">
        <v>792</v>
      </c>
      <c r="E1174" s="10" t="s">
        <v>1151</v>
      </c>
      <c r="F1174" s="10" t="s">
        <v>794</v>
      </c>
      <c r="G1174" s="10" t="s">
        <v>1246</v>
      </c>
      <c r="H1174" s="10" t="s">
        <v>802</v>
      </c>
      <c r="I1174" s="10" t="s">
        <v>794</v>
      </c>
      <c r="J1174" s="10" t="s">
        <v>119</v>
      </c>
    </row>
    <row r="1175" spans="1:10" ht="15" hidden="1" customHeight="1">
      <c r="A1175" s="9">
        <v>1171</v>
      </c>
      <c r="B1175" s="10" t="s">
        <v>3265</v>
      </c>
      <c r="C1175" s="10" t="s">
        <v>3266</v>
      </c>
      <c r="D1175" s="10" t="s">
        <v>792</v>
      </c>
      <c r="E1175" s="10" t="s">
        <v>1151</v>
      </c>
      <c r="F1175" s="10" t="s">
        <v>794</v>
      </c>
      <c r="G1175" s="10" t="s">
        <v>3252</v>
      </c>
      <c r="H1175" s="10" t="s">
        <v>802</v>
      </c>
      <c r="I1175" s="10" t="s">
        <v>794</v>
      </c>
      <c r="J1175" s="10" t="s">
        <v>795</v>
      </c>
    </row>
    <row r="1176" spans="1:10" ht="15" hidden="1" customHeight="1">
      <c r="A1176" s="9">
        <v>1172</v>
      </c>
      <c r="B1176" s="10" t="s">
        <v>3267</v>
      </c>
      <c r="C1176" s="10" t="s">
        <v>3268</v>
      </c>
      <c r="D1176" s="10" t="s">
        <v>792</v>
      </c>
      <c r="E1176" s="10" t="s">
        <v>1151</v>
      </c>
      <c r="F1176" s="10" t="s">
        <v>794</v>
      </c>
      <c r="G1176" s="10" t="s">
        <v>3252</v>
      </c>
      <c r="H1176" s="10" t="s">
        <v>802</v>
      </c>
      <c r="I1176" s="10" t="s">
        <v>794</v>
      </c>
      <c r="J1176" s="10" t="s">
        <v>795</v>
      </c>
    </row>
    <row r="1177" spans="1:10" ht="15" hidden="1" customHeight="1">
      <c r="A1177" s="9">
        <v>1173</v>
      </c>
      <c r="B1177" s="10" t="s">
        <v>3269</v>
      </c>
      <c r="C1177" s="10" t="s">
        <v>3270</v>
      </c>
      <c r="D1177" s="10" t="s">
        <v>792</v>
      </c>
      <c r="E1177" s="10" t="s">
        <v>1151</v>
      </c>
      <c r="F1177" s="10" t="s">
        <v>794</v>
      </c>
      <c r="G1177" s="10" t="s">
        <v>3252</v>
      </c>
      <c r="H1177" s="10" t="s">
        <v>802</v>
      </c>
      <c r="I1177" s="10" t="s">
        <v>794</v>
      </c>
      <c r="J1177" s="10" t="s">
        <v>795</v>
      </c>
    </row>
    <row r="1178" spans="1:10" ht="15" hidden="1" customHeight="1">
      <c r="A1178" s="9">
        <v>1174</v>
      </c>
      <c r="B1178" s="10" t="s">
        <v>3271</v>
      </c>
      <c r="C1178" s="10" t="s">
        <v>3272</v>
      </c>
      <c r="D1178" s="10" t="s">
        <v>792</v>
      </c>
      <c r="E1178" s="10" t="s">
        <v>1153</v>
      </c>
      <c r="F1178" s="10" t="s">
        <v>794</v>
      </c>
      <c r="G1178" s="10" t="s">
        <v>3273</v>
      </c>
      <c r="H1178" s="10" t="s">
        <v>802</v>
      </c>
      <c r="I1178" s="10" t="s">
        <v>794</v>
      </c>
      <c r="J1178" s="10" t="s">
        <v>119</v>
      </c>
    </row>
    <row r="1179" spans="1:10" ht="15" hidden="1" customHeight="1">
      <c r="A1179" s="9">
        <v>1175</v>
      </c>
      <c r="B1179" s="10" t="s">
        <v>3274</v>
      </c>
      <c r="C1179" s="10" t="s">
        <v>3275</v>
      </c>
      <c r="D1179" s="10" t="s">
        <v>792</v>
      </c>
      <c r="E1179" s="10" t="s">
        <v>1153</v>
      </c>
      <c r="F1179" s="10" t="s">
        <v>794</v>
      </c>
      <c r="G1179" s="10" t="s">
        <v>3273</v>
      </c>
      <c r="H1179" s="10" t="s">
        <v>802</v>
      </c>
      <c r="I1179" s="10" t="s">
        <v>794</v>
      </c>
      <c r="J1179" s="10" t="s">
        <v>119</v>
      </c>
    </row>
    <row r="1180" spans="1:10" ht="15" hidden="1" customHeight="1">
      <c r="A1180" s="9">
        <v>1176</v>
      </c>
      <c r="B1180" s="10" t="s">
        <v>3276</v>
      </c>
      <c r="C1180" s="10" t="s">
        <v>3277</v>
      </c>
      <c r="D1180" s="10" t="s">
        <v>792</v>
      </c>
      <c r="E1180" s="10" t="s">
        <v>1153</v>
      </c>
      <c r="F1180" s="10" t="s">
        <v>794</v>
      </c>
      <c r="G1180" s="10" t="s">
        <v>3273</v>
      </c>
      <c r="H1180" s="10" t="s">
        <v>802</v>
      </c>
      <c r="I1180" s="10" t="s">
        <v>794</v>
      </c>
      <c r="J1180" s="10" t="s">
        <v>119</v>
      </c>
    </row>
    <row r="1181" spans="1:10" ht="15" hidden="1" customHeight="1">
      <c r="A1181" s="9">
        <v>1177</v>
      </c>
      <c r="B1181" s="10" t="s">
        <v>3278</v>
      </c>
      <c r="C1181" s="10" t="s">
        <v>3279</v>
      </c>
      <c r="D1181" s="10" t="s">
        <v>792</v>
      </c>
      <c r="E1181" s="10" t="s">
        <v>1153</v>
      </c>
      <c r="F1181" s="10" t="s">
        <v>794</v>
      </c>
      <c r="G1181" s="10" t="s">
        <v>3273</v>
      </c>
      <c r="H1181" s="10" t="s">
        <v>802</v>
      </c>
      <c r="I1181" s="10" t="s">
        <v>794</v>
      </c>
      <c r="J1181" s="10" t="s">
        <v>119</v>
      </c>
    </row>
    <row r="1182" spans="1:10" ht="15" hidden="1" customHeight="1">
      <c r="A1182" s="9">
        <v>1178</v>
      </c>
      <c r="B1182" s="10" t="s">
        <v>3280</v>
      </c>
      <c r="C1182" s="10" t="s">
        <v>3281</v>
      </c>
      <c r="D1182" s="10" t="s">
        <v>792</v>
      </c>
      <c r="E1182" s="10" t="s">
        <v>1153</v>
      </c>
      <c r="F1182" s="10" t="s">
        <v>794</v>
      </c>
      <c r="G1182" s="10" t="s">
        <v>3273</v>
      </c>
      <c r="H1182" s="10" t="s">
        <v>802</v>
      </c>
      <c r="I1182" s="10" t="s">
        <v>794</v>
      </c>
      <c r="J1182" s="10" t="s">
        <v>795</v>
      </c>
    </row>
    <row r="1183" spans="1:10" ht="15" hidden="1" customHeight="1">
      <c r="A1183" s="9">
        <v>1179</v>
      </c>
      <c r="B1183" s="10" t="s">
        <v>3282</v>
      </c>
      <c r="C1183" s="10" t="s">
        <v>3283</v>
      </c>
      <c r="D1183" s="10" t="s">
        <v>792</v>
      </c>
      <c r="E1183" s="10" t="s">
        <v>1153</v>
      </c>
      <c r="F1183" s="10" t="s">
        <v>794</v>
      </c>
      <c r="G1183" s="10" t="s">
        <v>3273</v>
      </c>
      <c r="H1183" s="10" t="s">
        <v>802</v>
      </c>
      <c r="I1183" s="10" t="s">
        <v>794</v>
      </c>
      <c r="J1183" s="10" t="s">
        <v>795</v>
      </c>
    </row>
    <row r="1184" spans="1:10" ht="15" hidden="1" customHeight="1">
      <c r="A1184" s="9">
        <v>1180</v>
      </c>
      <c r="B1184" s="10" t="s">
        <v>3284</v>
      </c>
      <c r="C1184" s="10" t="s">
        <v>3285</v>
      </c>
      <c r="D1184" s="10" t="s">
        <v>792</v>
      </c>
      <c r="E1184" s="10" t="s">
        <v>1155</v>
      </c>
      <c r="F1184" s="10" t="s">
        <v>794</v>
      </c>
      <c r="G1184" s="10" t="s">
        <v>3273</v>
      </c>
      <c r="H1184" s="10" t="s">
        <v>802</v>
      </c>
      <c r="I1184" s="10" t="s">
        <v>794</v>
      </c>
      <c r="J1184" s="10" t="s">
        <v>119</v>
      </c>
    </row>
    <row r="1185" spans="1:10" ht="15" hidden="1" customHeight="1">
      <c r="A1185" s="9">
        <v>1181</v>
      </c>
      <c r="B1185" s="10" t="s">
        <v>3286</v>
      </c>
      <c r="C1185" s="10" t="s">
        <v>3287</v>
      </c>
      <c r="D1185" s="10" t="s">
        <v>792</v>
      </c>
      <c r="E1185" s="10" t="s">
        <v>1155</v>
      </c>
      <c r="F1185" s="10" t="s">
        <v>794</v>
      </c>
      <c r="G1185" s="10" t="s">
        <v>3273</v>
      </c>
      <c r="H1185" s="10" t="s">
        <v>802</v>
      </c>
      <c r="I1185" s="10" t="s">
        <v>794</v>
      </c>
      <c r="J1185" s="10" t="s">
        <v>119</v>
      </c>
    </row>
    <row r="1186" spans="1:10" ht="15" hidden="1" customHeight="1">
      <c r="A1186" s="9">
        <v>1182</v>
      </c>
      <c r="B1186" s="10" t="s">
        <v>3288</v>
      </c>
      <c r="C1186" s="10" t="s">
        <v>3289</v>
      </c>
      <c r="D1186" s="10" t="s">
        <v>792</v>
      </c>
      <c r="E1186" s="10" t="s">
        <v>1155</v>
      </c>
      <c r="F1186" s="10" t="s">
        <v>794</v>
      </c>
      <c r="G1186" s="10" t="s">
        <v>3273</v>
      </c>
      <c r="H1186" s="10" t="s">
        <v>802</v>
      </c>
      <c r="I1186" s="10" t="s">
        <v>794</v>
      </c>
      <c r="J1186" s="10" t="s">
        <v>119</v>
      </c>
    </row>
    <row r="1187" spans="1:10" ht="15" hidden="1" customHeight="1">
      <c r="A1187" s="9">
        <v>1183</v>
      </c>
      <c r="B1187" s="10" t="s">
        <v>3290</v>
      </c>
      <c r="C1187" s="10" t="s">
        <v>3291</v>
      </c>
      <c r="D1187" s="10" t="s">
        <v>792</v>
      </c>
      <c r="E1187" s="10" t="s">
        <v>1155</v>
      </c>
      <c r="F1187" s="10" t="s">
        <v>794</v>
      </c>
      <c r="G1187" s="10" t="s">
        <v>3273</v>
      </c>
      <c r="H1187" s="10" t="s">
        <v>802</v>
      </c>
      <c r="I1187" s="10" t="s">
        <v>794</v>
      </c>
      <c r="J1187" s="10" t="s">
        <v>795</v>
      </c>
    </row>
    <row r="1188" spans="1:10" ht="15" hidden="1" customHeight="1">
      <c r="A1188" s="9">
        <v>1184</v>
      </c>
      <c r="B1188" s="10" t="s">
        <v>3292</v>
      </c>
      <c r="C1188" s="10" t="s">
        <v>3293</v>
      </c>
      <c r="D1188" s="10" t="s">
        <v>792</v>
      </c>
      <c r="E1188" s="10" t="s">
        <v>1157</v>
      </c>
      <c r="F1188" s="10" t="s">
        <v>794</v>
      </c>
      <c r="G1188" s="10" t="s">
        <v>3294</v>
      </c>
      <c r="H1188" s="10" t="s">
        <v>802</v>
      </c>
      <c r="I1188" s="10" t="s">
        <v>794</v>
      </c>
      <c r="J1188" s="10" t="s">
        <v>119</v>
      </c>
    </row>
    <row r="1189" spans="1:10" ht="15" hidden="1" customHeight="1">
      <c r="A1189" s="9">
        <v>1185</v>
      </c>
      <c r="B1189" s="10" t="s">
        <v>3295</v>
      </c>
      <c r="C1189" s="10" t="s">
        <v>3296</v>
      </c>
      <c r="D1189" s="10" t="s">
        <v>792</v>
      </c>
      <c r="E1189" s="10" t="s">
        <v>1157</v>
      </c>
      <c r="F1189" s="10" t="s">
        <v>794</v>
      </c>
      <c r="G1189" s="10" t="s">
        <v>3294</v>
      </c>
      <c r="H1189" s="10" t="s">
        <v>802</v>
      </c>
      <c r="I1189" s="10" t="s">
        <v>794</v>
      </c>
      <c r="J1189" s="10" t="s">
        <v>119</v>
      </c>
    </row>
    <row r="1190" spans="1:10" ht="15" hidden="1" customHeight="1">
      <c r="A1190" s="9">
        <v>1186</v>
      </c>
      <c r="B1190" s="10" t="s">
        <v>3297</v>
      </c>
      <c r="C1190" s="10" t="s">
        <v>3298</v>
      </c>
      <c r="D1190" s="10" t="s">
        <v>792</v>
      </c>
      <c r="E1190" s="10" t="s">
        <v>1157</v>
      </c>
      <c r="F1190" s="10" t="s">
        <v>794</v>
      </c>
      <c r="G1190" s="10" t="s">
        <v>3294</v>
      </c>
      <c r="H1190" s="10" t="s">
        <v>802</v>
      </c>
      <c r="I1190" s="10" t="s">
        <v>794</v>
      </c>
      <c r="J1190" s="10" t="s">
        <v>119</v>
      </c>
    </row>
    <row r="1191" spans="1:10" ht="15" hidden="1" customHeight="1">
      <c r="A1191" s="9">
        <v>1187</v>
      </c>
      <c r="B1191" s="10" t="s">
        <v>3299</v>
      </c>
      <c r="C1191" s="10" t="s">
        <v>3300</v>
      </c>
      <c r="D1191" s="10" t="s">
        <v>792</v>
      </c>
      <c r="E1191" s="10" t="s">
        <v>1157</v>
      </c>
      <c r="F1191" s="10" t="s">
        <v>794</v>
      </c>
      <c r="G1191" s="10" t="s">
        <v>3294</v>
      </c>
      <c r="H1191" s="10" t="s">
        <v>802</v>
      </c>
      <c r="I1191" s="10" t="s">
        <v>794</v>
      </c>
      <c r="J1191" s="10" t="s">
        <v>795</v>
      </c>
    </row>
    <row r="1192" spans="1:10" ht="15" hidden="1" customHeight="1">
      <c r="A1192" s="9">
        <v>1188</v>
      </c>
      <c r="B1192" s="10" t="s">
        <v>3301</v>
      </c>
      <c r="C1192" s="10" t="s">
        <v>3302</v>
      </c>
      <c r="D1192" s="10" t="s">
        <v>792</v>
      </c>
      <c r="E1192" s="10" t="s">
        <v>1159</v>
      </c>
      <c r="F1192" s="10" t="s">
        <v>794</v>
      </c>
      <c r="G1192" s="10" t="s">
        <v>3273</v>
      </c>
      <c r="H1192" s="10" t="s">
        <v>802</v>
      </c>
      <c r="I1192" s="10" t="s">
        <v>794</v>
      </c>
      <c r="J1192" s="10" t="s">
        <v>119</v>
      </c>
    </row>
    <row r="1193" spans="1:10" ht="15" hidden="1" customHeight="1">
      <c r="A1193" s="9">
        <v>1189</v>
      </c>
      <c r="B1193" s="10" t="s">
        <v>3303</v>
      </c>
      <c r="C1193" s="10" t="s">
        <v>3304</v>
      </c>
      <c r="D1193" s="10" t="s">
        <v>792</v>
      </c>
      <c r="E1193" s="10" t="s">
        <v>1159</v>
      </c>
      <c r="F1193" s="10" t="s">
        <v>794</v>
      </c>
      <c r="G1193" s="10" t="s">
        <v>3273</v>
      </c>
      <c r="H1193" s="10" t="s">
        <v>802</v>
      </c>
      <c r="I1193" s="10" t="s">
        <v>794</v>
      </c>
      <c r="J1193" s="10" t="s">
        <v>119</v>
      </c>
    </row>
    <row r="1194" spans="1:10" ht="15" hidden="1" customHeight="1">
      <c r="A1194" s="9">
        <v>1190</v>
      </c>
      <c r="B1194" s="10" t="s">
        <v>3305</v>
      </c>
      <c r="C1194" s="10" t="s">
        <v>3306</v>
      </c>
      <c r="D1194" s="10" t="s">
        <v>792</v>
      </c>
      <c r="E1194" s="10" t="s">
        <v>1159</v>
      </c>
      <c r="F1194" s="10" t="s">
        <v>794</v>
      </c>
      <c r="G1194" s="10" t="s">
        <v>3273</v>
      </c>
      <c r="H1194" s="10" t="s">
        <v>802</v>
      </c>
      <c r="I1194" s="10" t="s">
        <v>794</v>
      </c>
      <c r="J1194" s="10" t="s">
        <v>119</v>
      </c>
    </row>
    <row r="1195" spans="1:10" ht="15" hidden="1" customHeight="1">
      <c r="A1195" s="9">
        <v>1191</v>
      </c>
      <c r="B1195" s="10" t="s">
        <v>3307</v>
      </c>
      <c r="C1195" s="10" t="s">
        <v>3308</v>
      </c>
      <c r="D1195" s="10" t="s">
        <v>792</v>
      </c>
      <c r="E1195" s="10" t="s">
        <v>1159</v>
      </c>
      <c r="F1195" s="10" t="s">
        <v>794</v>
      </c>
      <c r="G1195" s="10" t="s">
        <v>3273</v>
      </c>
      <c r="H1195" s="10" t="s">
        <v>802</v>
      </c>
      <c r="I1195" s="10" t="s">
        <v>794</v>
      </c>
      <c r="J1195" s="10" t="s">
        <v>119</v>
      </c>
    </row>
    <row r="1196" spans="1:10" ht="15" hidden="1" customHeight="1">
      <c r="A1196" s="9">
        <v>1192</v>
      </c>
      <c r="B1196" s="10" t="s">
        <v>3309</v>
      </c>
      <c r="C1196" s="10" t="s">
        <v>3310</v>
      </c>
      <c r="D1196" s="10" t="s">
        <v>792</v>
      </c>
      <c r="E1196" s="10" t="s">
        <v>1159</v>
      </c>
      <c r="F1196" s="10" t="s">
        <v>794</v>
      </c>
      <c r="G1196" s="10" t="s">
        <v>3273</v>
      </c>
      <c r="H1196" s="10" t="s">
        <v>802</v>
      </c>
      <c r="I1196" s="10" t="s">
        <v>794</v>
      </c>
      <c r="J1196" s="10" t="s">
        <v>119</v>
      </c>
    </row>
    <row r="1197" spans="1:10" ht="15" hidden="1" customHeight="1">
      <c r="A1197" s="9">
        <v>1193</v>
      </c>
      <c r="B1197" s="10" t="s">
        <v>3311</v>
      </c>
      <c r="C1197" s="10" t="s">
        <v>3312</v>
      </c>
      <c r="D1197" s="10" t="s">
        <v>792</v>
      </c>
      <c r="E1197" s="10" t="s">
        <v>1159</v>
      </c>
      <c r="F1197" s="10" t="s">
        <v>794</v>
      </c>
      <c r="G1197" s="10" t="s">
        <v>3273</v>
      </c>
      <c r="H1197" s="10" t="s">
        <v>802</v>
      </c>
      <c r="I1197" s="10" t="s">
        <v>794</v>
      </c>
      <c r="J1197" s="10" t="s">
        <v>119</v>
      </c>
    </row>
    <row r="1198" spans="1:10" ht="15" hidden="1" customHeight="1">
      <c r="A1198" s="9">
        <v>1194</v>
      </c>
      <c r="B1198" s="10" t="s">
        <v>3313</v>
      </c>
      <c r="C1198" s="10" t="s">
        <v>3314</v>
      </c>
      <c r="D1198" s="10" t="s">
        <v>792</v>
      </c>
      <c r="E1198" s="10" t="s">
        <v>1159</v>
      </c>
      <c r="F1198" s="10" t="s">
        <v>794</v>
      </c>
      <c r="G1198" s="10" t="s">
        <v>3273</v>
      </c>
      <c r="H1198" s="10" t="s">
        <v>802</v>
      </c>
      <c r="I1198" s="10" t="s">
        <v>794</v>
      </c>
      <c r="J1198" s="10" t="s">
        <v>795</v>
      </c>
    </row>
    <row r="1199" spans="1:10" ht="15" hidden="1" customHeight="1">
      <c r="A1199" s="9">
        <v>1195</v>
      </c>
      <c r="B1199" s="10" t="s">
        <v>3315</v>
      </c>
      <c r="C1199" s="10" t="s">
        <v>3316</v>
      </c>
      <c r="D1199" s="10" t="s">
        <v>792</v>
      </c>
      <c r="E1199" s="10" t="s">
        <v>1163</v>
      </c>
      <c r="F1199" s="10" t="s">
        <v>794</v>
      </c>
      <c r="G1199" s="10" t="s">
        <v>1362</v>
      </c>
      <c r="H1199" s="10" t="s">
        <v>802</v>
      </c>
      <c r="I1199" s="10" t="s">
        <v>794</v>
      </c>
      <c r="J1199" s="10" t="s">
        <v>119</v>
      </c>
    </row>
    <row r="1200" spans="1:10" ht="15" hidden="1" customHeight="1">
      <c r="A1200" s="9">
        <v>1196</v>
      </c>
      <c r="B1200" s="10" t="s">
        <v>3317</v>
      </c>
      <c r="C1200" s="10" t="s">
        <v>3318</v>
      </c>
      <c r="D1200" s="10" t="s">
        <v>792</v>
      </c>
      <c r="E1200" s="10" t="s">
        <v>1163</v>
      </c>
      <c r="F1200" s="10" t="s">
        <v>794</v>
      </c>
      <c r="G1200" s="10" t="s">
        <v>1362</v>
      </c>
      <c r="H1200" s="10" t="s">
        <v>802</v>
      </c>
      <c r="I1200" s="10" t="s">
        <v>794</v>
      </c>
      <c r="J1200" s="10" t="s">
        <v>119</v>
      </c>
    </row>
    <row r="1201" spans="1:10" ht="15" hidden="1" customHeight="1">
      <c r="A1201" s="9">
        <v>1197</v>
      </c>
      <c r="B1201" s="10" t="s">
        <v>3319</v>
      </c>
      <c r="C1201" s="10" t="s">
        <v>3320</v>
      </c>
      <c r="D1201" s="10" t="s">
        <v>792</v>
      </c>
      <c r="E1201" s="10" t="s">
        <v>1163</v>
      </c>
      <c r="F1201" s="10" t="s">
        <v>794</v>
      </c>
      <c r="G1201" s="10" t="s">
        <v>1362</v>
      </c>
      <c r="H1201" s="10" t="s">
        <v>802</v>
      </c>
      <c r="I1201" s="10" t="s">
        <v>794</v>
      </c>
      <c r="J1201" s="10" t="s">
        <v>119</v>
      </c>
    </row>
    <row r="1202" spans="1:10" ht="15" hidden="1" customHeight="1">
      <c r="A1202" s="9">
        <v>1198</v>
      </c>
      <c r="B1202" s="10" t="s">
        <v>3321</v>
      </c>
      <c r="C1202" s="10" t="s">
        <v>3322</v>
      </c>
      <c r="D1202" s="10" t="s">
        <v>792</v>
      </c>
      <c r="E1202" s="10" t="s">
        <v>1163</v>
      </c>
      <c r="F1202" s="10" t="s">
        <v>794</v>
      </c>
      <c r="G1202" s="10" t="s">
        <v>1362</v>
      </c>
      <c r="H1202" s="10" t="s">
        <v>802</v>
      </c>
      <c r="I1202" s="10" t="s">
        <v>794</v>
      </c>
      <c r="J1202" s="10" t="s">
        <v>795</v>
      </c>
    </row>
    <row r="1203" spans="1:10" ht="15" hidden="1" customHeight="1">
      <c r="A1203" s="9">
        <v>1199</v>
      </c>
      <c r="B1203" s="10" t="s">
        <v>3323</v>
      </c>
      <c r="C1203" s="10" t="s">
        <v>3324</v>
      </c>
      <c r="D1203" s="10" t="s">
        <v>792</v>
      </c>
      <c r="E1203" s="10" t="s">
        <v>1163</v>
      </c>
      <c r="F1203" s="10" t="s">
        <v>794</v>
      </c>
      <c r="G1203" s="10" t="s">
        <v>1362</v>
      </c>
      <c r="H1203" s="10" t="s">
        <v>802</v>
      </c>
      <c r="I1203" s="10" t="s">
        <v>794</v>
      </c>
      <c r="J1203" s="10" t="s">
        <v>119</v>
      </c>
    </row>
    <row r="1204" spans="1:10" ht="15" hidden="1" customHeight="1">
      <c r="A1204" s="9">
        <v>1200</v>
      </c>
      <c r="B1204" s="10" t="s">
        <v>3325</v>
      </c>
      <c r="C1204" s="10" t="s">
        <v>3326</v>
      </c>
      <c r="D1204" s="10" t="s">
        <v>792</v>
      </c>
      <c r="E1204" s="10" t="s">
        <v>1163</v>
      </c>
      <c r="F1204" s="10" t="s">
        <v>794</v>
      </c>
      <c r="G1204" s="10" t="s">
        <v>1362</v>
      </c>
      <c r="H1204" s="10" t="s">
        <v>802</v>
      </c>
      <c r="I1204" s="10" t="s">
        <v>794</v>
      </c>
      <c r="J1204" s="10" t="s">
        <v>795</v>
      </c>
    </row>
    <row r="1205" spans="1:10" ht="15" hidden="1" customHeight="1">
      <c r="A1205" s="9">
        <v>1201</v>
      </c>
      <c r="B1205" s="10" t="s">
        <v>3327</v>
      </c>
      <c r="C1205" s="10" t="s">
        <v>3328</v>
      </c>
      <c r="D1205" s="10" t="s">
        <v>792</v>
      </c>
      <c r="E1205" s="10" t="s">
        <v>1175</v>
      </c>
      <c r="F1205" s="10" t="s">
        <v>794</v>
      </c>
      <c r="G1205" s="10" t="s">
        <v>801</v>
      </c>
      <c r="H1205" s="10" t="s">
        <v>802</v>
      </c>
      <c r="I1205" s="10" t="s">
        <v>794</v>
      </c>
      <c r="J1205" s="10" t="s">
        <v>119</v>
      </c>
    </row>
    <row r="1206" spans="1:10" ht="15" hidden="1" customHeight="1">
      <c r="A1206" s="9">
        <v>1202</v>
      </c>
      <c r="B1206" s="10" t="s">
        <v>3329</v>
      </c>
      <c r="C1206" s="10" t="s">
        <v>3330</v>
      </c>
      <c r="D1206" s="10" t="s">
        <v>792</v>
      </c>
      <c r="E1206" s="10" t="s">
        <v>1185</v>
      </c>
      <c r="F1206" s="10" t="s">
        <v>794</v>
      </c>
      <c r="G1206" s="10" t="s">
        <v>1024</v>
      </c>
      <c r="H1206" s="10" t="s">
        <v>802</v>
      </c>
      <c r="I1206" s="10" t="s">
        <v>794</v>
      </c>
      <c r="J1206" s="10" t="s">
        <v>795</v>
      </c>
    </row>
    <row r="1207" spans="1:10" ht="15" hidden="1" customHeight="1">
      <c r="A1207" s="9">
        <v>1203</v>
      </c>
      <c r="B1207" s="10" t="s">
        <v>3331</v>
      </c>
      <c r="C1207" s="10" t="s">
        <v>3332</v>
      </c>
      <c r="D1207" s="10" t="s">
        <v>792</v>
      </c>
      <c r="E1207" s="10" t="s">
        <v>1185</v>
      </c>
      <c r="F1207" s="10" t="s">
        <v>794</v>
      </c>
      <c r="G1207" s="10" t="s">
        <v>1024</v>
      </c>
      <c r="H1207" s="10" t="s">
        <v>802</v>
      </c>
      <c r="I1207" s="10" t="s">
        <v>794</v>
      </c>
      <c r="J1207" s="10" t="s">
        <v>795</v>
      </c>
    </row>
    <row r="1208" spans="1:10" ht="15" hidden="1" customHeight="1">
      <c r="A1208" s="9">
        <v>1204</v>
      </c>
      <c r="B1208" s="10" t="s">
        <v>3333</v>
      </c>
      <c r="C1208" s="10" t="s">
        <v>3334</v>
      </c>
      <c r="D1208" s="10" t="s">
        <v>792</v>
      </c>
      <c r="E1208" s="10" t="s">
        <v>1185</v>
      </c>
      <c r="F1208" s="10" t="s">
        <v>794</v>
      </c>
      <c r="G1208" s="10" t="s">
        <v>1024</v>
      </c>
      <c r="H1208" s="10" t="s">
        <v>802</v>
      </c>
      <c r="I1208" s="10" t="s">
        <v>794</v>
      </c>
      <c r="J1208" s="10" t="s">
        <v>795</v>
      </c>
    </row>
    <row r="1209" spans="1:10" ht="15" hidden="1" customHeight="1">
      <c r="A1209" s="9">
        <v>1205</v>
      </c>
      <c r="B1209" s="10" t="s">
        <v>3335</v>
      </c>
      <c r="C1209" s="10" t="s">
        <v>3336</v>
      </c>
      <c r="D1209" s="10" t="s">
        <v>1193</v>
      </c>
      <c r="E1209" s="10" t="s">
        <v>1207</v>
      </c>
      <c r="F1209" s="10" t="s">
        <v>794</v>
      </c>
      <c r="G1209" s="10" t="s">
        <v>1441</v>
      </c>
      <c r="H1209" s="10" t="s">
        <v>802</v>
      </c>
      <c r="I1209" s="10" t="s">
        <v>794</v>
      </c>
      <c r="J1209" s="10" t="s">
        <v>795</v>
      </c>
    </row>
    <row r="1210" spans="1:10" ht="15" hidden="1" customHeight="1">
      <c r="A1210" s="9">
        <v>1206</v>
      </c>
      <c r="B1210" s="10" t="s">
        <v>3337</v>
      </c>
      <c r="C1210" s="10" t="s">
        <v>3338</v>
      </c>
      <c r="D1210" s="10" t="s">
        <v>1193</v>
      </c>
      <c r="E1210" s="10" t="s">
        <v>1207</v>
      </c>
      <c r="F1210" s="10" t="s">
        <v>794</v>
      </c>
      <c r="G1210" s="10" t="s">
        <v>1441</v>
      </c>
      <c r="H1210" s="10" t="s">
        <v>802</v>
      </c>
      <c r="I1210" s="10" t="s">
        <v>794</v>
      </c>
      <c r="J1210" s="10" t="s">
        <v>795</v>
      </c>
    </row>
    <row r="1211" spans="1:10" ht="15" hidden="1" customHeight="1">
      <c r="A1211" s="9">
        <v>1207</v>
      </c>
      <c r="B1211" s="10" t="s">
        <v>3339</v>
      </c>
      <c r="C1211" s="10" t="s">
        <v>3340</v>
      </c>
      <c r="D1211" s="10" t="s">
        <v>1193</v>
      </c>
      <c r="E1211" s="10" t="s">
        <v>1213</v>
      </c>
      <c r="F1211" s="10" t="s">
        <v>794</v>
      </c>
      <c r="G1211" s="10" t="s">
        <v>871</v>
      </c>
      <c r="H1211" s="10" t="s">
        <v>802</v>
      </c>
      <c r="I1211" s="10" t="s">
        <v>794</v>
      </c>
      <c r="J1211" s="10" t="s">
        <v>795</v>
      </c>
    </row>
    <row r="1212" spans="1:10" ht="15" hidden="1" customHeight="1">
      <c r="A1212" s="9">
        <v>1208</v>
      </c>
      <c r="B1212" s="10" t="s">
        <v>3341</v>
      </c>
      <c r="C1212" s="10" t="s">
        <v>3342</v>
      </c>
      <c r="D1212" s="10" t="s">
        <v>1193</v>
      </c>
      <c r="E1212" s="10" t="s">
        <v>1211</v>
      </c>
      <c r="F1212" s="10" t="s">
        <v>794</v>
      </c>
      <c r="G1212" s="10" t="s">
        <v>871</v>
      </c>
      <c r="H1212" s="10" t="s">
        <v>802</v>
      </c>
      <c r="I1212" s="10" t="s">
        <v>794</v>
      </c>
      <c r="J1212" s="10" t="s">
        <v>795</v>
      </c>
    </row>
    <row r="1213" spans="1:10" ht="15" hidden="1" customHeight="1">
      <c r="A1213" s="9">
        <v>1209</v>
      </c>
      <c r="B1213" s="10" t="s">
        <v>3343</v>
      </c>
      <c r="C1213" s="10" t="s">
        <v>3344</v>
      </c>
      <c r="D1213" s="10" t="s">
        <v>1193</v>
      </c>
      <c r="E1213" s="10" t="s">
        <v>1213</v>
      </c>
      <c r="F1213" s="10" t="s">
        <v>794</v>
      </c>
      <c r="G1213" s="10" t="s">
        <v>1562</v>
      </c>
      <c r="H1213" s="10" t="s">
        <v>802</v>
      </c>
      <c r="I1213" s="10" t="s">
        <v>794</v>
      </c>
      <c r="J1213" s="10" t="s">
        <v>795</v>
      </c>
    </row>
    <row r="1214" spans="1:10" ht="15" hidden="1" customHeight="1">
      <c r="A1214" s="9">
        <v>1210</v>
      </c>
      <c r="B1214" s="10" t="s">
        <v>3345</v>
      </c>
      <c r="C1214" s="10" t="s">
        <v>3346</v>
      </c>
      <c r="D1214" s="10" t="s">
        <v>1193</v>
      </c>
      <c r="E1214" s="10" t="s">
        <v>1213</v>
      </c>
      <c r="F1214" s="10" t="s">
        <v>794</v>
      </c>
      <c r="G1214" s="10" t="s">
        <v>1019</v>
      </c>
      <c r="H1214" s="10" t="s">
        <v>802</v>
      </c>
      <c r="I1214" s="10" t="s">
        <v>794</v>
      </c>
      <c r="J1214" s="10" t="s">
        <v>795</v>
      </c>
    </row>
    <row r="1215" spans="1:10" ht="15" hidden="1" customHeight="1">
      <c r="A1215" s="9">
        <v>1211</v>
      </c>
      <c r="B1215" s="10" t="s">
        <v>3347</v>
      </c>
      <c r="C1215" s="10" t="s">
        <v>3348</v>
      </c>
      <c r="D1215" s="10" t="s">
        <v>1193</v>
      </c>
      <c r="E1215" s="10" t="s">
        <v>1213</v>
      </c>
      <c r="F1215" s="10" t="s">
        <v>794</v>
      </c>
      <c r="G1215" s="10" t="s">
        <v>1562</v>
      </c>
      <c r="H1215" s="10" t="s">
        <v>802</v>
      </c>
      <c r="I1215" s="10" t="s">
        <v>794</v>
      </c>
      <c r="J1215" s="10" t="s">
        <v>795</v>
      </c>
    </row>
    <row r="1216" spans="1:10" ht="15" hidden="1" customHeight="1">
      <c r="A1216" s="9">
        <v>1212</v>
      </c>
      <c r="B1216" s="10" t="s">
        <v>3349</v>
      </c>
      <c r="C1216" s="10" t="s">
        <v>3350</v>
      </c>
      <c r="D1216" s="10" t="s">
        <v>1193</v>
      </c>
      <c r="E1216" s="10" t="s">
        <v>1211</v>
      </c>
      <c r="F1216" s="10" t="s">
        <v>794</v>
      </c>
      <c r="G1216" s="10" t="s">
        <v>1562</v>
      </c>
      <c r="H1216" s="10" t="s">
        <v>802</v>
      </c>
      <c r="I1216" s="10" t="s">
        <v>794</v>
      </c>
      <c r="J1216" s="10" t="s">
        <v>795</v>
      </c>
    </row>
    <row r="1217" spans="1:10" ht="15" hidden="1" customHeight="1">
      <c r="A1217" s="9">
        <v>1213</v>
      </c>
      <c r="B1217" s="10" t="s">
        <v>3351</v>
      </c>
      <c r="C1217" s="10" t="s">
        <v>3352</v>
      </c>
      <c r="D1217" s="10" t="s">
        <v>1193</v>
      </c>
      <c r="E1217" s="10" t="s">
        <v>1211</v>
      </c>
      <c r="F1217" s="10" t="s">
        <v>794</v>
      </c>
      <c r="G1217" s="10" t="s">
        <v>1019</v>
      </c>
      <c r="H1217" s="10" t="s">
        <v>802</v>
      </c>
      <c r="I1217" s="10" t="s">
        <v>794</v>
      </c>
      <c r="J1217" s="10" t="s">
        <v>795</v>
      </c>
    </row>
    <row r="1218" spans="1:10" ht="15" hidden="1" customHeight="1">
      <c r="A1218" s="9">
        <v>1214</v>
      </c>
      <c r="B1218" s="10" t="s">
        <v>3353</v>
      </c>
      <c r="C1218" s="10" t="s">
        <v>3354</v>
      </c>
      <c r="D1218" s="10" t="s">
        <v>1193</v>
      </c>
      <c r="E1218" s="10" t="s">
        <v>1213</v>
      </c>
      <c r="F1218" s="10" t="s">
        <v>794</v>
      </c>
      <c r="G1218" s="10" t="s">
        <v>1562</v>
      </c>
      <c r="H1218" s="10" t="s">
        <v>802</v>
      </c>
      <c r="I1218" s="10" t="s">
        <v>794</v>
      </c>
      <c r="J1218" s="10" t="s">
        <v>795</v>
      </c>
    </row>
    <row r="1219" spans="1:10" ht="15" hidden="1" customHeight="1">
      <c r="A1219" s="9">
        <v>1215</v>
      </c>
      <c r="B1219" s="10" t="s">
        <v>3355</v>
      </c>
      <c r="C1219" s="10" t="s">
        <v>3356</v>
      </c>
      <c r="D1219" s="10" t="s">
        <v>1193</v>
      </c>
      <c r="E1219" s="10" t="s">
        <v>1213</v>
      </c>
      <c r="F1219" s="10" t="s">
        <v>794</v>
      </c>
      <c r="G1219" s="10" t="s">
        <v>1562</v>
      </c>
      <c r="H1219" s="10" t="s">
        <v>802</v>
      </c>
      <c r="I1219" s="10" t="s">
        <v>794</v>
      </c>
      <c r="J1219" s="10" t="s">
        <v>795</v>
      </c>
    </row>
    <row r="1220" spans="1:10" ht="15" hidden="1" customHeight="1">
      <c r="A1220" s="9">
        <v>1216</v>
      </c>
      <c r="B1220" s="10" t="s">
        <v>3357</v>
      </c>
      <c r="C1220" s="10" t="s">
        <v>3358</v>
      </c>
      <c r="D1220" s="10" t="s">
        <v>1193</v>
      </c>
      <c r="E1220" s="10" t="s">
        <v>1213</v>
      </c>
      <c r="F1220" s="10" t="s">
        <v>794</v>
      </c>
      <c r="G1220" s="10" t="s">
        <v>1562</v>
      </c>
      <c r="H1220" s="10" t="s">
        <v>802</v>
      </c>
      <c r="I1220" s="10" t="s">
        <v>794</v>
      </c>
      <c r="J1220" s="10" t="s">
        <v>795</v>
      </c>
    </row>
    <row r="1221" spans="1:10" ht="15" hidden="1" customHeight="1">
      <c r="A1221" s="9">
        <v>1217</v>
      </c>
      <c r="B1221" s="10" t="s">
        <v>3359</v>
      </c>
      <c r="C1221" s="10" t="s">
        <v>3360</v>
      </c>
      <c r="D1221" s="10" t="s">
        <v>1193</v>
      </c>
      <c r="E1221" s="10" t="s">
        <v>1213</v>
      </c>
      <c r="F1221" s="10" t="s">
        <v>794</v>
      </c>
      <c r="G1221" s="10" t="s">
        <v>1562</v>
      </c>
      <c r="H1221" s="10" t="s">
        <v>802</v>
      </c>
      <c r="I1221" s="10" t="s">
        <v>794</v>
      </c>
      <c r="J1221" s="10" t="s">
        <v>795</v>
      </c>
    </row>
    <row r="1222" spans="1:10" ht="15" hidden="1" customHeight="1">
      <c r="A1222" s="9">
        <v>1218</v>
      </c>
      <c r="B1222" s="10" t="s">
        <v>3361</v>
      </c>
      <c r="C1222" s="10" t="s">
        <v>3362</v>
      </c>
      <c r="D1222" s="10" t="s">
        <v>1193</v>
      </c>
      <c r="E1222" s="10" t="s">
        <v>1213</v>
      </c>
      <c r="F1222" s="10" t="s">
        <v>794</v>
      </c>
      <c r="G1222" s="10" t="s">
        <v>1577</v>
      </c>
      <c r="H1222" s="10" t="s">
        <v>802</v>
      </c>
      <c r="I1222" s="10" t="s">
        <v>794</v>
      </c>
      <c r="J1222" s="10" t="s">
        <v>795</v>
      </c>
    </row>
    <row r="1223" spans="1:10" ht="15" hidden="1" customHeight="1">
      <c r="A1223" s="9">
        <v>1219</v>
      </c>
      <c r="B1223" s="10" t="s">
        <v>3363</v>
      </c>
      <c r="C1223" s="10" t="s">
        <v>3364</v>
      </c>
      <c r="D1223" s="10" t="s">
        <v>1193</v>
      </c>
      <c r="E1223" s="10" t="s">
        <v>1213</v>
      </c>
      <c r="F1223" s="10" t="s">
        <v>794</v>
      </c>
      <c r="G1223" s="10" t="s">
        <v>1577</v>
      </c>
      <c r="H1223" s="10" t="s">
        <v>802</v>
      </c>
      <c r="I1223" s="10" t="s">
        <v>794</v>
      </c>
      <c r="J1223" s="10" t="s">
        <v>795</v>
      </c>
    </row>
    <row r="1224" spans="1:10" ht="15" hidden="1" customHeight="1">
      <c r="A1224" s="9">
        <v>1220</v>
      </c>
      <c r="B1224" s="10" t="s">
        <v>3365</v>
      </c>
      <c r="C1224" s="10" t="s">
        <v>3366</v>
      </c>
      <c r="D1224" s="10" t="s">
        <v>1193</v>
      </c>
      <c r="E1224" s="10" t="s">
        <v>1213</v>
      </c>
      <c r="F1224" s="10" t="s">
        <v>794</v>
      </c>
      <c r="G1224" s="10" t="s">
        <v>1577</v>
      </c>
      <c r="H1224" s="10" t="s">
        <v>802</v>
      </c>
      <c r="I1224" s="10" t="s">
        <v>794</v>
      </c>
      <c r="J1224" s="10" t="s">
        <v>795</v>
      </c>
    </row>
    <row r="1225" spans="1:10" ht="15" hidden="1" customHeight="1">
      <c r="A1225" s="9">
        <v>1221</v>
      </c>
      <c r="B1225" s="10" t="s">
        <v>3367</v>
      </c>
      <c r="C1225" s="10" t="s">
        <v>3368</v>
      </c>
      <c r="D1225" s="10" t="s">
        <v>1193</v>
      </c>
      <c r="E1225" s="10" t="s">
        <v>1213</v>
      </c>
      <c r="F1225" s="10" t="s">
        <v>794</v>
      </c>
      <c r="G1225" s="10" t="s">
        <v>1577</v>
      </c>
      <c r="H1225" s="10" t="s">
        <v>802</v>
      </c>
      <c r="I1225" s="10" t="s">
        <v>794</v>
      </c>
      <c r="J1225" s="10" t="s">
        <v>795</v>
      </c>
    </row>
    <row r="1226" spans="1:10" ht="15" hidden="1" customHeight="1">
      <c r="A1226" s="9">
        <v>1222</v>
      </c>
      <c r="B1226" s="10" t="s">
        <v>3369</v>
      </c>
      <c r="C1226" s="10" t="s">
        <v>3370</v>
      </c>
      <c r="D1226" s="10" t="s">
        <v>1193</v>
      </c>
      <c r="E1226" s="10" t="s">
        <v>1213</v>
      </c>
      <c r="F1226" s="10" t="s">
        <v>794</v>
      </c>
      <c r="G1226" s="10" t="s">
        <v>1577</v>
      </c>
      <c r="H1226" s="10" t="s">
        <v>802</v>
      </c>
      <c r="I1226" s="10" t="s">
        <v>794</v>
      </c>
      <c r="J1226" s="10" t="s">
        <v>1004</v>
      </c>
    </row>
    <row r="1227" spans="1:10" ht="15" hidden="1" customHeight="1">
      <c r="A1227" s="9">
        <v>1223</v>
      </c>
      <c r="B1227" s="10" t="s">
        <v>3371</v>
      </c>
      <c r="C1227" s="10" t="s">
        <v>3372</v>
      </c>
      <c r="D1227" s="10" t="s">
        <v>1460</v>
      </c>
      <c r="E1227" s="10" t="s">
        <v>1492</v>
      </c>
      <c r="F1227" s="10" t="s">
        <v>794</v>
      </c>
      <c r="G1227" s="10" t="s">
        <v>1493</v>
      </c>
      <c r="H1227" s="10" t="s">
        <v>1479</v>
      </c>
      <c r="I1227" s="10" t="s">
        <v>794</v>
      </c>
      <c r="J1227" s="10" t="s">
        <v>1475</v>
      </c>
    </row>
    <row r="1228" spans="1:10" ht="15" hidden="1" customHeight="1">
      <c r="A1228" s="9">
        <v>1224</v>
      </c>
      <c r="B1228" s="10" t="s">
        <v>3373</v>
      </c>
      <c r="C1228" s="10" t="s">
        <v>3374</v>
      </c>
      <c r="D1228" s="10" t="s">
        <v>1460</v>
      </c>
      <c r="E1228" s="10" t="s">
        <v>1492</v>
      </c>
      <c r="F1228" s="10" t="s">
        <v>794</v>
      </c>
      <c r="G1228" s="10" t="s">
        <v>1493</v>
      </c>
      <c r="H1228" s="10" t="s">
        <v>1479</v>
      </c>
      <c r="I1228" s="10" t="s">
        <v>794</v>
      </c>
      <c r="J1228" s="10" t="s">
        <v>1475</v>
      </c>
    </row>
    <row r="1229" spans="1:10" ht="15" hidden="1" customHeight="1">
      <c r="A1229" s="9">
        <v>1225</v>
      </c>
      <c r="B1229" s="10" t="s">
        <v>3375</v>
      </c>
      <c r="C1229" s="10" t="s">
        <v>3376</v>
      </c>
      <c r="D1229" s="10" t="s">
        <v>1460</v>
      </c>
      <c r="E1229" s="10" t="s">
        <v>1492</v>
      </c>
      <c r="F1229" s="10" t="s">
        <v>794</v>
      </c>
      <c r="G1229" s="10" t="s">
        <v>1493</v>
      </c>
      <c r="H1229" s="10" t="s">
        <v>1479</v>
      </c>
      <c r="I1229" s="10" t="s">
        <v>794</v>
      </c>
      <c r="J1229" s="10" t="s">
        <v>1475</v>
      </c>
    </row>
    <row r="1230" spans="1:10" ht="15" hidden="1" customHeight="1">
      <c r="A1230" s="9">
        <v>1226</v>
      </c>
      <c r="B1230" s="10" t="s">
        <v>3377</v>
      </c>
      <c r="C1230" s="10" t="s">
        <v>3378</v>
      </c>
      <c r="D1230" s="10" t="s">
        <v>1460</v>
      </c>
      <c r="E1230" s="10" t="s">
        <v>1492</v>
      </c>
      <c r="F1230" s="10" t="s">
        <v>794</v>
      </c>
      <c r="G1230" s="10" t="s">
        <v>1493</v>
      </c>
      <c r="H1230" s="10" t="s">
        <v>1479</v>
      </c>
      <c r="I1230" s="10" t="s">
        <v>794</v>
      </c>
      <c r="J1230" s="10" t="s">
        <v>1475</v>
      </c>
    </row>
    <row r="1231" spans="1:10" ht="15" hidden="1" customHeight="1">
      <c r="A1231" s="9">
        <v>1227</v>
      </c>
      <c r="B1231" s="10" t="s">
        <v>3379</v>
      </c>
      <c r="C1231" s="10" t="s">
        <v>3380</v>
      </c>
      <c r="D1231" s="10" t="s">
        <v>1460</v>
      </c>
      <c r="E1231" s="10" t="s">
        <v>1505</v>
      </c>
      <c r="F1231" s="10" t="s">
        <v>794</v>
      </c>
      <c r="G1231" s="10" t="s">
        <v>1957</v>
      </c>
      <c r="H1231" s="10" t="s">
        <v>1479</v>
      </c>
      <c r="I1231" s="10" t="s">
        <v>794</v>
      </c>
      <c r="J1231" s="10" t="s">
        <v>1475</v>
      </c>
    </row>
    <row r="1232" spans="1:10" ht="15" hidden="1" customHeight="1">
      <c r="A1232" s="9">
        <v>1228</v>
      </c>
      <c r="B1232" s="10" t="s">
        <v>3381</v>
      </c>
      <c r="C1232" s="10" t="s">
        <v>3382</v>
      </c>
      <c r="D1232" s="10" t="s">
        <v>1460</v>
      </c>
      <c r="E1232" s="10" t="s">
        <v>1505</v>
      </c>
      <c r="F1232" s="10" t="s">
        <v>794</v>
      </c>
      <c r="G1232" s="10" t="s">
        <v>1957</v>
      </c>
      <c r="H1232" s="10" t="s">
        <v>1479</v>
      </c>
      <c r="I1232" s="10" t="s">
        <v>794</v>
      </c>
      <c r="J1232" s="10" t="s">
        <v>1475</v>
      </c>
    </row>
    <row r="1233" spans="1:10" ht="15" hidden="1" customHeight="1">
      <c r="A1233" s="9">
        <v>1229</v>
      </c>
      <c r="B1233" s="10" t="s">
        <v>3383</v>
      </c>
      <c r="C1233" s="10" t="s">
        <v>3384</v>
      </c>
      <c r="D1233" s="10" t="s">
        <v>1460</v>
      </c>
      <c r="E1233" s="10" t="s">
        <v>1505</v>
      </c>
      <c r="F1233" s="10" t="s">
        <v>794</v>
      </c>
      <c r="G1233" s="10" t="s">
        <v>1957</v>
      </c>
      <c r="H1233" s="10" t="s">
        <v>1479</v>
      </c>
      <c r="I1233" s="10" t="s">
        <v>794</v>
      </c>
      <c r="J1233" s="10" t="s">
        <v>1475</v>
      </c>
    </row>
    <row r="1234" spans="1:10" ht="15" hidden="1" customHeight="1">
      <c r="A1234" s="9">
        <v>1230</v>
      </c>
      <c r="B1234" s="10" t="s">
        <v>3385</v>
      </c>
      <c r="C1234" s="10" t="s">
        <v>3386</v>
      </c>
      <c r="D1234" s="10" t="s">
        <v>1460</v>
      </c>
      <c r="E1234" s="10" t="s">
        <v>1534</v>
      </c>
      <c r="F1234" s="10" t="s">
        <v>794</v>
      </c>
      <c r="G1234" s="10" t="s">
        <v>1525</v>
      </c>
      <c r="H1234" s="10" t="s">
        <v>1479</v>
      </c>
      <c r="I1234" s="10" t="s">
        <v>794</v>
      </c>
      <c r="J1234" s="10" t="s">
        <v>1520</v>
      </c>
    </row>
    <row r="1235" spans="1:10" ht="15" hidden="1" customHeight="1">
      <c r="A1235" s="9">
        <v>1231</v>
      </c>
      <c r="B1235" s="10" t="s">
        <v>3387</v>
      </c>
      <c r="C1235" s="10" t="s">
        <v>3388</v>
      </c>
      <c r="D1235" s="10" t="s">
        <v>1460</v>
      </c>
      <c r="E1235" s="10" t="s">
        <v>1534</v>
      </c>
      <c r="F1235" s="10" t="s">
        <v>794</v>
      </c>
      <c r="G1235" s="10" t="s">
        <v>1525</v>
      </c>
      <c r="H1235" s="10" t="s">
        <v>1479</v>
      </c>
      <c r="I1235" s="10" t="s">
        <v>794</v>
      </c>
      <c r="J1235" s="10" t="s">
        <v>1520</v>
      </c>
    </row>
    <row r="1236" spans="1:10" ht="15" hidden="1" customHeight="1">
      <c r="A1236" s="9">
        <v>1232</v>
      </c>
      <c r="B1236" s="10" t="s">
        <v>3389</v>
      </c>
      <c r="C1236" s="10" t="s">
        <v>3390</v>
      </c>
      <c r="D1236" s="10" t="s">
        <v>1460</v>
      </c>
      <c r="E1236" s="10" t="s">
        <v>1534</v>
      </c>
      <c r="F1236" s="10" t="s">
        <v>794</v>
      </c>
      <c r="G1236" s="10" t="s">
        <v>1525</v>
      </c>
      <c r="H1236" s="10" t="s">
        <v>1479</v>
      </c>
      <c r="I1236" s="10" t="s">
        <v>794</v>
      </c>
      <c r="J1236" s="10" t="s">
        <v>1520</v>
      </c>
    </row>
    <row r="1237" spans="1:10" ht="15" hidden="1" customHeight="1">
      <c r="A1237" s="9">
        <v>1233</v>
      </c>
      <c r="B1237" s="10" t="s">
        <v>3391</v>
      </c>
      <c r="C1237" s="10" t="s">
        <v>3392</v>
      </c>
      <c r="D1237" s="10" t="s">
        <v>1460</v>
      </c>
      <c r="E1237" s="10" t="s">
        <v>1536</v>
      </c>
      <c r="F1237" s="10" t="s">
        <v>794</v>
      </c>
      <c r="G1237" s="10" t="s">
        <v>1528</v>
      </c>
      <c r="H1237" s="10" t="s">
        <v>1479</v>
      </c>
      <c r="I1237" s="10" t="s">
        <v>794</v>
      </c>
      <c r="J1237" s="10" t="s">
        <v>1520</v>
      </c>
    </row>
    <row r="1238" spans="1:10" ht="15" hidden="1" customHeight="1">
      <c r="A1238" s="9">
        <v>1234</v>
      </c>
      <c r="B1238" s="10" t="s">
        <v>3393</v>
      </c>
      <c r="C1238" s="10" t="s">
        <v>3394</v>
      </c>
      <c r="D1238" s="10" t="s">
        <v>1460</v>
      </c>
      <c r="E1238" s="10" t="s">
        <v>1536</v>
      </c>
      <c r="F1238" s="10" t="s">
        <v>794</v>
      </c>
      <c r="G1238" s="10" t="s">
        <v>1528</v>
      </c>
      <c r="H1238" s="10" t="s">
        <v>1479</v>
      </c>
      <c r="I1238" s="10" t="s">
        <v>794</v>
      </c>
      <c r="J1238" s="10" t="s">
        <v>1520</v>
      </c>
    </row>
    <row r="1239" spans="1:10" ht="15" hidden="1" customHeight="1">
      <c r="A1239" s="9">
        <v>1235</v>
      </c>
      <c r="B1239" s="10" t="s">
        <v>3395</v>
      </c>
      <c r="C1239" s="10" t="s">
        <v>3396</v>
      </c>
      <c r="D1239" s="10" t="s">
        <v>1004</v>
      </c>
      <c r="E1239" s="10" t="s">
        <v>1752</v>
      </c>
      <c r="F1239" s="10" t="s">
        <v>794</v>
      </c>
      <c r="G1239" s="10" t="s">
        <v>1747</v>
      </c>
      <c r="H1239" s="10" t="s">
        <v>1479</v>
      </c>
      <c r="I1239" s="10" t="s">
        <v>794</v>
      </c>
      <c r="J1239" s="10" t="s">
        <v>795</v>
      </c>
    </row>
    <row r="1240" spans="1:10" ht="15" hidden="1" customHeight="1">
      <c r="A1240" s="9">
        <v>1236</v>
      </c>
      <c r="B1240" s="10" t="s">
        <v>3397</v>
      </c>
      <c r="C1240" s="10" t="s">
        <v>3398</v>
      </c>
      <c r="D1240" s="10" t="s">
        <v>1004</v>
      </c>
      <c r="E1240" s="10" t="s">
        <v>1752</v>
      </c>
      <c r="F1240" s="10" t="s">
        <v>794</v>
      </c>
      <c r="G1240" s="10" t="s">
        <v>1750</v>
      </c>
      <c r="H1240" s="10" t="s">
        <v>1479</v>
      </c>
      <c r="I1240" s="10" t="s">
        <v>794</v>
      </c>
      <c r="J1240" s="10" t="s">
        <v>795</v>
      </c>
    </row>
    <row r="1241" spans="1:10" ht="15" hidden="1" customHeight="1">
      <c r="A1241" s="9">
        <v>1237</v>
      </c>
      <c r="B1241" s="10" t="s">
        <v>3399</v>
      </c>
      <c r="C1241" s="10" t="s">
        <v>3400</v>
      </c>
      <c r="D1241" s="10" t="s">
        <v>1004</v>
      </c>
      <c r="E1241" s="10" t="s">
        <v>1785</v>
      </c>
      <c r="F1241" s="10" t="s">
        <v>794</v>
      </c>
      <c r="G1241" s="10" t="s">
        <v>1747</v>
      </c>
      <c r="H1241" s="10" t="s">
        <v>1479</v>
      </c>
      <c r="I1241" s="10" t="s">
        <v>794</v>
      </c>
      <c r="J1241" s="10" t="s">
        <v>795</v>
      </c>
    </row>
    <row r="1242" spans="1:10" ht="15" hidden="1" customHeight="1">
      <c r="A1242" s="9">
        <v>1238</v>
      </c>
      <c r="B1242" s="10" t="s">
        <v>3401</v>
      </c>
      <c r="C1242" s="10" t="s">
        <v>3402</v>
      </c>
      <c r="D1242" s="10" t="s">
        <v>1004</v>
      </c>
      <c r="E1242" s="10" t="s">
        <v>1785</v>
      </c>
      <c r="F1242" s="10" t="s">
        <v>794</v>
      </c>
      <c r="G1242" s="10" t="s">
        <v>1750</v>
      </c>
      <c r="H1242" s="10" t="s">
        <v>1479</v>
      </c>
      <c r="I1242" s="10" t="s">
        <v>794</v>
      </c>
      <c r="J1242" s="10" t="s">
        <v>795</v>
      </c>
    </row>
    <row r="1243" spans="1:10" ht="15" hidden="1" customHeight="1">
      <c r="A1243" s="9">
        <v>1239</v>
      </c>
      <c r="B1243" s="10" t="s">
        <v>3403</v>
      </c>
      <c r="C1243" s="10" t="s">
        <v>3404</v>
      </c>
      <c r="D1243" s="10" t="s">
        <v>1460</v>
      </c>
      <c r="E1243" s="10" t="s">
        <v>1807</v>
      </c>
      <c r="F1243" s="10" t="s">
        <v>794</v>
      </c>
      <c r="G1243" s="10" t="s">
        <v>1808</v>
      </c>
      <c r="H1243" s="10" t="s">
        <v>1479</v>
      </c>
      <c r="I1243" s="10" t="s">
        <v>794</v>
      </c>
      <c r="J1243" s="10" t="s">
        <v>1004</v>
      </c>
    </row>
    <row r="1244" spans="1:10" ht="15" customHeight="1">
      <c r="A1244" s="9">
        <v>1240</v>
      </c>
      <c r="B1244" s="10" t="s">
        <v>3405</v>
      </c>
      <c r="C1244" s="10" t="s">
        <v>3406</v>
      </c>
      <c r="D1244" s="10" t="s">
        <v>1004</v>
      </c>
      <c r="E1244" s="10" t="s">
        <v>1874</v>
      </c>
      <c r="F1244" s="10" t="s">
        <v>794</v>
      </c>
      <c r="G1244" s="10" t="s">
        <v>1823</v>
      </c>
      <c r="H1244" s="10" t="s">
        <v>978</v>
      </c>
      <c r="I1244" s="10" t="s">
        <v>793</v>
      </c>
      <c r="J1244" s="10" t="s">
        <v>881</v>
      </c>
    </row>
    <row r="1245" spans="1:10" ht="15" customHeight="1">
      <c r="A1245" s="9">
        <v>1241</v>
      </c>
      <c r="B1245" s="10" t="s">
        <v>3407</v>
      </c>
      <c r="C1245" s="10" t="s">
        <v>3408</v>
      </c>
      <c r="D1245" s="10" t="s">
        <v>1004</v>
      </c>
      <c r="E1245" s="10" t="s">
        <v>1874</v>
      </c>
      <c r="F1245" s="10" t="s">
        <v>794</v>
      </c>
      <c r="G1245" s="10" t="s">
        <v>1823</v>
      </c>
      <c r="H1245" s="10" t="s">
        <v>978</v>
      </c>
      <c r="I1245" s="10" t="s">
        <v>793</v>
      </c>
      <c r="J1245" s="10" t="s">
        <v>881</v>
      </c>
    </row>
    <row r="1246" spans="1:10" ht="15" customHeight="1">
      <c r="A1246" s="9">
        <v>1242</v>
      </c>
      <c r="B1246" s="10" t="s">
        <v>3409</v>
      </c>
      <c r="C1246" s="10" t="s">
        <v>3410</v>
      </c>
      <c r="D1246" s="10" t="s">
        <v>1004</v>
      </c>
      <c r="E1246" s="10" t="s">
        <v>1874</v>
      </c>
      <c r="F1246" s="10" t="s">
        <v>794</v>
      </c>
      <c r="G1246" s="10" t="s">
        <v>1823</v>
      </c>
      <c r="H1246" s="10" t="s">
        <v>978</v>
      </c>
      <c r="I1246" s="10" t="s">
        <v>793</v>
      </c>
      <c r="J1246" s="10" t="s">
        <v>881</v>
      </c>
    </row>
    <row r="1247" spans="1:10" ht="15" customHeight="1">
      <c r="A1247" s="9">
        <v>1243</v>
      </c>
      <c r="B1247" s="10" t="s">
        <v>3411</v>
      </c>
      <c r="C1247" s="10" t="s">
        <v>3412</v>
      </c>
      <c r="D1247" s="10" t="s">
        <v>1004</v>
      </c>
      <c r="E1247" s="10" t="s">
        <v>1874</v>
      </c>
      <c r="F1247" s="10" t="s">
        <v>794</v>
      </c>
      <c r="G1247" s="10" t="s">
        <v>1823</v>
      </c>
      <c r="H1247" s="10" t="s">
        <v>978</v>
      </c>
      <c r="I1247" s="10" t="s">
        <v>793</v>
      </c>
      <c r="J1247" s="10" t="s">
        <v>2070</v>
      </c>
    </row>
    <row r="1248" spans="1:10" ht="15" customHeight="1">
      <c r="A1248" s="9">
        <v>1244</v>
      </c>
      <c r="B1248" s="10" t="s">
        <v>3413</v>
      </c>
      <c r="C1248" s="10" t="s">
        <v>3414</v>
      </c>
      <c r="D1248" s="10" t="s">
        <v>1004</v>
      </c>
      <c r="E1248" s="10" t="s">
        <v>1874</v>
      </c>
      <c r="F1248" s="10" t="s">
        <v>794</v>
      </c>
      <c r="G1248" s="10" t="s">
        <v>1823</v>
      </c>
      <c r="H1248" s="10" t="s">
        <v>978</v>
      </c>
      <c r="I1248" s="10" t="s">
        <v>793</v>
      </c>
      <c r="J1248" s="10" t="s">
        <v>881</v>
      </c>
    </row>
    <row r="1249" spans="1:10" ht="15" customHeight="1">
      <c r="A1249" s="9">
        <v>1245</v>
      </c>
      <c r="B1249" s="10" t="s">
        <v>3415</v>
      </c>
      <c r="C1249" s="10" t="s">
        <v>3416</v>
      </c>
      <c r="D1249" s="10" t="s">
        <v>1004</v>
      </c>
      <c r="E1249" s="10" t="s">
        <v>1878</v>
      </c>
      <c r="F1249" s="10" t="s">
        <v>794</v>
      </c>
      <c r="G1249" s="10" t="s">
        <v>1830</v>
      </c>
      <c r="H1249" s="10" t="s">
        <v>978</v>
      </c>
      <c r="I1249" s="10" t="s">
        <v>793</v>
      </c>
      <c r="J1249" s="10" t="s">
        <v>881</v>
      </c>
    </row>
    <row r="1250" spans="1:10" ht="15" customHeight="1">
      <c r="A1250" s="9">
        <v>1246</v>
      </c>
      <c r="B1250" s="10" t="s">
        <v>3417</v>
      </c>
      <c r="C1250" s="10" t="s">
        <v>3418</v>
      </c>
      <c r="D1250" s="10" t="s">
        <v>1004</v>
      </c>
      <c r="E1250" s="10" t="s">
        <v>1878</v>
      </c>
      <c r="F1250" s="10" t="s">
        <v>794</v>
      </c>
      <c r="G1250" s="10" t="s">
        <v>1830</v>
      </c>
      <c r="H1250" s="10" t="s">
        <v>978</v>
      </c>
      <c r="I1250" s="10" t="s">
        <v>793</v>
      </c>
      <c r="J1250" s="10" t="s">
        <v>881</v>
      </c>
    </row>
    <row r="1251" spans="1:10" ht="15" customHeight="1">
      <c r="A1251" s="9">
        <v>1247</v>
      </c>
      <c r="B1251" s="10" t="s">
        <v>3419</v>
      </c>
      <c r="C1251" s="10" t="s">
        <v>3420</v>
      </c>
      <c r="D1251" s="10" t="s">
        <v>1004</v>
      </c>
      <c r="E1251" s="10" t="s">
        <v>1878</v>
      </c>
      <c r="F1251" s="10" t="s">
        <v>794</v>
      </c>
      <c r="G1251" s="10" t="s">
        <v>1830</v>
      </c>
      <c r="H1251" s="10" t="s">
        <v>978</v>
      </c>
      <c r="I1251" s="10" t="s">
        <v>793</v>
      </c>
      <c r="J1251" s="10" t="s">
        <v>881</v>
      </c>
    </row>
    <row r="1252" spans="1:10" ht="15" customHeight="1">
      <c r="A1252" s="9">
        <v>1248</v>
      </c>
      <c r="B1252" s="10" t="s">
        <v>3421</v>
      </c>
      <c r="C1252" s="10" t="s">
        <v>3422</v>
      </c>
      <c r="D1252" s="10" t="s">
        <v>1004</v>
      </c>
      <c r="E1252" s="10" t="s">
        <v>1878</v>
      </c>
      <c r="F1252" s="10" t="s">
        <v>794</v>
      </c>
      <c r="G1252" s="10" t="s">
        <v>1830</v>
      </c>
      <c r="H1252" s="10" t="s">
        <v>978</v>
      </c>
      <c r="I1252" s="10" t="s">
        <v>793</v>
      </c>
      <c r="J1252" s="10" t="s">
        <v>2070</v>
      </c>
    </row>
    <row r="1253" spans="1:10" ht="15" customHeight="1">
      <c r="A1253" s="9">
        <v>1249</v>
      </c>
      <c r="B1253" s="10" t="s">
        <v>3423</v>
      </c>
      <c r="C1253" s="10" t="s">
        <v>3424</v>
      </c>
      <c r="D1253" s="10" t="s">
        <v>1004</v>
      </c>
      <c r="E1253" s="10" t="s">
        <v>1878</v>
      </c>
      <c r="F1253" s="10" t="s">
        <v>794</v>
      </c>
      <c r="G1253" s="10" t="s">
        <v>1830</v>
      </c>
      <c r="H1253" s="10" t="s">
        <v>978</v>
      </c>
      <c r="I1253" s="10" t="s">
        <v>793</v>
      </c>
      <c r="J1253" s="10" t="s">
        <v>881</v>
      </c>
    </row>
    <row r="1254" spans="1:10" ht="15" customHeight="1">
      <c r="A1254" s="9">
        <v>1250</v>
      </c>
      <c r="B1254" s="10" t="s">
        <v>3425</v>
      </c>
      <c r="C1254" s="10" t="s">
        <v>3426</v>
      </c>
      <c r="D1254" s="10" t="s">
        <v>1004</v>
      </c>
      <c r="E1254" s="10" t="s">
        <v>1858</v>
      </c>
      <c r="F1254" s="10" t="s">
        <v>794</v>
      </c>
      <c r="G1254" s="10" t="s">
        <v>1833</v>
      </c>
      <c r="H1254" s="10" t="s">
        <v>978</v>
      </c>
      <c r="I1254" s="10" t="s">
        <v>793</v>
      </c>
      <c r="J1254" s="10" t="s">
        <v>1004</v>
      </c>
    </row>
    <row r="1255" spans="1:10" ht="15" customHeight="1">
      <c r="A1255" s="9">
        <v>1251</v>
      </c>
      <c r="B1255" s="10" t="s">
        <v>3427</v>
      </c>
      <c r="C1255" s="10" t="s">
        <v>3428</v>
      </c>
      <c r="D1255" s="10" t="s">
        <v>1004</v>
      </c>
      <c r="E1255" s="10" t="s">
        <v>1858</v>
      </c>
      <c r="F1255" s="10" t="s">
        <v>794</v>
      </c>
      <c r="G1255" s="10" t="s">
        <v>1833</v>
      </c>
      <c r="H1255" s="10" t="s">
        <v>978</v>
      </c>
      <c r="I1255" s="10" t="s">
        <v>793</v>
      </c>
      <c r="J1255" s="10" t="s">
        <v>1004</v>
      </c>
    </row>
    <row r="1256" spans="1:10" ht="15" customHeight="1">
      <c r="A1256" s="9">
        <v>1252</v>
      </c>
      <c r="B1256" s="10" t="s">
        <v>3429</v>
      </c>
      <c r="C1256" s="10" t="s">
        <v>3430</v>
      </c>
      <c r="D1256" s="10" t="s">
        <v>1004</v>
      </c>
      <c r="E1256" s="10" t="s">
        <v>1858</v>
      </c>
      <c r="F1256" s="10" t="s">
        <v>794</v>
      </c>
      <c r="G1256" s="10" t="s">
        <v>1833</v>
      </c>
      <c r="H1256" s="10" t="s">
        <v>978</v>
      </c>
      <c r="I1256" s="10" t="s">
        <v>793</v>
      </c>
      <c r="J1256" s="10" t="s">
        <v>1004</v>
      </c>
    </row>
    <row r="1257" spans="1:10" ht="15" customHeight="1">
      <c r="A1257" s="9">
        <v>1253</v>
      </c>
      <c r="B1257" s="10" t="s">
        <v>3431</v>
      </c>
      <c r="C1257" s="10" t="s">
        <v>3432</v>
      </c>
      <c r="D1257" s="10" t="s">
        <v>1004</v>
      </c>
      <c r="E1257" s="10" t="s">
        <v>1858</v>
      </c>
      <c r="F1257" s="10" t="s">
        <v>794</v>
      </c>
      <c r="G1257" s="10" t="s">
        <v>1833</v>
      </c>
      <c r="H1257" s="10" t="s">
        <v>978</v>
      </c>
      <c r="I1257" s="10" t="s">
        <v>793</v>
      </c>
      <c r="J1257" s="10" t="s">
        <v>1004</v>
      </c>
    </row>
    <row r="1258" spans="1:10" ht="15" customHeight="1">
      <c r="A1258" s="9">
        <v>1254</v>
      </c>
      <c r="B1258" s="10" t="s">
        <v>3433</v>
      </c>
      <c r="C1258" s="10" t="s">
        <v>3434</v>
      </c>
      <c r="D1258" s="10" t="s">
        <v>1004</v>
      </c>
      <c r="E1258" s="10" t="s">
        <v>1858</v>
      </c>
      <c r="F1258" s="10" t="s">
        <v>794</v>
      </c>
      <c r="G1258" s="10" t="s">
        <v>1833</v>
      </c>
      <c r="H1258" s="10" t="s">
        <v>978</v>
      </c>
      <c r="I1258" s="10" t="s">
        <v>793</v>
      </c>
      <c r="J1258" s="10" t="s">
        <v>1004</v>
      </c>
    </row>
    <row r="1259" spans="1:10" ht="15" customHeight="1">
      <c r="A1259" s="9">
        <v>1255</v>
      </c>
      <c r="B1259" s="10" t="s">
        <v>3435</v>
      </c>
      <c r="C1259" s="10" t="s">
        <v>3436</v>
      </c>
      <c r="D1259" s="10" t="s">
        <v>1004</v>
      </c>
      <c r="E1259" s="10" t="s">
        <v>1860</v>
      </c>
      <c r="F1259" s="10" t="s">
        <v>794</v>
      </c>
      <c r="G1259" s="10" t="s">
        <v>1836</v>
      </c>
      <c r="H1259" s="10" t="s">
        <v>978</v>
      </c>
      <c r="I1259" s="10" t="s">
        <v>793</v>
      </c>
      <c r="J1259" s="10" t="s">
        <v>1004</v>
      </c>
    </row>
    <row r="1260" spans="1:10" ht="15" customHeight="1">
      <c r="A1260" s="9">
        <v>1256</v>
      </c>
      <c r="B1260" s="10" t="s">
        <v>3437</v>
      </c>
      <c r="C1260" s="10" t="s">
        <v>3438</v>
      </c>
      <c r="D1260" s="10" t="s">
        <v>1004</v>
      </c>
      <c r="E1260" s="10" t="s">
        <v>1860</v>
      </c>
      <c r="F1260" s="10" t="s">
        <v>794</v>
      </c>
      <c r="G1260" s="10" t="s">
        <v>1836</v>
      </c>
      <c r="H1260" s="10" t="s">
        <v>978</v>
      </c>
      <c r="I1260" s="10" t="s">
        <v>793</v>
      </c>
      <c r="J1260" s="10" t="s">
        <v>1004</v>
      </c>
    </row>
    <row r="1261" spans="1:10" ht="15" customHeight="1">
      <c r="A1261" s="9">
        <v>1257</v>
      </c>
      <c r="B1261" s="10" t="s">
        <v>3439</v>
      </c>
      <c r="C1261" s="10" t="s">
        <v>3440</v>
      </c>
      <c r="D1261" s="10" t="s">
        <v>1004</v>
      </c>
      <c r="E1261" s="10" t="s">
        <v>1860</v>
      </c>
      <c r="F1261" s="10" t="s">
        <v>794</v>
      </c>
      <c r="G1261" s="10" t="s">
        <v>1836</v>
      </c>
      <c r="H1261" s="10" t="s">
        <v>978</v>
      </c>
      <c r="I1261" s="10" t="s">
        <v>793</v>
      </c>
      <c r="J1261" s="10" t="s">
        <v>1004</v>
      </c>
    </row>
    <row r="1262" spans="1:10" ht="15" customHeight="1">
      <c r="A1262" s="9">
        <v>1258</v>
      </c>
      <c r="B1262" s="10" t="s">
        <v>3441</v>
      </c>
      <c r="C1262" s="10" t="s">
        <v>3442</v>
      </c>
      <c r="D1262" s="10" t="s">
        <v>1004</v>
      </c>
      <c r="E1262" s="10" t="s">
        <v>1860</v>
      </c>
      <c r="F1262" s="10" t="s">
        <v>794</v>
      </c>
      <c r="G1262" s="10" t="s">
        <v>1836</v>
      </c>
      <c r="H1262" s="10" t="s">
        <v>978</v>
      </c>
      <c r="I1262" s="10" t="s">
        <v>793</v>
      </c>
      <c r="J1262" s="10" t="s">
        <v>1004</v>
      </c>
    </row>
    <row r="1263" spans="1:10" ht="15" customHeight="1">
      <c r="A1263" s="9">
        <v>1259</v>
      </c>
      <c r="B1263" s="10" t="s">
        <v>3443</v>
      </c>
      <c r="C1263" s="10" t="s">
        <v>3444</v>
      </c>
      <c r="D1263" s="10" t="s">
        <v>1004</v>
      </c>
      <c r="E1263" s="10" t="s">
        <v>1860</v>
      </c>
      <c r="F1263" s="10" t="s">
        <v>794</v>
      </c>
      <c r="G1263" s="10" t="s">
        <v>1836</v>
      </c>
      <c r="H1263" s="10" t="s">
        <v>978</v>
      </c>
      <c r="I1263" s="10" t="s">
        <v>793</v>
      </c>
      <c r="J1263" s="10" t="s">
        <v>1004</v>
      </c>
    </row>
    <row r="1264" spans="1:10" ht="15" customHeight="1">
      <c r="A1264" s="9">
        <v>1260</v>
      </c>
      <c r="B1264" s="10" t="s">
        <v>3445</v>
      </c>
      <c r="C1264" s="10" t="s">
        <v>3446</v>
      </c>
      <c r="D1264" s="10" t="s">
        <v>1004</v>
      </c>
      <c r="E1264" s="10" t="s">
        <v>1862</v>
      </c>
      <c r="F1264" s="10" t="s">
        <v>794</v>
      </c>
      <c r="G1264" s="10" t="s">
        <v>1839</v>
      </c>
      <c r="H1264" s="10" t="s">
        <v>978</v>
      </c>
      <c r="I1264" s="10" t="s">
        <v>793</v>
      </c>
      <c r="J1264" s="10" t="s">
        <v>1004</v>
      </c>
    </row>
    <row r="1265" spans="1:10" ht="15" customHeight="1">
      <c r="A1265" s="9">
        <v>1261</v>
      </c>
      <c r="B1265" s="10" t="s">
        <v>3447</v>
      </c>
      <c r="C1265" s="10" t="s">
        <v>3448</v>
      </c>
      <c r="D1265" s="10" t="s">
        <v>1004</v>
      </c>
      <c r="E1265" s="10" t="s">
        <v>1862</v>
      </c>
      <c r="F1265" s="10" t="s">
        <v>794</v>
      </c>
      <c r="G1265" s="10" t="s">
        <v>1839</v>
      </c>
      <c r="H1265" s="10" t="s">
        <v>978</v>
      </c>
      <c r="I1265" s="10" t="s">
        <v>793</v>
      </c>
      <c r="J1265" s="10" t="s">
        <v>1004</v>
      </c>
    </row>
    <row r="1266" spans="1:10" ht="15" customHeight="1">
      <c r="A1266" s="9">
        <v>1262</v>
      </c>
      <c r="B1266" s="10" t="s">
        <v>3449</v>
      </c>
      <c r="C1266" s="10" t="s">
        <v>3450</v>
      </c>
      <c r="D1266" s="10" t="s">
        <v>1004</v>
      </c>
      <c r="E1266" s="10" t="s">
        <v>1862</v>
      </c>
      <c r="F1266" s="10" t="s">
        <v>794</v>
      </c>
      <c r="G1266" s="10" t="s">
        <v>1839</v>
      </c>
      <c r="H1266" s="10" t="s">
        <v>978</v>
      </c>
      <c r="I1266" s="10" t="s">
        <v>793</v>
      </c>
      <c r="J1266" s="10" t="s">
        <v>1004</v>
      </c>
    </row>
    <row r="1267" spans="1:10" ht="15" customHeight="1">
      <c r="A1267" s="9">
        <v>1263</v>
      </c>
      <c r="B1267" s="10" t="s">
        <v>3451</v>
      </c>
      <c r="C1267" s="10" t="s">
        <v>3452</v>
      </c>
      <c r="D1267" s="10" t="s">
        <v>1004</v>
      </c>
      <c r="E1267" s="10" t="s">
        <v>1862</v>
      </c>
      <c r="F1267" s="10" t="s">
        <v>794</v>
      </c>
      <c r="G1267" s="10" t="s">
        <v>1839</v>
      </c>
      <c r="H1267" s="10" t="s">
        <v>978</v>
      </c>
      <c r="I1267" s="10" t="s">
        <v>793</v>
      </c>
      <c r="J1267" s="10" t="s">
        <v>1004</v>
      </c>
    </row>
    <row r="1268" spans="1:10" ht="15" customHeight="1">
      <c r="A1268" s="9">
        <v>1264</v>
      </c>
      <c r="B1268" s="10" t="s">
        <v>3453</v>
      </c>
      <c r="C1268" s="10" t="s">
        <v>3454</v>
      </c>
      <c r="D1268" s="10" t="s">
        <v>1004</v>
      </c>
      <c r="E1268" s="10" t="s">
        <v>1864</v>
      </c>
      <c r="F1268" s="10" t="s">
        <v>794</v>
      </c>
      <c r="G1268" s="10" t="s">
        <v>1842</v>
      </c>
      <c r="H1268" s="10" t="s">
        <v>978</v>
      </c>
      <c r="I1268" s="10" t="s">
        <v>793</v>
      </c>
      <c r="J1268" s="10" t="s">
        <v>1004</v>
      </c>
    </row>
    <row r="1269" spans="1:10" ht="15" customHeight="1">
      <c r="A1269" s="9">
        <v>1265</v>
      </c>
      <c r="B1269" s="10" t="s">
        <v>3455</v>
      </c>
      <c r="C1269" s="10" t="s">
        <v>3456</v>
      </c>
      <c r="D1269" s="10" t="s">
        <v>1004</v>
      </c>
      <c r="E1269" s="10" t="s">
        <v>1864</v>
      </c>
      <c r="F1269" s="10" t="s">
        <v>794</v>
      </c>
      <c r="G1269" s="10" t="s">
        <v>1842</v>
      </c>
      <c r="H1269" s="10" t="s">
        <v>978</v>
      </c>
      <c r="I1269" s="10" t="s">
        <v>793</v>
      </c>
      <c r="J1269" s="10" t="s">
        <v>1004</v>
      </c>
    </row>
    <row r="1270" spans="1:10" ht="15" customHeight="1">
      <c r="A1270" s="9">
        <v>1266</v>
      </c>
      <c r="B1270" s="10" t="s">
        <v>3457</v>
      </c>
      <c r="C1270" s="10" t="s">
        <v>3458</v>
      </c>
      <c r="D1270" s="10" t="s">
        <v>1004</v>
      </c>
      <c r="E1270" s="10" t="s">
        <v>1864</v>
      </c>
      <c r="F1270" s="10" t="s">
        <v>794</v>
      </c>
      <c r="G1270" s="10" t="s">
        <v>1842</v>
      </c>
      <c r="H1270" s="10" t="s">
        <v>978</v>
      </c>
      <c r="I1270" s="10" t="s">
        <v>793</v>
      </c>
      <c r="J1270" s="10" t="s">
        <v>1004</v>
      </c>
    </row>
    <row r="1271" spans="1:10" ht="15" customHeight="1">
      <c r="A1271" s="9">
        <v>1267</v>
      </c>
      <c r="B1271" s="10" t="s">
        <v>3459</v>
      </c>
      <c r="C1271" s="10" t="s">
        <v>3460</v>
      </c>
      <c r="D1271" s="10" t="s">
        <v>1004</v>
      </c>
      <c r="E1271" s="10" t="s">
        <v>1864</v>
      </c>
      <c r="F1271" s="10" t="s">
        <v>794</v>
      </c>
      <c r="G1271" s="10" t="s">
        <v>1842</v>
      </c>
      <c r="H1271" s="10" t="s">
        <v>978</v>
      </c>
      <c r="I1271" s="10" t="s">
        <v>793</v>
      </c>
      <c r="J1271" s="10" t="s">
        <v>1004</v>
      </c>
    </row>
    <row r="1272" spans="1:10" ht="15" customHeight="1">
      <c r="A1272" s="9">
        <v>1268</v>
      </c>
      <c r="B1272" s="10" t="s">
        <v>3461</v>
      </c>
      <c r="C1272" s="10" t="s">
        <v>3462</v>
      </c>
      <c r="D1272" s="10" t="s">
        <v>1004</v>
      </c>
      <c r="E1272" s="10" t="s">
        <v>1864</v>
      </c>
      <c r="F1272" s="10" t="s">
        <v>794</v>
      </c>
      <c r="G1272" s="10" t="s">
        <v>1842</v>
      </c>
      <c r="H1272" s="10" t="s">
        <v>978</v>
      </c>
      <c r="I1272" s="10" t="s">
        <v>793</v>
      </c>
      <c r="J1272" s="10" t="s">
        <v>1004</v>
      </c>
    </row>
    <row r="1273" spans="1:10" ht="15" customHeight="1">
      <c r="A1273" s="9">
        <v>1269</v>
      </c>
      <c r="B1273" s="10" t="s">
        <v>3463</v>
      </c>
      <c r="C1273" s="10" t="s">
        <v>3464</v>
      </c>
      <c r="D1273" s="10" t="s">
        <v>1004</v>
      </c>
      <c r="E1273" s="10" t="s">
        <v>1864</v>
      </c>
      <c r="F1273" s="10" t="s">
        <v>794</v>
      </c>
      <c r="G1273" s="10" t="s">
        <v>1842</v>
      </c>
      <c r="H1273" s="10" t="s">
        <v>978</v>
      </c>
      <c r="I1273" s="10" t="s">
        <v>793</v>
      </c>
      <c r="J1273" s="10" t="s">
        <v>1004</v>
      </c>
    </row>
    <row r="1274" spans="1:10" ht="15" customHeight="1">
      <c r="A1274" s="9">
        <v>1270</v>
      </c>
      <c r="B1274" s="10" t="s">
        <v>3465</v>
      </c>
      <c r="C1274" s="10" t="s">
        <v>3466</v>
      </c>
      <c r="D1274" s="10" t="s">
        <v>1004</v>
      </c>
      <c r="E1274" s="10" t="s">
        <v>1864</v>
      </c>
      <c r="F1274" s="10" t="s">
        <v>794</v>
      </c>
      <c r="G1274" s="10" t="s">
        <v>1842</v>
      </c>
      <c r="H1274" s="10" t="s">
        <v>978</v>
      </c>
      <c r="I1274" s="10" t="s">
        <v>793</v>
      </c>
      <c r="J1274" s="10" t="s">
        <v>1004</v>
      </c>
    </row>
    <row r="1275" spans="1:10" ht="15" customHeight="1">
      <c r="A1275" s="9">
        <v>1271</v>
      </c>
      <c r="B1275" s="10" t="s">
        <v>3467</v>
      </c>
      <c r="C1275" s="10" t="s">
        <v>3468</v>
      </c>
      <c r="D1275" s="10" t="s">
        <v>1004</v>
      </c>
      <c r="E1275" s="10" t="s">
        <v>1866</v>
      </c>
      <c r="F1275" s="10" t="s">
        <v>794</v>
      </c>
      <c r="G1275" s="10" t="s">
        <v>1845</v>
      </c>
      <c r="H1275" s="10" t="s">
        <v>978</v>
      </c>
      <c r="I1275" s="10" t="s">
        <v>793</v>
      </c>
      <c r="J1275" s="10" t="s">
        <v>1004</v>
      </c>
    </row>
    <row r="1276" spans="1:10" ht="15" customHeight="1">
      <c r="A1276" s="9">
        <v>1272</v>
      </c>
      <c r="B1276" s="10" t="s">
        <v>3469</v>
      </c>
      <c r="C1276" s="10" t="s">
        <v>3470</v>
      </c>
      <c r="D1276" s="10" t="s">
        <v>1004</v>
      </c>
      <c r="E1276" s="10" t="s">
        <v>1866</v>
      </c>
      <c r="F1276" s="10" t="s">
        <v>794</v>
      </c>
      <c r="G1276" s="10" t="s">
        <v>1845</v>
      </c>
      <c r="H1276" s="10" t="s">
        <v>978</v>
      </c>
      <c r="I1276" s="10" t="s">
        <v>793</v>
      </c>
      <c r="J1276" s="10" t="s">
        <v>1004</v>
      </c>
    </row>
    <row r="1277" spans="1:10" ht="15" customHeight="1">
      <c r="A1277" s="9">
        <v>1273</v>
      </c>
      <c r="B1277" s="10" t="s">
        <v>3471</v>
      </c>
      <c r="C1277" s="10" t="s">
        <v>3472</v>
      </c>
      <c r="D1277" s="10" t="s">
        <v>1004</v>
      </c>
      <c r="E1277" s="10" t="s">
        <v>1866</v>
      </c>
      <c r="F1277" s="10" t="s">
        <v>794</v>
      </c>
      <c r="G1277" s="10" t="s">
        <v>1845</v>
      </c>
      <c r="H1277" s="10" t="s">
        <v>978</v>
      </c>
      <c r="I1277" s="10" t="s">
        <v>793</v>
      </c>
      <c r="J1277" s="10" t="s">
        <v>1004</v>
      </c>
    </row>
    <row r="1278" spans="1:10" ht="15" customHeight="1">
      <c r="A1278" s="9">
        <v>1274</v>
      </c>
      <c r="B1278" s="10" t="s">
        <v>3473</v>
      </c>
      <c r="C1278" s="10" t="s">
        <v>3474</v>
      </c>
      <c r="D1278" s="10" t="s">
        <v>1004</v>
      </c>
      <c r="E1278" s="10" t="s">
        <v>1866</v>
      </c>
      <c r="F1278" s="10" t="s">
        <v>794</v>
      </c>
      <c r="G1278" s="10" t="s">
        <v>1845</v>
      </c>
      <c r="H1278" s="10" t="s">
        <v>978</v>
      </c>
      <c r="I1278" s="10" t="s">
        <v>793</v>
      </c>
      <c r="J1278" s="10" t="s">
        <v>1004</v>
      </c>
    </row>
    <row r="1279" spans="1:10" ht="15" customHeight="1">
      <c r="A1279" s="9">
        <v>1275</v>
      </c>
      <c r="B1279" s="10" t="s">
        <v>3475</v>
      </c>
      <c r="C1279" s="10" t="s">
        <v>3476</v>
      </c>
      <c r="D1279" s="10" t="s">
        <v>1004</v>
      </c>
      <c r="E1279" s="10" t="s">
        <v>1866</v>
      </c>
      <c r="F1279" s="10" t="s">
        <v>794</v>
      </c>
      <c r="G1279" s="10" t="s">
        <v>1845</v>
      </c>
      <c r="H1279" s="10" t="s">
        <v>978</v>
      </c>
      <c r="I1279" s="10" t="s">
        <v>793</v>
      </c>
      <c r="J1279" s="10" t="s">
        <v>1004</v>
      </c>
    </row>
    <row r="1280" spans="1:10" ht="15" customHeight="1">
      <c r="A1280" s="9">
        <v>1276</v>
      </c>
      <c r="B1280" s="10" t="s">
        <v>3477</v>
      </c>
      <c r="C1280" s="10" t="s">
        <v>3478</v>
      </c>
      <c r="D1280" s="10" t="s">
        <v>1004</v>
      </c>
      <c r="E1280" s="10" t="s">
        <v>1868</v>
      </c>
      <c r="F1280" s="10" t="s">
        <v>794</v>
      </c>
      <c r="G1280" s="10" t="s">
        <v>1848</v>
      </c>
      <c r="H1280" s="10" t="s">
        <v>978</v>
      </c>
      <c r="I1280" s="10" t="s">
        <v>793</v>
      </c>
      <c r="J1280" s="10" t="s">
        <v>1004</v>
      </c>
    </row>
    <row r="1281" spans="1:10" ht="15" customHeight="1">
      <c r="A1281" s="9">
        <v>1277</v>
      </c>
      <c r="B1281" s="10" t="s">
        <v>3479</v>
      </c>
      <c r="C1281" s="10" t="s">
        <v>3480</v>
      </c>
      <c r="D1281" s="10" t="s">
        <v>1004</v>
      </c>
      <c r="E1281" s="10" t="s">
        <v>1868</v>
      </c>
      <c r="F1281" s="10" t="s">
        <v>794</v>
      </c>
      <c r="G1281" s="10" t="s">
        <v>1848</v>
      </c>
      <c r="H1281" s="10" t="s">
        <v>978</v>
      </c>
      <c r="I1281" s="10" t="s">
        <v>793</v>
      </c>
      <c r="J1281" s="10" t="s">
        <v>1004</v>
      </c>
    </row>
    <row r="1282" spans="1:10" ht="15" customHeight="1">
      <c r="A1282" s="9">
        <v>1278</v>
      </c>
      <c r="B1282" s="10" t="s">
        <v>3481</v>
      </c>
      <c r="C1282" s="10" t="s">
        <v>3482</v>
      </c>
      <c r="D1282" s="10" t="s">
        <v>1004</v>
      </c>
      <c r="E1282" s="10" t="s">
        <v>1868</v>
      </c>
      <c r="F1282" s="10" t="s">
        <v>794</v>
      </c>
      <c r="G1282" s="10" t="s">
        <v>1848</v>
      </c>
      <c r="H1282" s="10" t="s">
        <v>978</v>
      </c>
      <c r="I1282" s="10" t="s">
        <v>793</v>
      </c>
      <c r="J1282" s="10" t="s">
        <v>1004</v>
      </c>
    </row>
    <row r="1283" spans="1:10" ht="15" customHeight="1">
      <c r="A1283" s="9">
        <v>1279</v>
      </c>
      <c r="B1283" s="10" t="s">
        <v>3483</v>
      </c>
      <c r="C1283" s="10" t="s">
        <v>3484</v>
      </c>
      <c r="D1283" s="10" t="s">
        <v>1004</v>
      </c>
      <c r="E1283" s="10" t="s">
        <v>1868</v>
      </c>
      <c r="F1283" s="10" t="s">
        <v>794</v>
      </c>
      <c r="G1283" s="10" t="s">
        <v>1848</v>
      </c>
      <c r="H1283" s="10" t="s">
        <v>978</v>
      </c>
      <c r="I1283" s="10" t="s">
        <v>793</v>
      </c>
      <c r="J1283" s="10" t="s">
        <v>1004</v>
      </c>
    </row>
    <row r="1284" spans="1:10" ht="15" customHeight="1">
      <c r="A1284" s="9">
        <v>1280</v>
      </c>
      <c r="B1284" s="10" t="s">
        <v>3485</v>
      </c>
      <c r="C1284" s="10" t="s">
        <v>3486</v>
      </c>
      <c r="D1284" s="10" t="s">
        <v>1004</v>
      </c>
      <c r="E1284" s="10" t="s">
        <v>1868</v>
      </c>
      <c r="F1284" s="10" t="s">
        <v>794</v>
      </c>
      <c r="G1284" s="10" t="s">
        <v>1848</v>
      </c>
      <c r="H1284" s="10" t="s">
        <v>978</v>
      </c>
      <c r="I1284" s="10" t="s">
        <v>793</v>
      </c>
      <c r="J1284" s="10" t="s">
        <v>1004</v>
      </c>
    </row>
    <row r="1285" spans="1:10" ht="15" customHeight="1">
      <c r="A1285" s="9">
        <v>1281</v>
      </c>
      <c r="B1285" s="10" t="s">
        <v>3487</v>
      </c>
      <c r="C1285" s="10" t="s">
        <v>3488</v>
      </c>
      <c r="D1285" s="10" t="s">
        <v>1004</v>
      </c>
      <c r="E1285" s="10" t="s">
        <v>1870</v>
      </c>
      <c r="F1285" s="10" t="s">
        <v>794</v>
      </c>
      <c r="G1285" s="10" t="s">
        <v>1851</v>
      </c>
      <c r="H1285" s="10" t="s">
        <v>978</v>
      </c>
      <c r="I1285" s="10" t="s">
        <v>793</v>
      </c>
      <c r="J1285" s="10" t="s">
        <v>1004</v>
      </c>
    </row>
    <row r="1286" spans="1:10" ht="15" customHeight="1">
      <c r="A1286" s="9">
        <v>1282</v>
      </c>
      <c r="B1286" s="10" t="s">
        <v>3489</v>
      </c>
      <c r="C1286" s="10" t="s">
        <v>3490</v>
      </c>
      <c r="D1286" s="10" t="s">
        <v>1004</v>
      </c>
      <c r="E1286" s="10" t="s">
        <v>1870</v>
      </c>
      <c r="F1286" s="10" t="s">
        <v>794</v>
      </c>
      <c r="G1286" s="10" t="s">
        <v>1851</v>
      </c>
      <c r="H1286" s="10" t="s">
        <v>978</v>
      </c>
      <c r="I1286" s="10" t="s">
        <v>793</v>
      </c>
      <c r="J1286" s="10" t="s">
        <v>1004</v>
      </c>
    </row>
    <row r="1287" spans="1:10" ht="15" customHeight="1">
      <c r="A1287" s="9">
        <v>1283</v>
      </c>
      <c r="B1287" s="10" t="s">
        <v>3491</v>
      </c>
      <c r="C1287" s="10" t="s">
        <v>3492</v>
      </c>
      <c r="D1287" s="10" t="s">
        <v>1004</v>
      </c>
      <c r="E1287" s="10" t="s">
        <v>1870</v>
      </c>
      <c r="F1287" s="10" t="s">
        <v>794</v>
      </c>
      <c r="G1287" s="10" t="s">
        <v>1851</v>
      </c>
      <c r="H1287" s="10" t="s">
        <v>978</v>
      </c>
      <c r="I1287" s="10" t="s">
        <v>793</v>
      </c>
      <c r="J1287" s="10" t="s">
        <v>1004</v>
      </c>
    </row>
    <row r="1288" spans="1:10" ht="15" customHeight="1">
      <c r="A1288" s="9">
        <v>1284</v>
      </c>
      <c r="B1288" s="10" t="s">
        <v>3493</v>
      </c>
      <c r="C1288" s="10" t="s">
        <v>3494</v>
      </c>
      <c r="D1288" s="10" t="s">
        <v>1004</v>
      </c>
      <c r="E1288" s="10" t="s">
        <v>1870</v>
      </c>
      <c r="F1288" s="10" t="s">
        <v>794</v>
      </c>
      <c r="G1288" s="10" t="s">
        <v>1851</v>
      </c>
      <c r="H1288" s="10" t="s">
        <v>978</v>
      </c>
      <c r="I1288" s="10" t="s">
        <v>793</v>
      </c>
      <c r="J1288" s="10" t="s">
        <v>1004</v>
      </c>
    </row>
    <row r="1289" spans="1:10" ht="15" customHeight="1">
      <c r="A1289" s="9">
        <v>1285</v>
      </c>
      <c r="B1289" s="10" t="s">
        <v>3495</v>
      </c>
      <c r="C1289" s="10" t="s">
        <v>3496</v>
      </c>
      <c r="D1289" s="10" t="s">
        <v>1004</v>
      </c>
      <c r="E1289" s="10" t="s">
        <v>1870</v>
      </c>
      <c r="F1289" s="10" t="s">
        <v>794</v>
      </c>
      <c r="G1289" s="10" t="s">
        <v>1851</v>
      </c>
      <c r="H1289" s="10" t="s">
        <v>978</v>
      </c>
      <c r="I1289" s="10" t="s">
        <v>793</v>
      </c>
      <c r="J1289" s="10" t="s">
        <v>1004</v>
      </c>
    </row>
    <row r="1290" spans="1:10" ht="15" customHeight="1">
      <c r="A1290" s="9">
        <v>1286</v>
      </c>
      <c r="B1290" s="10" t="s">
        <v>3497</v>
      </c>
      <c r="C1290" s="10" t="s">
        <v>3498</v>
      </c>
      <c r="D1290" s="10" t="s">
        <v>1004</v>
      </c>
      <c r="E1290" s="10" t="s">
        <v>1872</v>
      </c>
      <c r="F1290" s="10" t="s">
        <v>794</v>
      </c>
      <c r="G1290" s="10" t="s">
        <v>1854</v>
      </c>
      <c r="H1290" s="10" t="s">
        <v>978</v>
      </c>
      <c r="I1290" s="10" t="s">
        <v>793</v>
      </c>
      <c r="J1290" s="10" t="s">
        <v>1004</v>
      </c>
    </row>
    <row r="1291" spans="1:10" ht="15" customHeight="1">
      <c r="A1291" s="9">
        <v>1287</v>
      </c>
      <c r="B1291" s="10" t="s">
        <v>3499</v>
      </c>
      <c r="C1291" s="10" t="s">
        <v>3500</v>
      </c>
      <c r="D1291" s="10" t="s">
        <v>1004</v>
      </c>
      <c r="E1291" s="10" t="s">
        <v>1872</v>
      </c>
      <c r="F1291" s="10" t="s">
        <v>794</v>
      </c>
      <c r="G1291" s="10" t="s">
        <v>1854</v>
      </c>
      <c r="H1291" s="10" t="s">
        <v>978</v>
      </c>
      <c r="I1291" s="10" t="s">
        <v>793</v>
      </c>
      <c r="J1291" s="10" t="s">
        <v>1004</v>
      </c>
    </row>
    <row r="1292" spans="1:10" ht="15" customHeight="1">
      <c r="A1292" s="9">
        <v>1288</v>
      </c>
      <c r="B1292" s="10" t="s">
        <v>3501</v>
      </c>
      <c r="C1292" s="10" t="s">
        <v>3502</v>
      </c>
      <c r="D1292" s="10" t="s">
        <v>1004</v>
      </c>
      <c r="E1292" s="10" t="s">
        <v>1872</v>
      </c>
      <c r="F1292" s="10" t="s">
        <v>794</v>
      </c>
      <c r="G1292" s="10" t="s">
        <v>1854</v>
      </c>
      <c r="H1292" s="10" t="s">
        <v>978</v>
      </c>
      <c r="I1292" s="10" t="s">
        <v>793</v>
      </c>
      <c r="J1292" s="10" t="s">
        <v>1004</v>
      </c>
    </row>
    <row r="1293" spans="1:10" ht="15" customHeight="1">
      <c r="A1293" s="9">
        <v>1289</v>
      </c>
      <c r="B1293" s="10" t="s">
        <v>3503</v>
      </c>
      <c r="C1293" s="10" t="s">
        <v>3504</v>
      </c>
      <c r="D1293" s="10" t="s">
        <v>1004</v>
      </c>
      <c r="E1293" s="10" t="s">
        <v>1872</v>
      </c>
      <c r="F1293" s="10" t="s">
        <v>794</v>
      </c>
      <c r="G1293" s="10" t="s">
        <v>1854</v>
      </c>
      <c r="H1293" s="10" t="s">
        <v>978</v>
      </c>
      <c r="I1293" s="10" t="s">
        <v>793</v>
      </c>
      <c r="J1293" s="10" t="s">
        <v>1004</v>
      </c>
    </row>
    <row r="1294" spans="1:10" ht="15" customHeight="1">
      <c r="A1294" s="9">
        <v>1290</v>
      </c>
      <c r="B1294" s="10" t="s">
        <v>3505</v>
      </c>
      <c r="C1294" s="10" t="s">
        <v>3506</v>
      </c>
      <c r="D1294" s="10" t="s">
        <v>1004</v>
      </c>
      <c r="E1294" s="10" t="s">
        <v>1872</v>
      </c>
      <c r="F1294" s="10" t="s">
        <v>794</v>
      </c>
      <c r="G1294" s="10" t="s">
        <v>1854</v>
      </c>
      <c r="H1294" s="10" t="s">
        <v>978</v>
      </c>
      <c r="I1294" s="10" t="s">
        <v>793</v>
      </c>
      <c r="J1294" s="10" t="s">
        <v>1004</v>
      </c>
    </row>
    <row r="1295" spans="1:10" ht="15" customHeight="1">
      <c r="A1295" s="9">
        <v>1291</v>
      </c>
      <c r="B1295" s="10" t="s">
        <v>3507</v>
      </c>
      <c r="C1295" s="10" t="s">
        <v>3508</v>
      </c>
      <c r="D1295" s="10" t="s">
        <v>1004</v>
      </c>
      <c r="E1295" s="10" t="s">
        <v>1887</v>
      </c>
      <c r="F1295" s="10" t="s">
        <v>794</v>
      </c>
      <c r="G1295" s="10" t="s">
        <v>1885</v>
      </c>
      <c r="H1295" s="10" t="s">
        <v>978</v>
      </c>
      <c r="I1295" s="10" t="s">
        <v>793</v>
      </c>
      <c r="J1295" s="10" t="s">
        <v>881</v>
      </c>
    </row>
    <row r="1296" spans="1:10" ht="15" customHeight="1">
      <c r="A1296" s="9">
        <v>1292</v>
      </c>
      <c r="B1296" s="10" t="s">
        <v>3509</v>
      </c>
      <c r="C1296" s="10" t="s">
        <v>3510</v>
      </c>
      <c r="D1296" s="10" t="s">
        <v>1004</v>
      </c>
      <c r="E1296" s="10" t="s">
        <v>1887</v>
      </c>
      <c r="F1296" s="10" t="s">
        <v>794</v>
      </c>
      <c r="G1296" s="10" t="s">
        <v>1885</v>
      </c>
      <c r="H1296" s="10" t="s">
        <v>978</v>
      </c>
      <c r="I1296" s="10" t="s">
        <v>793</v>
      </c>
      <c r="J1296" s="10" t="s">
        <v>881</v>
      </c>
    </row>
    <row r="1297" spans="1:10" ht="15" customHeight="1">
      <c r="A1297" s="9">
        <v>1293</v>
      </c>
      <c r="B1297" s="10" t="s">
        <v>3511</v>
      </c>
      <c r="C1297" s="10" t="s">
        <v>3512</v>
      </c>
      <c r="D1297" s="10" t="s">
        <v>1004</v>
      </c>
      <c r="E1297" s="10" t="s">
        <v>1887</v>
      </c>
      <c r="F1297" s="10" t="s">
        <v>794</v>
      </c>
      <c r="G1297" s="10" t="s">
        <v>1885</v>
      </c>
      <c r="H1297" s="10" t="s">
        <v>978</v>
      </c>
      <c r="I1297" s="10" t="s">
        <v>793</v>
      </c>
      <c r="J1297" s="10" t="s">
        <v>2070</v>
      </c>
    </row>
    <row r="1298" spans="1:10" ht="15" customHeight="1">
      <c r="A1298" s="9">
        <v>1294</v>
      </c>
      <c r="B1298" s="10" t="s">
        <v>3513</v>
      </c>
      <c r="C1298" s="10" t="s">
        <v>3514</v>
      </c>
      <c r="D1298" s="10" t="s">
        <v>1004</v>
      </c>
      <c r="E1298" s="10" t="s">
        <v>1887</v>
      </c>
      <c r="F1298" s="10" t="s">
        <v>794</v>
      </c>
      <c r="G1298" s="10" t="s">
        <v>1885</v>
      </c>
      <c r="H1298" s="10" t="s">
        <v>978</v>
      </c>
      <c r="I1298" s="10" t="s">
        <v>793</v>
      </c>
      <c r="J1298" s="10" t="s">
        <v>881</v>
      </c>
    </row>
    <row r="1299" spans="1:10" ht="15" customHeight="1">
      <c r="A1299" s="9">
        <v>1295</v>
      </c>
      <c r="B1299" s="10" t="s">
        <v>3515</v>
      </c>
      <c r="C1299" s="10" t="s">
        <v>3516</v>
      </c>
      <c r="D1299" s="10" t="s">
        <v>1004</v>
      </c>
      <c r="E1299" s="10" t="s">
        <v>1887</v>
      </c>
      <c r="F1299" s="10" t="s">
        <v>794</v>
      </c>
      <c r="G1299" s="10" t="s">
        <v>1885</v>
      </c>
      <c r="H1299" s="10" t="s">
        <v>978</v>
      </c>
      <c r="I1299" s="10" t="s">
        <v>793</v>
      </c>
      <c r="J1299" s="10" t="s">
        <v>881</v>
      </c>
    </row>
    <row r="1300" spans="1:10" ht="15" customHeight="1">
      <c r="A1300" s="9">
        <v>1296</v>
      </c>
      <c r="B1300" s="10" t="s">
        <v>3517</v>
      </c>
      <c r="C1300" s="10" t="s">
        <v>3518</v>
      </c>
      <c r="D1300" s="10" t="s">
        <v>1004</v>
      </c>
      <c r="E1300" s="10" t="s">
        <v>1887</v>
      </c>
      <c r="F1300" s="10" t="s">
        <v>794</v>
      </c>
      <c r="G1300" s="10" t="s">
        <v>1885</v>
      </c>
      <c r="H1300" s="10" t="s">
        <v>978</v>
      </c>
      <c r="I1300" s="10" t="s">
        <v>793</v>
      </c>
      <c r="J1300" s="10" t="s">
        <v>881</v>
      </c>
    </row>
    <row r="1301" spans="1:10" ht="15" customHeight="1">
      <c r="A1301" s="9">
        <v>1297</v>
      </c>
      <c r="B1301" s="10" t="s">
        <v>3519</v>
      </c>
      <c r="C1301" s="10" t="s">
        <v>3520</v>
      </c>
      <c r="D1301" s="10" t="s">
        <v>1004</v>
      </c>
      <c r="E1301" s="10" t="s">
        <v>1887</v>
      </c>
      <c r="F1301" s="10" t="s">
        <v>794</v>
      </c>
      <c r="G1301" s="10" t="s">
        <v>1885</v>
      </c>
      <c r="H1301" s="10" t="s">
        <v>978</v>
      </c>
      <c r="I1301" s="10" t="s">
        <v>793</v>
      </c>
      <c r="J1301" s="10" t="s">
        <v>2070</v>
      </c>
    </row>
    <row r="1302" spans="1:10" ht="15" customHeight="1">
      <c r="A1302" s="9">
        <v>1298</v>
      </c>
      <c r="B1302" s="10" t="s">
        <v>3521</v>
      </c>
      <c r="C1302" s="10" t="s">
        <v>3522</v>
      </c>
      <c r="D1302" s="10" t="s">
        <v>1004</v>
      </c>
      <c r="E1302" s="10" t="s">
        <v>1887</v>
      </c>
      <c r="F1302" s="10" t="s">
        <v>794</v>
      </c>
      <c r="G1302" s="10" t="s">
        <v>1885</v>
      </c>
      <c r="H1302" s="10" t="s">
        <v>978</v>
      </c>
      <c r="I1302" s="10" t="s">
        <v>793</v>
      </c>
      <c r="J1302" s="10" t="s">
        <v>881</v>
      </c>
    </row>
    <row r="1303" spans="1:10" ht="15" customHeight="1">
      <c r="A1303" s="9">
        <v>1299</v>
      </c>
      <c r="B1303" s="10" t="s">
        <v>3523</v>
      </c>
      <c r="C1303" s="10" t="s">
        <v>3524</v>
      </c>
      <c r="D1303" s="10" t="s">
        <v>1004</v>
      </c>
      <c r="E1303" s="10" t="s">
        <v>1887</v>
      </c>
      <c r="F1303" s="10" t="s">
        <v>794</v>
      </c>
      <c r="G1303" s="10" t="s">
        <v>1885</v>
      </c>
      <c r="H1303" s="10" t="s">
        <v>978</v>
      </c>
      <c r="I1303" s="10" t="s">
        <v>793</v>
      </c>
      <c r="J1303" s="10" t="s">
        <v>881</v>
      </c>
    </row>
    <row r="1304" spans="1:10" ht="15" customHeight="1">
      <c r="A1304" s="9">
        <v>1300</v>
      </c>
      <c r="B1304" s="10" t="s">
        <v>3525</v>
      </c>
      <c r="C1304" s="10" t="s">
        <v>3526</v>
      </c>
      <c r="D1304" s="10" t="s">
        <v>1004</v>
      </c>
      <c r="E1304" s="10" t="s">
        <v>1887</v>
      </c>
      <c r="F1304" s="10" t="s">
        <v>794</v>
      </c>
      <c r="G1304" s="10" t="s">
        <v>1885</v>
      </c>
      <c r="H1304" s="10" t="s">
        <v>978</v>
      </c>
      <c r="I1304" s="10" t="s">
        <v>793</v>
      </c>
      <c r="J1304" s="10" t="s">
        <v>881</v>
      </c>
    </row>
    <row r="1305" spans="1:10" ht="15" customHeight="1">
      <c r="A1305" s="9">
        <v>1301</v>
      </c>
      <c r="B1305" s="10" t="s">
        <v>3527</v>
      </c>
      <c r="C1305" s="10" t="s">
        <v>3528</v>
      </c>
      <c r="D1305" s="10" t="s">
        <v>1004</v>
      </c>
      <c r="E1305" s="10" t="s">
        <v>1887</v>
      </c>
      <c r="F1305" s="10" t="s">
        <v>794</v>
      </c>
      <c r="G1305" s="10" t="s">
        <v>1885</v>
      </c>
      <c r="H1305" s="10" t="s">
        <v>978</v>
      </c>
      <c r="I1305" s="10" t="s">
        <v>793</v>
      </c>
      <c r="J1305" s="10" t="s">
        <v>2070</v>
      </c>
    </row>
    <row r="1306" spans="1:10" ht="15" customHeight="1">
      <c r="A1306" s="9">
        <v>1302</v>
      </c>
      <c r="B1306" s="10" t="s">
        <v>3529</v>
      </c>
      <c r="C1306" s="10" t="s">
        <v>3530</v>
      </c>
      <c r="D1306" s="10" t="s">
        <v>1004</v>
      </c>
      <c r="E1306" s="10" t="s">
        <v>1887</v>
      </c>
      <c r="F1306" s="10" t="s">
        <v>794</v>
      </c>
      <c r="G1306" s="10" t="s">
        <v>1885</v>
      </c>
      <c r="H1306" s="10" t="s">
        <v>978</v>
      </c>
      <c r="I1306" s="10" t="s">
        <v>793</v>
      </c>
      <c r="J1306" s="10" t="s">
        <v>881</v>
      </c>
    </row>
    <row r="1307" spans="1:10" ht="15" customHeight="1">
      <c r="A1307" s="9">
        <v>1303</v>
      </c>
      <c r="B1307" s="10" t="s">
        <v>3531</v>
      </c>
      <c r="C1307" s="10" t="s">
        <v>3532</v>
      </c>
      <c r="D1307" s="10" t="s">
        <v>1004</v>
      </c>
      <c r="E1307" s="10" t="s">
        <v>1887</v>
      </c>
      <c r="F1307" s="10" t="s">
        <v>794</v>
      </c>
      <c r="G1307" s="10" t="s">
        <v>1885</v>
      </c>
      <c r="H1307" s="10" t="s">
        <v>978</v>
      </c>
      <c r="I1307" s="10" t="s">
        <v>793</v>
      </c>
      <c r="J1307" s="10" t="s">
        <v>881</v>
      </c>
    </row>
    <row r="1308" spans="1:10" ht="15" customHeight="1">
      <c r="A1308" s="9">
        <v>1304</v>
      </c>
      <c r="B1308" s="10" t="s">
        <v>3533</v>
      </c>
      <c r="C1308" s="10" t="s">
        <v>3534</v>
      </c>
      <c r="D1308" s="10" t="s">
        <v>1004</v>
      </c>
      <c r="E1308" s="10" t="s">
        <v>1887</v>
      </c>
      <c r="F1308" s="10" t="s">
        <v>794</v>
      </c>
      <c r="G1308" s="10" t="s">
        <v>1885</v>
      </c>
      <c r="H1308" s="10" t="s">
        <v>978</v>
      </c>
      <c r="I1308" s="10" t="s">
        <v>793</v>
      </c>
      <c r="J1308" s="10" t="s">
        <v>881</v>
      </c>
    </row>
    <row r="1309" spans="1:10" ht="15" customHeight="1">
      <c r="A1309" s="9">
        <v>1305</v>
      </c>
      <c r="B1309" s="10" t="s">
        <v>3535</v>
      </c>
      <c r="C1309" s="10" t="s">
        <v>3536</v>
      </c>
      <c r="D1309" s="10" t="s">
        <v>1004</v>
      </c>
      <c r="E1309" s="10" t="s">
        <v>1887</v>
      </c>
      <c r="F1309" s="10" t="s">
        <v>794</v>
      </c>
      <c r="G1309" s="10" t="s">
        <v>1885</v>
      </c>
      <c r="H1309" s="10" t="s">
        <v>978</v>
      </c>
      <c r="I1309" s="10" t="s">
        <v>793</v>
      </c>
      <c r="J1309" s="10" t="s">
        <v>881</v>
      </c>
    </row>
    <row r="1310" spans="1:10" ht="15" customHeight="1">
      <c r="A1310" s="9">
        <v>1306</v>
      </c>
      <c r="B1310" s="10" t="s">
        <v>3537</v>
      </c>
      <c r="C1310" s="10" t="s">
        <v>3538</v>
      </c>
      <c r="D1310" s="10" t="s">
        <v>1004</v>
      </c>
      <c r="E1310" s="10" t="s">
        <v>1887</v>
      </c>
      <c r="F1310" s="10" t="s">
        <v>794</v>
      </c>
      <c r="G1310" s="10" t="s">
        <v>1885</v>
      </c>
      <c r="H1310" s="10" t="s">
        <v>978</v>
      </c>
      <c r="I1310" s="10" t="s">
        <v>793</v>
      </c>
      <c r="J1310" s="10" t="s">
        <v>881</v>
      </c>
    </row>
    <row r="1311" spans="1:10" ht="15" customHeight="1">
      <c r="A1311" s="9">
        <v>1307</v>
      </c>
      <c r="B1311" s="10" t="s">
        <v>3539</v>
      </c>
      <c r="C1311" s="10" t="s">
        <v>3540</v>
      </c>
      <c r="D1311" s="10" t="s">
        <v>1004</v>
      </c>
      <c r="E1311" s="10" t="s">
        <v>1887</v>
      </c>
      <c r="F1311" s="10" t="s">
        <v>794</v>
      </c>
      <c r="G1311" s="10" t="s">
        <v>1885</v>
      </c>
      <c r="H1311" s="10" t="s">
        <v>978</v>
      </c>
      <c r="I1311" s="10" t="s">
        <v>793</v>
      </c>
      <c r="J1311" s="10" t="s">
        <v>881</v>
      </c>
    </row>
    <row r="1312" spans="1:10" ht="15" customHeight="1">
      <c r="A1312" s="9">
        <v>1308</v>
      </c>
      <c r="B1312" s="10" t="s">
        <v>3541</v>
      </c>
      <c r="C1312" s="10" t="s">
        <v>3542</v>
      </c>
      <c r="D1312" s="10" t="s">
        <v>1004</v>
      </c>
      <c r="E1312" s="10" t="s">
        <v>1887</v>
      </c>
      <c r="F1312" s="10" t="s">
        <v>794</v>
      </c>
      <c r="G1312" s="10" t="s">
        <v>1885</v>
      </c>
      <c r="H1312" s="10" t="s">
        <v>978</v>
      </c>
      <c r="I1312" s="10" t="s">
        <v>793</v>
      </c>
      <c r="J1312" s="10" t="s">
        <v>881</v>
      </c>
    </row>
    <row r="1313" spans="1:10" ht="15" customHeight="1">
      <c r="A1313" s="9">
        <v>1309</v>
      </c>
      <c r="B1313" s="10" t="s">
        <v>3543</v>
      </c>
      <c r="C1313" s="10" t="s">
        <v>3544</v>
      </c>
      <c r="D1313" s="10" t="s">
        <v>1004</v>
      </c>
      <c r="E1313" s="10" t="s">
        <v>1892</v>
      </c>
      <c r="F1313" s="10" t="s">
        <v>794</v>
      </c>
      <c r="G1313" s="10" t="s">
        <v>1890</v>
      </c>
      <c r="H1313" s="10" t="s">
        <v>978</v>
      </c>
      <c r="I1313" s="10" t="s">
        <v>793</v>
      </c>
      <c r="J1313" s="10" t="s">
        <v>881</v>
      </c>
    </row>
    <row r="1314" spans="1:10" ht="15" customHeight="1">
      <c r="A1314" s="9">
        <v>1310</v>
      </c>
      <c r="B1314" s="10" t="s">
        <v>3545</v>
      </c>
      <c r="C1314" s="10" t="s">
        <v>3546</v>
      </c>
      <c r="D1314" s="10" t="s">
        <v>1004</v>
      </c>
      <c r="E1314" s="10" t="s">
        <v>1892</v>
      </c>
      <c r="F1314" s="10" t="s">
        <v>794</v>
      </c>
      <c r="G1314" s="10" t="s">
        <v>1890</v>
      </c>
      <c r="H1314" s="10" t="s">
        <v>978</v>
      </c>
      <c r="I1314" s="10" t="s">
        <v>793</v>
      </c>
      <c r="J1314" s="10" t="s">
        <v>881</v>
      </c>
    </row>
    <row r="1315" spans="1:10" ht="15" customHeight="1">
      <c r="A1315" s="9">
        <v>1311</v>
      </c>
      <c r="B1315" s="10" t="s">
        <v>3547</v>
      </c>
      <c r="C1315" s="10" t="s">
        <v>3548</v>
      </c>
      <c r="D1315" s="10" t="s">
        <v>1004</v>
      </c>
      <c r="E1315" s="10" t="s">
        <v>1892</v>
      </c>
      <c r="F1315" s="10" t="s">
        <v>794</v>
      </c>
      <c r="G1315" s="10" t="s">
        <v>1890</v>
      </c>
      <c r="H1315" s="10" t="s">
        <v>978</v>
      </c>
      <c r="I1315" s="10" t="s">
        <v>793</v>
      </c>
      <c r="J1315" s="10" t="s">
        <v>881</v>
      </c>
    </row>
    <row r="1316" spans="1:10" ht="15" customHeight="1">
      <c r="A1316" s="9">
        <v>1312</v>
      </c>
      <c r="B1316" s="10" t="s">
        <v>3549</v>
      </c>
      <c r="C1316" s="10" t="s">
        <v>3550</v>
      </c>
      <c r="D1316" s="10" t="s">
        <v>1004</v>
      </c>
      <c r="E1316" s="10" t="s">
        <v>1892</v>
      </c>
      <c r="F1316" s="10" t="s">
        <v>794</v>
      </c>
      <c r="G1316" s="10" t="s">
        <v>1890</v>
      </c>
      <c r="H1316" s="10" t="s">
        <v>978</v>
      </c>
      <c r="I1316" s="10" t="s">
        <v>793</v>
      </c>
      <c r="J1316" s="10" t="s">
        <v>119</v>
      </c>
    </row>
    <row r="1317" spans="1:10" ht="15" customHeight="1">
      <c r="A1317" s="9">
        <v>1313</v>
      </c>
      <c r="B1317" s="10" t="s">
        <v>3551</v>
      </c>
      <c r="C1317" s="10" t="s">
        <v>3552</v>
      </c>
      <c r="D1317" s="10" t="s">
        <v>1004</v>
      </c>
      <c r="E1317" s="10" t="s">
        <v>1892</v>
      </c>
      <c r="F1317" s="10" t="s">
        <v>794</v>
      </c>
      <c r="G1317" s="10" t="s">
        <v>1890</v>
      </c>
      <c r="H1317" s="10" t="s">
        <v>978</v>
      </c>
      <c r="I1317" s="10" t="s">
        <v>793</v>
      </c>
      <c r="J1317" s="10" t="s">
        <v>2070</v>
      </c>
    </row>
    <row r="1318" spans="1:10" ht="15" customHeight="1">
      <c r="A1318" s="9">
        <v>1314</v>
      </c>
      <c r="B1318" s="10" t="s">
        <v>3553</v>
      </c>
      <c r="C1318" s="10" t="s">
        <v>3554</v>
      </c>
      <c r="D1318" s="10" t="s">
        <v>1004</v>
      </c>
      <c r="E1318" s="10" t="s">
        <v>1892</v>
      </c>
      <c r="F1318" s="10" t="s">
        <v>794</v>
      </c>
      <c r="G1318" s="10" t="s">
        <v>1890</v>
      </c>
      <c r="H1318" s="10" t="s">
        <v>978</v>
      </c>
      <c r="I1318" s="10" t="s">
        <v>793</v>
      </c>
      <c r="J1318" s="10" t="s">
        <v>119</v>
      </c>
    </row>
    <row r="1319" spans="1:10" ht="15" customHeight="1">
      <c r="A1319" s="9">
        <v>1315</v>
      </c>
      <c r="B1319" s="10" t="s">
        <v>3555</v>
      </c>
      <c r="C1319" s="10" t="s">
        <v>3556</v>
      </c>
      <c r="D1319" s="10" t="s">
        <v>1004</v>
      </c>
      <c r="E1319" s="10" t="s">
        <v>1892</v>
      </c>
      <c r="F1319" s="10" t="s">
        <v>794</v>
      </c>
      <c r="G1319" s="10" t="s">
        <v>1890</v>
      </c>
      <c r="H1319" s="10" t="s">
        <v>978</v>
      </c>
      <c r="I1319" s="10" t="s">
        <v>793</v>
      </c>
      <c r="J1319" s="10" t="s">
        <v>881</v>
      </c>
    </row>
    <row r="1320" spans="1:10" ht="15" customHeight="1">
      <c r="A1320" s="9">
        <v>1316</v>
      </c>
      <c r="B1320" s="10" t="s">
        <v>3557</v>
      </c>
      <c r="C1320" s="10" t="s">
        <v>3558</v>
      </c>
      <c r="D1320" s="10" t="s">
        <v>1004</v>
      </c>
      <c r="E1320" s="10" t="s">
        <v>1903</v>
      </c>
      <c r="F1320" s="10" t="s">
        <v>794</v>
      </c>
      <c r="G1320" s="10" t="s">
        <v>977</v>
      </c>
      <c r="H1320" s="10" t="s">
        <v>978</v>
      </c>
      <c r="I1320" s="10" t="s">
        <v>793</v>
      </c>
      <c r="J1320" s="10" t="s">
        <v>881</v>
      </c>
    </row>
    <row r="1321" spans="1:10" ht="15" customHeight="1">
      <c r="A1321" s="9">
        <v>1317</v>
      </c>
      <c r="B1321" s="10" t="s">
        <v>3559</v>
      </c>
      <c r="C1321" s="10" t="s">
        <v>3560</v>
      </c>
      <c r="D1321" s="10" t="s">
        <v>1004</v>
      </c>
      <c r="E1321" s="10" t="s">
        <v>1903</v>
      </c>
      <c r="F1321" s="10" t="s">
        <v>794</v>
      </c>
      <c r="G1321" s="10" t="s">
        <v>977</v>
      </c>
      <c r="H1321" s="10" t="s">
        <v>978</v>
      </c>
      <c r="I1321" s="10" t="s">
        <v>793</v>
      </c>
      <c r="J1321" s="10" t="s">
        <v>119</v>
      </c>
    </row>
    <row r="1322" spans="1:10" ht="15" customHeight="1">
      <c r="A1322" s="9">
        <v>1318</v>
      </c>
      <c r="B1322" s="10" t="s">
        <v>3561</v>
      </c>
      <c r="C1322" s="10" t="s">
        <v>3562</v>
      </c>
      <c r="D1322" s="10" t="s">
        <v>1004</v>
      </c>
      <c r="E1322" s="10" t="s">
        <v>1903</v>
      </c>
      <c r="F1322" s="10" t="s">
        <v>794</v>
      </c>
      <c r="G1322" s="10" t="s">
        <v>977</v>
      </c>
      <c r="H1322" s="10" t="s">
        <v>978</v>
      </c>
      <c r="I1322" s="10" t="s">
        <v>793</v>
      </c>
      <c r="J1322" s="10" t="s">
        <v>881</v>
      </c>
    </row>
    <row r="1323" spans="1:10" ht="15" customHeight="1">
      <c r="A1323" s="9">
        <v>1319</v>
      </c>
      <c r="B1323" s="10" t="s">
        <v>3563</v>
      </c>
      <c r="C1323" s="10" t="s">
        <v>3564</v>
      </c>
      <c r="D1323" s="10" t="s">
        <v>1004</v>
      </c>
      <c r="E1323" s="10" t="s">
        <v>1903</v>
      </c>
      <c r="F1323" s="10" t="s">
        <v>794</v>
      </c>
      <c r="G1323" s="10" t="s">
        <v>977</v>
      </c>
      <c r="H1323" s="10" t="s">
        <v>978</v>
      </c>
      <c r="I1323" s="10" t="s">
        <v>793</v>
      </c>
      <c r="J1323" s="10" t="s">
        <v>881</v>
      </c>
    </row>
    <row r="1324" spans="1:10" ht="15" customHeight="1">
      <c r="A1324" s="9">
        <v>1320</v>
      </c>
      <c r="B1324" s="10" t="s">
        <v>3565</v>
      </c>
      <c r="C1324" s="10" t="s">
        <v>3566</v>
      </c>
      <c r="D1324" s="10" t="s">
        <v>1004</v>
      </c>
      <c r="E1324" s="10" t="s">
        <v>1903</v>
      </c>
      <c r="F1324" s="10" t="s">
        <v>794</v>
      </c>
      <c r="G1324" s="10" t="s">
        <v>977</v>
      </c>
      <c r="H1324" s="10" t="s">
        <v>978</v>
      </c>
      <c r="I1324" s="10" t="s">
        <v>793</v>
      </c>
      <c r="J1324" s="10" t="s">
        <v>881</v>
      </c>
    </row>
    <row r="1325" spans="1:10" ht="15" customHeight="1">
      <c r="A1325" s="9">
        <v>1321</v>
      </c>
      <c r="B1325" s="10" t="s">
        <v>3567</v>
      </c>
      <c r="C1325" s="10" t="s">
        <v>3568</v>
      </c>
      <c r="D1325" s="10" t="s">
        <v>1004</v>
      </c>
      <c r="E1325" s="10" t="s">
        <v>1903</v>
      </c>
      <c r="F1325" s="10" t="s">
        <v>794</v>
      </c>
      <c r="G1325" s="10" t="s">
        <v>977</v>
      </c>
      <c r="H1325" s="10" t="s">
        <v>978</v>
      </c>
      <c r="I1325" s="10" t="s">
        <v>793</v>
      </c>
      <c r="J1325" s="10" t="s">
        <v>881</v>
      </c>
    </row>
    <row r="1326" spans="1:10" ht="15" customHeight="1">
      <c r="A1326" s="9">
        <v>1322</v>
      </c>
      <c r="B1326" s="10" t="s">
        <v>3569</v>
      </c>
      <c r="C1326" s="10" t="s">
        <v>3570</v>
      </c>
      <c r="D1326" s="10" t="s">
        <v>1004</v>
      </c>
      <c r="E1326" s="10" t="s">
        <v>1903</v>
      </c>
      <c r="F1326" s="10" t="s">
        <v>794</v>
      </c>
      <c r="G1326" s="10" t="s">
        <v>977</v>
      </c>
      <c r="H1326" s="10" t="s">
        <v>978</v>
      </c>
      <c r="I1326" s="10" t="s">
        <v>793</v>
      </c>
      <c r="J1326" s="10" t="s">
        <v>881</v>
      </c>
    </row>
    <row r="1327" spans="1:10" ht="15" customHeight="1">
      <c r="A1327" s="9">
        <v>1323</v>
      </c>
      <c r="B1327" s="10" t="s">
        <v>3571</v>
      </c>
      <c r="C1327" s="10" t="s">
        <v>3572</v>
      </c>
      <c r="D1327" s="10" t="s">
        <v>1004</v>
      </c>
      <c r="E1327" s="10" t="s">
        <v>1903</v>
      </c>
      <c r="F1327" s="10" t="s">
        <v>794</v>
      </c>
      <c r="G1327" s="10" t="s">
        <v>977</v>
      </c>
      <c r="H1327" s="10" t="s">
        <v>978</v>
      </c>
      <c r="I1327" s="10" t="s">
        <v>793</v>
      </c>
      <c r="J1327" s="10" t="s">
        <v>881</v>
      </c>
    </row>
    <row r="1328" spans="1:10" ht="15" customHeight="1">
      <c r="A1328" s="9">
        <v>1324</v>
      </c>
      <c r="B1328" s="10" t="s">
        <v>3573</v>
      </c>
      <c r="C1328" s="10" t="s">
        <v>3574</v>
      </c>
      <c r="D1328" s="10" t="s">
        <v>1004</v>
      </c>
      <c r="E1328" s="10" t="s">
        <v>1903</v>
      </c>
      <c r="F1328" s="10" t="s">
        <v>794</v>
      </c>
      <c r="G1328" s="10" t="s">
        <v>977</v>
      </c>
      <c r="H1328" s="10" t="s">
        <v>978</v>
      </c>
      <c r="I1328" s="10" t="s">
        <v>793</v>
      </c>
      <c r="J1328" s="10" t="s">
        <v>881</v>
      </c>
    </row>
    <row r="1329" spans="1:10" ht="15" customHeight="1">
      <c r="A1329" s="9">
        <v>1325</v>
      </c>
      <c r="B1329" s="10" t="s">
        <v>3575</v>
      </c>
      <c r="C1329" s="10" t="s">
        <v>3576</v>
      </c>
      <c r="D1329" s="10" t="s">
        <v>1004</v>
      </c>
      <c r="E1329" s="10" t="s">
        <v>1903</v>
      </c>
      <c r="F1329" s="10" t="s">
        <v>794</v>
      </c>
      <c r="G1329" s="10" t="s">
        <v>977</v>
      </c>
      <c r="H1329" s="10" t="s">
        <v>978</v>
      </c>
      <c r="I1329" s="10" t="s">
        <v>793</v>
      </c>
      <c r="J1329" s="10" t="s">
        <v>881</v>
      </c>
    </row>
    <row r="1330" spans="1:10" ht="15" customHeight="1">
      <c r="A1330" s="9">
        <v>1326</v>
      </c>
      <c r="B1330" s="10" t="s">
        <v>3577</v>
      </c>
      <c r="C1330" s="10" t="s">
        <v>3578</v>
      </c>
      <c r="D1330" s="10" t="s">
        <v>1004</v>
      </c>
      <c r="E1330" s="10" t="s">
        <v>1903</v>
      </c>
      <c r="F1330" s="10" t="s">
        <v>794</v>
      </c>
      <c r="G1330" s="10" t="s">
        <v>977</v>
      </c>
      <c r="H1330" s="10" t="s">
        <v>978</v>
      </c>
      <c r="I1330" s="10" t="s">
        <v>793</v>
      </c>
      <c r="J1330" s="10" t="s">
        <v>881</v>
      </c>
    </row>
    <row r="1331" spans="1:10" ht="15" customHeight="1">
      <c r="A1331" s="9">
        <v>1327</v>
      </c>
      <c r="B1331" s="10" t="s">
        <v>3579</v>
      </c>
      <c r="C1331" s="10" t="s">
        <v>3580</v>
      </c>
      <c r="D1331" s="10" t="s">
        <v>1004</v>
      </c>
      <c r="E1331" s="10" t="s">
        <v>1903</v>
      </c>
      <c r="F1331" s="10" t="s">
        <v>794</v>
      </c>
      <c r="G1331" s="10" t="s">
        <v>977</v>
      </c>
      <c r="H1331" s="10" t="s">
        <v>978</v>
      </c>
      <c r="I1331" s="10" t="s">
        <v>793</v>
      </c>
      <c r="J1331" s="10" t="s">
        <v>881</v>
      </c>
    </row>
    <row r="1332" spans="1:10" ht="15" customHeight="1">
      <c r="A1332" s="9">
        <v>1328</v>
      </c>
      <c r="B1332" s="10" t="s">
        <v>3581</v>
      </c>
      <c r="C1332" s="10" t="s">
        <v>3582</v>
      </c>
      <c r="D1332" s="10" t="s">
        <v>1004</v>
      </c>
      <c r="E1332" s="10" t="s">
        <v>1903</v>
      </c>
      <c r="F1332" s="10" t="s">
        <v>794</v>
      </c>
      <c r="G1332" s="10" t="s">
        <v>977</v>
      </c>
      <c r="H1332" s="10" t="s">
        <v>978</v>
      </c>
      <c r="I1332" s="10" t="s">
        <v>793</v>
      </c>
      <c r="J1332" s="10" t="s">
        <v>881</v>
      </c>
    </row>
    <row r="1333" spans="1:10" ht="15" customHeight="1">
      <c r="A1333" s="9">
        <v>1329</v>
      </c>
      <c r="B1333" s="10" t="s">
        <v>3583</v>
      </c>
      <c r="C1333" s="10" t="s">
        <v>3584</v>
      </c>
      <c r="D1333" s="10" t="s">
        <v>1004</v>
      </c>
      <c r="E1333" s="10" t="s">
        <v>1903</v>
      </c>
      <c r="F1333" s="10" t="s">
        <v>794</v>
      </c>
      <c r="G1333" s="10" t="s">
        <v>977</v>
      </c>
      <c r="H1333" s="10" t="s">
        <v>978</v>
      </c>
      <c r="I1333" s="10" t="s">
        <v>793</v>
      </c>
      <c r="J1333" s="10" t="s">
        <v>881</v>
      </c>
    </row>
    <row r="1334" spans="1:10" ht="15" customHeight="1">
      <c r="A1334" s="9">
        <v>1330</v>
      </c>
      <c r="B1334" s="10" t="s">
        <v>3585</v>
      </c>
      <c r="C1334" s="10" t="s">
        <v>3586</v>
      </c>
      <c r="D1334" s="10" t="s">
        <v>1004</v>
      </c>
      <c r="E1334" s="10" t="s">
        <v>1903</v>
      </c>
      <c r="F1334" s="10" t="s">
        <v>794</v>
      </c>
      <c r="G1334" s="10" t="s">
        <v>977</v>
      </c>
      <c r="H1334" s="10" t="s">
        <v>978</v>
      </c>
      <c r="I1334" s="10" t="s">
        <v>793</v>
      </c>
      <c r="J1334" s="10" t="s">
        <v>881</v>
      </c>
    </row>
    <row r="1335" spans="1:10" ht="15" customHeight="1">
      <c r="A1335" s="9">
        <v>1331</v>
      </c>
      <c r="B1335" s="10" t="s">
        <v>3587</v>
      </c>
      <c r="C1335" s="10" t="s">
        <v>3588</v>
      </c>
      <c r="D1335" s="10" t="s">
        <v>1004</v>
      </c>
      <c r="E1335" s="10" t="s">
        <v>1903</v>
      </c>
      <c r="F1335" s="10" t="s">
        <v>794</v>
      </c>
      <c r="G1335" s="10" t="s">
        <v>977</v>
      </c>
      <c r="H1335" s="10" t="s">
        <v>978</v>
      </c>
      <c r="I1335" s="10" t="s">
        <v>793</v>
      </c>
      <c r="J1335" s="10" t="s">
        <v>881</v>
      </c>
    </row>
    <row r="1336" spans="1:10" ht="15" customHeight="1">
      <c r="A1336" s="9">
        <v>1332</v>
      </c>
      <c r="B1336" s="10" t="s">
        <v>3589</v>
      </c>
      <c r="C1336" s="10" t="s">
        <v>3590</v>
      </c>
      <c r="D1336" s="10" t="s">
        <v>1004</v>
      </c>
      <c r="E1336" s="10" t="s">
        <v>1903</v>
      </c>
      <c r="F1336" s="10" t="s">
        <v>794</v>
      </c>
      <c r="G1336" s="10" t="s">
        <v>977</v>
      </c>
      <c r="H1336" s="10" t="s">
        <v>978</v>
      </c>
      <c r="I1336" s="10" t="s">
        <v>793</v>
      </c>
      <c r="J1336" s="10" t="s">
        <v>881</v>
      </c>
    </row>
    <row r="1337" spans="1:10" ht="15" customHeight="1">
      <c r="A1337" s="9">
        <v>1333</v>
      </c>
      <c r="B1337" s="10" t="s">
        <v>3591</v>
      </c>
      <c r="C1337" s="10" t="s">
        <v>3592</v>
      </c>
      <c r="D1337" s="10" t="s">
        <v>1004</v>
      </c>
      <c r="E1337" s="10" t="s">
        <v>1903</v>
      </c>
      <c r="F1337" s="10" t="s">
        <v>794</v>
      </c>
      <c r="G1337" s="10" t="s">
        <v>977</v>
      </c>
      <c r="H1337" s="10" t="s">
        <v>978</v>
      </c>
      <c r="I1337" s="10" t="s">
        <v>793</v>
      </c>
      <c r="J1337" s="10" t="s">
        <v>881</v>
      </c>
    </row>
    <row r="1338" spans="1:10" ht="15" customHeight="1">
      <c r="A1338" s="9">
        <v>1334</v>
      </c>
      <c r="B1338" s="10" t="s">
        <v>3593</v>
      </c>
      <c r="C1338" s="10" t="s">
        <v>3594</v>
      </c>
      <c r="D1338" s="10" t="s">
        <v>1004</v>
      </c>
      <c r="E1338" s="10" t="s">
        <v>1903</v>
      </c>
      <c r="F1338" s="10" t="s">
        <v>794</v>
      </c>
      <c r="G1338" s="10" t="s">
        <v>977</v>
      </c>
      <c r="H1338" s="10" t="s">
        <v>978</v>
      </c>
      <c r="I1338" s="10" t="s">
        <v>793</v>
      </c>
      <c r="J1338" s="10" t="s">
        <v>881</v>
      </c>
    </row>
    <row r="1339" spans="1:10" ht="15" customHeight="1">
      <c r="A1339" s="9">
        <v>1335</v>
      </c>
      <c r="B1339" s="10" t="s">
        <v>3595</v>
      </c>
      <c r="C1339" s="10" t="s">
        <v>3596</v>
      </c>
      <c r="D1339" s="10" t="s">
        <v>1004</v>
      </c>
      <c r="E1339" s="10" t="s">
        <v>1903</v>
      </c>
      <c r="F1339" s="10" t="s">
        <v>794</v>
      </c>
      <c r="G1339" s="10" t="s">
        <v>977</v>
      </c>
      <c r="H1339" s="10" t="s">
        <v>978</v>
      </c>
      <c r="I1339" s="10" t="s">
        <v>793</v>
      </c>
      <c r="J1339" s="10" t="s">
        <v>119</v>
      </c>
    </row>
    <row r="1340" spans="1:10" ht="15" customHeight="1">
      <c r="A1340" s="9">
        <v>1336</v>
      </c>
      <c r="B1340" s="10" t="s">
        <v>3597</v>
      </c>
      <c r="C1340" s="10" t="s">
        <v>3598</v>
      </c>
      <c r="D1340" s="10" t="s">
        <v>1004</v>
      </c>
      <c r="E1340" s="10" t="s">
        <v>1903</v>
      </c>
      <c r="F1340" s="10" t="s">
        <v>794</v>
      </c>
      <c r="G1340" s="10" t="s">
        <v>977</v>
      </c>
      <c r="H1340" s="10" t="s">
        <v>978</v>
      </c>
      <c r="I1340" s="10" t="s">
        <v>793</v>
      </c>
      <c r="J1340" s="10" t="s">
        <v>881</v>
      </c>
    </row>
    <row r="1341" spans="1:10" ht="15" customHeight="1">
      <c r="A1341" s="9">
        <v>1337</v>
      </c>
      <c r="B1341" s="10" t="s">
        <v>3599</v>
      </c>
      <c r="C1341" s="10" t="s">
        <v>3600</v>
      </c>
      <c r="D1341" s="10" t="s">
        <v>1004</v>
      </c>
      <c r="E1341" s="10" t="s">
        <v>1903</v>
      </c>
      <c r="F1341" s="10" t="s">
        <v>794</v>
      </c>
      <c r="G1341" s="10" t="s">
        <v>977</v>
      </c>
      <c r="H1341" s="10" t="s">
        <v>978</v>
      </c>
      <c r="I1341" s="10" t="s">
        <v>793</v>
      </c>
      <c r="J1341" s="10" t="s">
        <v>881</v>
      </c>
    </row>
    <row r="1342" spans="1:10" ht="15" customHeight="1">
      <c r="A1342" s="9">
        <v>1338</v>
      </c>
      <c r="B1342" s="10" t="s">
        <v>3601</v>
      </c>
      <c r="C1342" s="10" t="s">
        <v>3602</v>
      </c>
      <c r="D1342" s="10" t="s">
        <v>1004</v>
      </c>
      <c r="E1342" s="10" t="s">
        <v>1903</v>
      </c>
      <c r="F1342" s="10" t="s">
        <v>794</v>
      </c>
      <c r="G1342" s="10" t="s">
        <v>977</v>
      </c>
      <c r="H1342" s="10" t="s">
        <v>978</v>
      </c>
      <c r="I1342" s="10" t="s">
        <v>793</v>
      </c>
      <c r="J1342" s="10" t="s">
        <v>881</v>
      </c>
    </row>
    <row r="1343" spans="1:10" ht="15" customHeight="1">
      <c r="A1343" s="9">
        <v>1339</v>
      </c>
      <c r="B1343" s="10" t="s">
        <v>3603</v>
      </c>
      <c r="C1343" s="10" t="s">
        <v>3604</v>
      </c>
      <c r="D1343" s="10" t="s">
        <v>1004</v>
      </c>
      <c r="E1343" s="10" t="s">
        <v>1903</v>
      </c>
      <c r="F1343" s="10" t="s">
        <v>794</v>
      </c>
      <c r="G1343" s="10" t="s">
        <v>977</v>
      </c>
      <c r="H1343" s="10" t="s">
        <v>978</v>
      </c>
      <c r="I1343" s="10" t="s">
        <v>793</v>
      </c>
      <c r="J1343" s="10" t="s">
        <v>881</v>
      </c>
    </row>
    <row r="1344" spans="1:10" ht="15" customHeight="1">
      <c r="A1344" s="9">
        <v>1340</v>
      </c>
      <c r="B1344" s="10" t="s">
        <v>3605</v>
      </c>
      <c r="C1344" s="10" t="s">
        <v>3606</v>
      </c>
      <c r="D1344" s="10" t="s">
        <v>1004</v>
      </c>
      <c r="E1344" s="10" t="s">
        <v>1903</v>
      </c>
      <c r="F1344" s="10" t="s">
        <v>794</v>
      </c>
      <c r="G1344" s="10" t="s">
        <v>977</v>
      </c>
      <c r="H1344" s="10" t="s">
        <v>978</v>
      </c>
      <c r="I1344" s="10" t="s">
        <v>793</v>
      </c>
      <c r="J1344" s="10" t="s">
        <v>881</v>
      </c>
    </row>
    <row r="1345" spans="1:10" ht="15" customHeight="1">
      <c r="A1345" s="9">
        <v>1341</v>
      </c>
      <c r="B1345" s="10" t="s">
        <v>3607</v>
      </c>
      <c r="C1345" s="10" t="s">
        <v>3608</v>
      </c>
      <c r="D1345" s="10" t="s">
        <v>1004</v>
      </c>
      <c r="E1345" s="10" t="s">
        <v>1903</v>
      </c>
      <c r="F1345" s="10" t="s">
        <v>794</v>
      </c>
      <c r="G1345" s="10" t="s">
        <v>977</v>
      </c>
      <c r="H1345" s="10" t="s">
        <v>978</v>
      </c>
      <c r="I1345" s="10" t="s">
        <v>793</v>
      </c>
      <c r="J1345" s="10" t="s">
        <v>881</v>
      </c>
    </row>
    <row r="1346" spans="1:10" ht="15" customHeight="1">
      <c r="A1346" s="9">
        <v>1342</v>
      </c>
      <c r="B1346" s="10" t="s">
        <v>3609</v>
      </c>
      <c r="C1346" s="10" t="s">
        <v>3610</v>
      </c>
      <c r="D1346" s="10" t="s">
        <v>1004</v>
      </c>
      <c r="E1346" s="10" t="s">
        <v>1903</v>
      </c>
      <c r="F1346" s="10" t="s">
        <v>794</v>
      </c>
      <c r="G1346" s="10" t="s">
        <v>977</v>
      </c>
      <c r="H1346" s="10" t="s">
        <v>978</v>
      </c>
      <c r="I1346" s="10" t="s">
        <v>793</v>
      </c>
      <c r="J1346" s="10" t="s">
        <v>881</v>
      </c>
    </row>
    <row r="1347" spans="1:10" ht="15" customHeight="1">
      <c r="A1347" s="9">
        <v>1343</v>
      </c>
      <c r="B1347" s="10" t="s">
        <v>3611</v>
      </c>
      <c r="C1347" s="10" t="s">
        <v>3612</v>
      </c>
      <c r="D1347" s="10" t="s">
        <v>1004</v>
      </c>
      <c r="E1347" s="10" t="s">
        <v>1903</v>
      </c>
      <c r="F1347" s="10" t="s">
        <v>794</v>
      </c>
      <c r="G1347" s="10" t="s">
        <v>977</v>
      </c>
      <c r="H1347" s="10" t="s">
        <v>978</v>
      </c>
      <c r="I1347" s="10" t="s">
        <v>793</v>
      </c>
      <c r="J1347" s="10" t="s">
        <v>881</v>
      </c>
    </row>
    <row r="1348" spans="1:10" ht="15" customHeight="1">
      <c r="A1348" s="9">
        <v>1344</v>
      </c>
      <c r="B1348" s="10" t="s">
        <v>3613</v>
      </c>
      <c r="C1348" s="10" t="s">
        <v>3614</v>
      </c>
      <c r="D1348" s="10" t="s">
        <v>1004</v>
      </c>
      <c r="E1348" s="10" t="s">
        <v>1903</v>
      </c>
      <c r="F1348" s="10" t="s">
        <v>794</v>
      </c>
      <c r="G1348" s="10" t="s">
        <v>977</v>
      </c>
      <c r="H1348" s="10" t="s">
        <v>978</v>
      </c>
      <c r="I1348" s="10" t="s">
        <v>793</v>
      </c>
      <c r="J1348" s="10" t="s">
        <v>881</v>
      </c>
    </row>
    <row r="1349" spans="1:10" ht="15" customHeight="1">
      <c r="A1349" s="9">
        <v>1345</v>
      </c>
      <c r="B1349" s="10" t="s">
        <v>3615</v>
      </c>
      <c r="C1349" s="10" t="s">
        <v>3616</v>
      </c>
      <c r="D1349" s="10" t="s">
        <v>1004</v>
      </c>
      <c r="E1349" s="10" t="s">
        <v>1903</v>
      </c>
      <c r="F1349" s="10" t="s">
        <v>794</v>
      </c>
      <c r="G1349" s="10" t="s">
        <v>977</v>
      </c>
      <c r="H1349" s="10" t="s">
        <v>978</v>
      </c>
      <c r="I1349" s="10" t="s">
        <v>793</v>
      </c>
      <c r="J1349" s="10" t="s">
        <v>2070</v>
      </c>
    </row>
    <row r="1350" spans="1:10" ht="15" customHeight="1">
      <c r="A1350" s="9">
        <v>1346</v>
      </c>
      <c r="B1350" s="10" t="s">
        <v>3617</v>
      </c>
      <c r="C1350" s="10" t="s">
        <v>3618</v>
      </c>
      <c r="D1350" s="10" t="s">
        <v>1004</v>
      </c>
      <c r="E1350" s="10" t="s">
        <v>1903</v>
      </c>
      <c r="F1350" s="10" t="s">
        <v>794</v>
      </c>
      <c r="G1350" s="10" t="s">
        <v>977</v>
      </c>
      <c r="H1350" s="10" t="s">
        <v>978</v>
      </c>
      <c r="I1350" s="10" t="s">
        <v>793</v>
      </c>
      <c r="J1350" s="10" t="s">
        <v>881</v>
      </c>
    </row>
    <row r="1351" spans="1:10" ht="15" customHeight="1">
      <c r="A1351" s="9">
        <v>1347</v>
      </c>
      <c r="B1351" s="10" t="s">
        <v>3619</v>
      </c>
      <c r="C1351" s="10" t="s">
        <v>3620</v>
      </c>
      <c r="D1351" s="10" t="s">
        <v>1004</v>
      </c>
      <c r="E1351" s="10" t="s">
        <v>1903</v>
      </c>
      <c r="F1351" s="10" t="s">
        <v>794</v>
      </c>
      <c r="G1351" s="10" t="s">
        <v>977</v>
      </c>
      <c r="H1351" s="10" t="s">
        <v>978</v>
      </c>
      <c r="I1351" s="10" t="s">
        <v>793</v>
      </c>
      <c r="J1351" s="10" t="s">
        <v>881</v>
      </c>
    </row>
    <row r="1352" spans="1:10" ht="15" customHeight="1">
      <c r="A1352" s="9">
        <v>1348</v>
      </c>
      <c r="B1352" s="10" t="s">
        <v>3621</v>
      </c>
      <c r="C1352" s="10" t="s">
        <v>3622</v>
      </c>
      <c r="D1352" s="10" t="s">
        <v>1004</v>
      </c>
      <c r="E1352" s="10" t="s">
        <v>1903</v>
      </c>
      <c r="F1352" s="10" t="s">
        <v>794</v>
      </c>
      <c r="G1352" s="10" t="s">
        <v>977</v>
      </c>
      <c r="H1352" s="10" t="s">
        <v>978</v>
      </c>
      <c r="I1352" s="10" t="s">
        <v>793</v>
      </c>
      <c r="J1352" s="10" t="s">
        <v>881</v>
      </c>
    </row>
    <row r="1353" spans="1:10" ht="15" customHeight="1">
      <c r="A1353" s="9">
        <v>1349</v>
      </c>
      <c r="B1353" s="10" t="s">
        <v>3623</v>
      </c>
      <c r="C1353" s="10" t="s">
        <v>3624</v>
      </c>
      <c r="D1353" s="10" t="s">
        <v>1004</v>
      </c>
      <c r="E1353" s="10" t="s">
        <v>1903</v>
      </c>
      <c r="F1353" s="10" t="s">
        <v>794</v>
      </c>
      <c r="G1353" s="10" t="s">
        <v>977</v>
      </c>
      <c r="H1353" s="10" t="s">
        <v>978</v>
      </c>
      <c r="I1353" s="10" t="s">
        <v>793</v>
      </c>
      <c r="J1353" s="10" t="s">
        <v>881</v>
      </c>
    </row>
    <row r="1354" spans="1:10" ht="15" customHeight="1">
      <c r="A1354" s="9">
        <v>1350</v>
      </c>
      <c r="B1354" s="10" t="s">
        <v>3625</v>
      </c>
      <c r="C1354" s="10" t="s">
        <v>3626</v>
      </c>
      <c r="D1354" s="10" t="s">
        <v>1004</v>
      </c>
      <c r="E1354" s="10" t="s">
        <v>1903</v>
      </c>
      <c r="F1354" s="10" t="s">
        <v>794</v>
      </c>
      <c r="G1354" s="10" t="s">
        <v>977</v>
      </c>
      <c r="H1354" s="10" t="s">
        <v>978</v>
      </c>
      <c r="I1354" s="10" t="s">
        <v>793</v>
      </c>
      <c r="J1354" s="10" t="s">
        <v>881</v>
      </c>
    </row>
    <row r="1355" spans="1:10" ht="15" customHeight="1">
      <c r="A1355" s="9">
        <v>1351</v>
      </c>
      <c r="B1355" s="10" t="s">
        <v>3627</v>
      </c>
      <c r="C1355" s="10" t="s">
        <v>3628</v>
      </c>
      <c r="D1355" s="10" t="s">
        <v>1004</v>
      </c>
      <c r="E1355" s="10" t="s">
        <v>1903</v>
      </c>
      <c r="F1355" s="10" t="s">
        <v>794</v>
      </c>
      <c r="G1355" s="10" t="s">
        <v>977</v>
      </c>
      <c r="H1355" s="10" t="s">
        <v>978</v>
      </c>
      <c r="I1355" s="10" t="s">
        <v>793</v>
      </c>
      <c r="J1355" s="10" t="s">
        <v>881</v>
      </c>
    </row>
    <row r="1356" spans="1:10" ht="15" customHeight="1">
      <c r="A1356" s="9">
        <v>1352</v>
      </c>
      <c r="B1356" s="10" t="s">
        <v>3629</v>
      </c>
      <c r="C1356" s="10" t="s">
        <v>3630</v>
      </c>
      <c r="D1356" s="10" t="s">
        <v>1004</v>
      </c>
      <c r="E1356" s="10" t="s">
        <v>1901</v>
      </c>
      <c r="F1356" s="10" t="s">
        <v>794</v>
      </c>
      <c r="G1356" s="10" t="s">
        <v>1899</v>
      </c>
      <c r="H1356" s="10" t="s">
        <v>978</v>
      </c>
      <c r="I1356" s="10" t="s">
        <v>793</v>
      </c>
      <c r="J1356" s="10" t="s">
        <v>1004</v>
      </c>
    </row>
    <row r="1357" spans="1:10" ht="15" customHeight="1">
      <c r="A1357" s="9">
        <v>1353</v>
      </c>
      <c r="B1357" s="10" t="s">
        <v>3631</v>
      </c>
      <c r="C1357" s="10" t="s">
        <v>3632</v>
      </c>
      <c r="D1357" s="10" t="s">
        <v>1004</v>
      </c>
      <c r="E1357" s="10" t="s">
        <v>1901</v>
      </c>
      <c r="F1357" s="10" t="s">
        <v>794</v>
      </c>
      <c r="G1357" s="10" t="s">
        <v>1899</v>
      </c>
      <c r="H1357" s="10" t="s">
        <v>978</v>
      </c>
      <c r="I1357" s="10" t="s">
        <v>793</v>
      </c>
      <c r="J1357" s="10" t="s">
        <v>1004</v>
      </c>
    </row>
    <row r="1358" spans="1:10" ht="15" customHeight="1">
      <c r="A1358" s="9">
        <v>1354</v>
      </c>
      <c r="B1358" s="10" t="s">
        <v>3633</v>
      </c>
      <c r="C1358" s="10" t="s">
        <v>3634</v>
      </c>
      <c r="D1358" s="10" t="s">
        <v>1004</v>
      </c>
      <c r="E1358" s="10" t="s">
        <v>1901</v>
      </c>
      <c r="F1358" s="10" t="s">
        <v>794</v>
      </c>
      <c r="G1358" s="10" t="s">
        <v>1899</v>
      </c>
      <c r="H1358" s="10" t="s">
        <v>978</v>
      </c>
      <c r="I1358" s="10" t="s">
        <v>793</v>
      </c>
      <c r="J1358" s="10" t="s">
        <v>1004</v>
      </c>
    </row>
    <row r="1359" spans="1:10" ht="15" customHeight="1">
      <c r="A1359" s="9">
        <v>1355</v>
      </c>
      <c r="B1359" s="10" t="s">
        <v>3635</v>
      </c>
      <c r="C1359" s="10" t="s">
        <v>3636</v>
      </c>
      <c r="D1359" s="10" t="s">
        <v>1004</v>
      </c>
      <c r="E1359" s="10" t="s">
        <v>1901</v>
      </c>
      <c r="F1359" s="10" t="s">
        <v>794</v>
      </c>
      <c r="G1359" s="10" t="s">
        <v>1899</v>
      </c>
      <c r="H1359" s="10" t="s">
        <v>978</v>
      </c>
      <c r="I1359" s="10" t="s">
        <v>793</v>
      </c>
      <c r="J1359" s="10" t="s">
        <v>1004</v>
      </c>
    </row>
    <row r="1360" spans="1:10" ht="15" customHeight="1">
      <c r="A1360" s="9">
        <v>1356</v>
      </c>
      <c r="B1360" s="10" t="s">
        <v>3637</v>
      </c>
      <c r="C1360" s="10" t="s">
        <v>3638</v>
      </c>
      <c r="D1360" s="10" t="s">
        <v>1004</v>
      </c>
      <c r="E1360" s="10" t="s">
        <v>1901</v>
      </c>
      <c r="F1360" s="10" t="s">
        <v>794</v>
      </c>
      <c r="G1360" s="10" t="s">
        <v>1899</v>
      </c>
      <c r="H1360" s="10" t="s">
        <v>978</v>
      </c>
      <c r="I1360" s="10" t="s">
        <v>793</v>
      </c>
      <c r="J1360" s="10" t="s">
        <v>1004</v>
      </c>
    </row>
    <row r="1361" spans="1:10" ht="15" customHeight="1">
      <c r="A1361" s="9">
        <v>1357</v>
      </c>
      <c r="B1361" s="10" t="s">
        <v>3639</v>
      </c>
      <c r="C1361" s="10" t="s">
        <v>3640</v>
      </c>
      <c r="D1361" s="10" t="s">
        <v>1004</v>
      </c>
      <c r="E1361" s="10" t="s">
        <v>1901</v>
      </c>
      <c r="F1361" s="10" t="s">
        <v>794</v>
      </c>
      <c r="G1361" s="10" t="s">
        <v>1899</v>
      </c>
      <c r="H1361" s="10" t="s">
        <v>978</v>
      </c>
      <c r="I1361" s="10" t="s">
        <v>793</v>
      </c>
      <c r="J1361" s="10" t="s">
        <v>1004</v>
      </c>
    </row>
    <row r="1362" spans="1:10" ht="15" customHeight="1">
      <c r="A1362" s="9">
        <v>1358</v>
      </c>
      <c r="B1362" s="10" t="s">
        <v>3641</v>
      </c>
      <c r="C1362" s="10" t="s">
        <v>3642</v>
      </c>
      <c r="D1362" s="10" t="s">
        <v>1004</v>
      </c>
      <c r="E1362" s="10" t="s">
        <v>1901</v>
      </c>
      <c r="F1362" s="10" t="s">
        <v>794</v>
      </c>
      <c r="G1362" s="10" t="s">
        <v>1899</v>
      </c>
      <c r="H1362" s="10" t="s">
        <v>978</v>
      </c>
      <c r="I1362" s="10" t="s">
        <v>793</v>
      </c>
      <c r="J1362" s="10" t="s">
        <v>1004</v>
      </c>
    </row>
    <row r="1363" spans="1:10" ht="15" customHeight="1">
      <c r="A1363" s="9">
        <v>1359</v>
      </c>
      <c r="B1363" s="10" t="s">
        <v>3643</v>
      </c>
      <c r="C1363" s="10" t="s">
        <v>3644</v>
      </c>
      <c r="D1363" s="10" t="s">
        <v>1004</v>
      </c>
      <c r="E1363" s="10" t="s">
        <v>1901</v>
      </c>
      <c r="F1363" s="10" t="s">
        <v>794</v>
      </c>
      <c r="G1363" s="10" t="s">
        <v>1899</v>
      </c>
      <c r="H1363" s="10" t="s">
        <v>978</v>
      </c>
      <c r="I1363" s="10" t="s">
        <v>793</v>
      </c>
      <c r="J1363" s="10" t="s">
        <v>1004</v>
      </c>
    </row>
    <row r="1364" spans="1:10" ht="15" customHeight="1">
      <c r="A1364" s="9">
        <v>1360</v>
      </c>
      <c r="B1364" s="10" t="s">
        <v>3645</v>
      </c>
      <c r="C1364" s="10" t="s">
        <v>3646</v>
      </c>
      <c r="D1364" s="10" t="s">
        <v>1004</v>
      </c>
      <c r="E1364" s="10" t="s">
        <v>1901</v>
      </c>
      <c r="F1364" s="10" t="s">
        <v>794</v>
      </c>
      <c r="G1364" s="10" t="s">
        <v>1899</v>
      </c>
      <c r="H1364" s="10" t="s">
        <v>978</v>
      </c>
      <c r="I1364" s="10" t="s">
        <v>793</v>
      </c>
      <c r="J1364" s="10" t="s">
        <v>1004</v>
      </c>
    </row>
    <row r="1365" spans="1:10" ht="15" customHeight="1">
      <c r="A1365" s="9">
        <v>1361</v>
      </c>
      <c r="B1365" s="10" t="s">
        <v>3647</v>
      </c>
      <c r="C1365" s="10" t="s">
        <v>3648</v>
      </c>
      <c r="D1365" s="10" t="s">
        <v>1004</v>
      </c>
      <c r="E1365" s="10" t="s">
        <v>1901</v>
      </c>
      <c r="F1365" s="10" t="s">
        <v>794</v>
      </c>
      <c r="G1365" s="10" t="s">
        <v>1899</v>
      </c>
      <c r="H1365" s="10" t="s">
        <v>978</v>
      </c>
      <c r="I1365" s="10" t="s">
        <v>793</v>
      </c>
      <c r="J1365" s="10" t="s">
        <v>1004</v>
      </c>
    </row>
    <row r="1366" spans="1:10" ht="15" customHeight="1">
      <c r="A1366" s="9">
        <v>1362</v>
      </c>
      <c r="B1366" s="10" t="s">
        <v>3649</v>
      </c>
      <c r="C1366" s="10" t="s">
        <v>3650</v>
      </c>
      <c r="D1366" s="10" t="s">
        <v>1004</v>
      </c>
      <c r="E1366" s="10" t="s">
        <v>1901</v>
      </c>
      <c r="F1366" s="10" t="s">
        <v>794</v>
      </c>
      <c r="G1366" s="10" t="s">
        <v>1899</v>
      </c>
      <c r="H1366" s="10" t="s">
        <v>978</v>
      </c>
      <c r="I1366" s="10" t="s">
        <v>793</v>
      </c>
      <c r="J1366" s="10" t="s">
        <v>1004</v>
      </c>
    </row>
    <row r="1367" spans="1:10" ht="15" customHeight="1">
      <c r="A1367" s="9">
        <v>1363</v>
      </c>
      <c r="B1367" s="10" t="s">
        <v>3651</v>
      </c>
      <c r="C1367" s="10" t="s">
        <v>3652</v>
      </c>
      <c r="D1367" s="10" t="s">
        <v>1004</v>
      </c>
      <c r="E1367" s="10" t="s">
        <v>1901</v>
      </c>
      <c r="F1367" s="10" t="s">
        <v>794</v>
      </c>
      <c r="G1367" s="10" t="s">
        <v>1899</v>
      </c>
      <c r="H1367" s="10" t="s">
        <v>978</v>
      </c>
      <c r="I1367" s="10" t="s">
        <v>793</v>
      </c>
      <c r="J1367" s="10" t="s">
        <v>1004</v>
      </c>
    </row>
    <row r="1368" spans="1:10" ht="15" customHeight="1">
      <c r="A1368" s="9">
        <v>1364</v>
      </c>
      <c r="B1368" s="10" t="s">
        <v>3653</v>
      </c>
      <c r="C1368" s="10" t="s">
        <v>3654</v>
      </c>
      <c r="D1368" s="10" t="s">
        <v>1004</v>
      </c>
      <c r="E1368" s="10" t="s">
        <v>1901</v>
      </c>
      <c r="F1368" s="10" t="s">
        <v>794</v>
      </c>
      <c r="G1368" s="10" t="s">
        <v>1899</v>
      </c>
      <c r="H1368" s="10" t="s">
        <v>978</v>
      </c>
      <c r="I1368" s="10" t="s">
        <v>793</v>
      </c>
      <c r="J1368" s="10" t="s">
        <v>1004</v>
      </c>
    </row>
    <row r="1369" spans="1:10" ht="15" customHeight="1">
      <c r="A1369" s="9">
        <v>1365</v>
      </c>
      <c r="B1369" s="10" t="s">
        <v>3655</v>
      </c>
      <c r="C1369" s="10" t="s">
        <v>3656</v>
      </c>
      <c r="D1369" s="10" t="s">
        <v>1004</v>
      </c>
      <c r="E1369" s="10" t="s">
        <v>1901</v>
      </c>
      <c r="F1369" s="10" t="s">
        <v>794</v>
      </c>
      <c r="G1369" s="10" t="s">
        <v>1899</v>
      </c>
      <c r="H1369" s="10" t="s">
        <v>978</v>
      </c>
      <c r="I1369" s="10" t="s">
        <v>793</v>
      </c>
      <c r="J1369" s="10" t="s">
        <v>1004</v>
      </c>
    </row>
    <row r="1370" spans="1:10" ht="15" customHeight="1">
      <c r="A1370" s="9">
        <v>1366</v>
      </c>
      <c r="B1370" s="10" t="s">
        <v>3657</v>
      </c>
      <c r="C1370" s="10" t="s">
        <v>3658</v>
      </c>
      <c r="D1370" s="10" t="s">
        <v>1004</v>
      </c>
      <c r="E1370" s="10" t="s">
        <v>1901</v>
      </c>
      <c r="F1370" s="10" t="s">
        <v>794</v>
      </c>
      <c r="G1370" s="10" t="s">
        <v>1899</v>
      </c>
      <c r="H1370" s="10" t="s">
        <v>978</v>
      </c>
      <c r="I1370" s="10" t="s">
        <v>793</v>
      </c>
      <c r="J1370" s="10" t="s">
        <v>1004</v>
      </c>
    </row>
    <row r="1371" spans="1:10" ht="15" customHeight="1">
      <c r="A1371" s="9">
        <v>1367</v>
      </c>
      <c r="B1371" s="10" t="s">
        <v>3659</v>
      </c>
      <c r="C1371" s="10" t="s">
        <v>3660</v>
      </c>
      <c r="D1371" s="10" t="s">
        <v>1004</v>
      </c>
      <c r="E1371" s="10" t="s">
        <v>1901</v>
      </c>
      <c r="F1371" s="10" t="s">
        <v>794</v>
      </c>
      <c r="G1371" s="10" t="s">
        <v>1899</v>
      </c>
      <c r="H1371" s="10" t="s">
        <v>978</v>
      </c>
      <c r="I1371" s="10" t="s">
        <v>793</v>
      </c>
      <c r="J1371" s="10" t="s">
        <v>1004</v>
      </c>
    </row>
    <row r="1372" spans="1:10" ht="15" customHeight="1">
      <c r="A1372" s="9">
        <v>1368</v>
      </c>
      <c r="B1372" s="10" t="s">
        <v>3661</v>
      </c>
      <c r="C1372" s="10" t="s">
        <v>3662</v>
      </c>
      <c r="D1372" s="10" t="s">
        <v>1004</v>
      </c>
      <c r="E1372" s="10" t="s">
        <v>1910</v>
      </c>
      <c r="F1372" s="10" t="s">
        <v>794</v>
      </c>
      <c r="G1372" s="10" t="s">
        <v>1908</v>
      </c>
      <c r="H1372" s="10" t="s">
        <v>978</v>
      </c>
      <c r="I1372" s="10" t="s">
        <v>793</v>
      </c>
      <c r="J1372" s="10" t="s">
        <v>119</v>
      </c>
    </row>
    <row r="1373" spans="1:10" ht="15" customHeight="1">
      <c r="A1373" s="9">
        <v>1369</v>
      </c>
      <c r="B1373" s="10" t="s">
        <v>3663</v>
      </c>
      <c r="C1373" s="10" t="s">
        <v>3664</v>
      </c>
      <c r="D1373" s="10" t="s">
        <v>1004</v>
      </c>
      <c r="E1373" s="10" t="s">
        <v>1910</v>
      </c>
      <c r="F1373" s="10" t="s">
        <v>794</v>
      </c>
      <c r="G1373" s="10" t="s">
        <v>1908</v>
      </c>
      <c r="H1373" s="10" t="s">
        <v>978</v>
      </c>
      <c r="I1373" s="10" t="s">
        <v>793</v>
      </c>
      <c r="J1373" s="10" t="s">
        <v>119</v>
      </c>
    </row>
    <row r="1374" spans="1:10" ht="15" customHeight="1">
      <c r="A1374" s="9">
        <v>1370</v>
      </c>
      <c r="B1374" s="10" t="s">
        <v>3665</v>
      </c>
      <c r="C1374" s="10" t="s">
        <v>3666</v>
      </c>
      <c r="D1374" s="10" t="s">
        <v>1004</v>
      </c>
      <c r="E1374" s="10" t="s">
        <v>1910</v>
      </c>
      <c r="F1374" s="10" t="s">
        <v>794</v>
      </c>
      <c r="G1374" s="10" t="s">
        <v>1908</v>
      </c>
      <c r="H1374" s="10" t="s">
        <v>978</v>
      </c>
      <c r="I1374" s="10" t="s">
        <v>793</v>
      </c>
      <c r="J1374" s="10" t="s">
        <v>119</v>
      </c>
    </row>
    <row r="1375" spans="1:10" ht="15" customHeight="1">
      <c r="A1375" s="9">
        <v>1371</v>
      </c>
      <c r="B1375" s="10" t="s">
        <v>3667</v>
      </c>
      <c r="C1375" s="10" t="s">
        <v>3668</v>
      </c>
      <c r="D1375" s="10" t="s">
        <v>1004</v>
      </c>
      <c r="E1375" s="10" t="s">
        <v>1910</v>
      </c>
      <c r="F1375" s="10" t="s">
        <v>794</v>
      </c>
      <c r="G1375" s="10" t="s">
        <v>1908</v>
      </c>
      <c r="H1375" s="10" t="s">
        <v>978</v>
      </c>
      <c r="I1375" s="10" t="s">
        <v>793</v>
      </c>
      <c r="J1375" s="10" t="s">
        <v>795</v>
      </c>
    </row>
    <row r="1376" spans="1:10" ht="15" customHeight="1">
      <c r="A1376" s="9">
        <v>1372</v>
      </c>
      <c r="B1376" s="10" t="s">
        <v>3669</v>
      </c>
      <c r="C1376" s="10" t="s">
        <v>3670</v>
      </c>
      <c r="D1376" s="10" t="s">
        <v>1004</v>
      </c>
      <c r="E1376" s="10" t="s">
        <v>1915</v>
      </c>
      <c r="F1376" s="10" t="s">
        <v>794</v>
      </c>
      <c r="G1376" s="10" t="s">
        <v>1913</v>
      </c>
      <c r="H1376" s="10" t="s">
        <v>978</v>
      </c>
      <c r="I1376" s="10" t="s">
        <v>793</v>
      </c>
      <c r="J1376" s="10" t="s">
        <v>1004</v>
      </c>
    </row>
    <row r="1377" spans="1:10" ht="15" customHeight="1">
      <c r="A1377" s="9">
        <v>1373</v>
      </c>
      <c r="B1377" s="10" t="s">
        <v>3671</v>
      </c>
      <c r="C1377" s="10" t="s">
        <v>3672</v>
      </c>
      <c r="D1377" s="10" t="s">
        <v>1004</v>
      </c>
      <c r="E1377" s="10" t="s">
        <v>1915</v>
      </c>
      <c r="F1377" s="10" t="s">
        <v>794</v>
      </c>
      <c r="G1377" s="10" t="s">
        <v>1913</v>
      </c>
      <c r="H1377" s="10" t="s">
        <v>978</v>
      </c>
      <c r="I1377" s="10" t="s">
        <v>793</v>
      </c>
      <c r="J1377" s="10" t="s">
        <v>1004</v>
      </c>
    </row>
    <row r="1378" spans="1:10" ht="15" customHeight="1">
      <c r="A1378" s="9">
        <v>1374</v>
      </c>
      <c r="B1378" s="10" t="s">
        <v>3673</v>
      </c>
      <c r="C1378" s="10" t="s">
        <v>3674</v>
      </c>
      <c r="D1378" s="10" t="s">
        <v>1004</v>
      </c>
      <c r="E1378" s="10" t="s">
        <v>1915</v>
      </c>
      <c r="F1378" s="10" t="s">
        <v>794</v>
      </c>
      <c r="G1378" s="10" t="s">
        <v>1913</v>
      </c>
      <c r="H1378" s="10" t="s">
        <v>978</v>
      </c>
      <c r="I1378" s="10" t="s">
        <v>793</v>
      </c>
      <c r="J1378" s="10" t="s">
        <v>1004</v>
      </c>
    </row>
    <row r="1379" spans="1:10" ht="15" customHeight="1">
      <c r="A1379" s="9">
        <v>1375</v>
      </c>
      <c r="B1379" s="10" t="s">
        <v>3675</v>
      </c>
      <c r="C1379" s="10" t="s">
        <v>3676</v>
      </c>
      <c r="D1379" s="10" t="s">
        <v>1004</v>
      </c>
      <c r="E1379" s="10" t="s">
        <v>1915</v>
      </c>
      <c r="F1379" s="10" t="s">
        <v>794</v>
      </c>
      <c r="G1379" s="10" t="s">
        <v>1913</v>
      </c>
      <c r="H1379" s="10" t="s">
        <v>978</v>
      </c>
      <c r="I1379" s="10" t="s">
        <v>793</v>
      </c>
      <c r="J1379" s="10" t="s">
        <v>1004</v>
      </c>
    </row>
    <row r="1380" spans="1:10" ht="15" customHeight="1">
      <c r="A1380" s="9">
        <v>1376</v>
      </c>
      <c r="B1380" s="10" t="s">
        <v>3677</v>
      </c>
      <c r="C1380" s="10" t="s">
        <v>3678</v>
      </c>
      <c r="D1380" s="10" t="s">
        <v>1004</v>
      </c>
      <c r="E1380" s="10" t="s">
        <v>1915</v>
      </c>
      <c r="F1380" s="10" t="s">
        <v>794</v>
      </c>
      <c r="G1380" s="10" t="s">
        <v>1913</v>
      </c>
      <c r="H1380" s="10" t="s">
        <v>978</v>
      </c>
      <c r="I1380" s="10" t="s">
        <v>793</v>
      </c>
      <c r="J1380" s="10" t="s">
        <v>1004</v>
      </c>
    </row>
    <row r="1381" spans="1:10" ht="15" customHeight="1">
      <c r="A1381" s="9">
        <v>1377</v>
      </c>
      <c r="B1381" s="10" t="s">
        <v>3679</v>
      </c>
      <c r="C1381" s="10" t="s">
        <v>3680</v>
      </c>
      <c r="D1381" s="10" t="s">
        <v>1004</v>
      </c>
      <c r="E1381" s="10" t="s">
        <v>1915</v>
      </c>
      <c r="F1381" s="10" t="s">
        <v>794</v>
      </c>
      <c r="G1381" s="10" t="s">
        <v>1913</v>
      </c>
      <c r="H1381" s="10" t="s">
        <v>978</v>
      </c>
      <c r="I1381" s="10" t="s">
        <v>793</v>
      </c>
      <c r="J1381" s="10" t="s">
        <v>1004</v>
      </c>
    </row>
    <row r="1382" spans="1:10" ht="15" customHeight="1">
      <c r="A1382" s="9">
        <v>1378</v>
      </c>
      <c r="B1382" s="10" t="s">
        <v>3681</v>
      </c>
      <c r="C1382" s="10" t="s">
        <v>3682</v>
      </c>
      <c r="D1382" s="10" t="s">
        <v>1004</v>
      </c>
      <c r="E1382" s="10" t="s">
        <v>1915</v>
      </c>
      <c r="F1382" s="10" t="s">
        <v>794</v>
      </c>
      <c r="G1382" s="10" t="s">
        <v>1913</v>
      </c>
      <c r="H1382" s="10" t="s">
        <v>978</v>
      </c>
      <c r="I1382" s="10" t="s">
        <v>793</v>
      </c>
      <c r="J1382" s="10" t="s">
        <v>1004</v>
      </c>
    </row>
    <row r="1383" spans="1:10" ht="15" customHeight="1">
      <c r="A1383" s="9">
        <v>1379</v>
      </c>
      <c r="B1383" s="10" t="s">
        <v>3683</v>
      </c>
      <c r="C1383" s="10" t="s">
        <v>3684</v>
      </c>
      <c r="D1383" s="10" t="s">
        <v>1004</v>
      </c>
      <c r="E1383" s="10" t="s">
        <v>1915</v>
      </c>
      <c r="F1383" s="10" t="s">
        <v>794</v>
      </c>
      <c r="G1383" s="10" t="s">
        <v>1913</v>
      </c>
      <c r="H1383" s="10" t="s">
        <v>978</v>
      </c>
      <c r="I1383" s="10" t="s">
        <v>793</v>
      </c>
      <c r="J1383" s="10" t="s">
        <v>1004</v>
      </c>
    </row>
    <row r="1384" spans="1:10" ht="15" customHeight="1">
      <c r="A1384" s="9">
        <v>1380</v>
      </c>
      <c r="B1384" s="10" t="s">
        <v>3685</v>
      </c>
      <c r="C1384" s="10" t="s">
        <v>3686</v>
      </c>
      <c r="D1384" s="10" t="s">
        <v>1004</v>
      </c>
      <c r="E1384" s="10" t="s">
        <v>1915</v>
      </c>
      <c r="F1384" s="10" t="s">
        <v>794</v>
      </c>
      <c r="G1384" s="10" t="s">
        <v>1913</v>
      </c>
      <c r="H1384" s="10" t="s">
        <v>978</v>
      </c>
      <c r="I1384" s="10" t="s">
        <v>793</v>
      </c>
      <c r="J1384" s="10" t="s">
        <v>1004</v>
      </c>
    </row>
    <row r="1385" spans="1:10" ht="15" customHeight="1">
      <c r="A1385" s="9">
        <v>1381</v>
      </c>
      <c r="B1385" s="10" t="s">
        <v>3687</v>
      </c>
      <c r="C1385" s="10" t="s">
        <v>3688</v>
      </c>
      <c r="D1385" s="10" t="s">
        <v>1004</v>
      </c>
      <c r="E1385" s="10" t="s">
        <v>1915</v>
      </c>
      <c r="F1385" s="10" t="s">
        <v>794</v>
      </c>
      <c r="G1385" s="10" t="s">
        <v>1913</v>
      </c>
      <c r="H1385" s="10" t="s">
        <v>978</v>
      </c>
      <c r="I1385" s="10" t="s">
        <v>793</v>
      </c>
      <c r="J1385" s="10" t="s">
        <v>1004</v>
      </c>
    </row>
    <row r="1386" spans="1:10" ht="15" customHeight="1">
      <c r="A1386" s="9">
        <v>1382</v>
      </c>
      <c r="B1386" s="10" t="s">
        <v>3689</v>
      </c>
      <c r="C1386" s="10" t="s">
        <v>3690</v>
      </c>
      <c r="D1386" s="10" t="s">
        <v>1004</v>
      </c>
      <c r="E1386" s="10" t="s">
        <v>1915</v>
      </c>
      <c r="F1386" s="10" t="s">
        <v>794</v>
      </c>
      <c r="G1386" s="10" t="s">
        <v>1913</v>
      </c>
      <c r="H1386" s="10" t="s">
        <v>978</v>
      </c>
      <c r="I1386" s="10" t="s">
        <v>793</v>
      </c>
      <c r="J1386" s="10" t="s">
        <v>1004</v>
      </c>
    </row>
    <row r="1387" spans="1:10" ht="15" customHeight="1">
      <c r="A1387" s="9">
        <v>1383</v>
      </c>
      <c r="B1387" s="10" t="s">
        <v>3691</v>
      </c>
      <c r="C1387" s="10" t="s">
        <v>3692</v>
      </c>
      <c r="D1387" s="10" t="s">
        <v>1004</v>
      </c>
      <c r="E1387" s="10" t="s">
        <v>1915</v>
      </c>
      <c r="F1387" s="10" t="s">
        <v>794</v>
      </c>
      <c r="G1387" s="10" t="s">
        <v>1913</v>
      </c>
      <c r="H1387" s="10" t="s">
        <v>978</v>
      </c>
      <c r="I1387" s="10" t="s">
        <v>793</v>
      </c>
      <c r="J1387" s="10" t="s">
        <v>1004</v>
      </c>
    </row>
    <row r="1388" spans="1:10" ht="15" customHeight="1">
      <c r="A1388" s="9">
        <v>1384</v>
      </c>
      <c r="B1388" s="10" t="s">
        <v>3693</v>
      </c>
      <c r="C1388" s="10" t="s">
        <v>3694</v>
      </c>
      <c r="D1388" s="10" t="s">
        <v>1004</v>
      </c>
      <c r="E1388" s="10" t="s">
        <v>1915</v>
      </c>
      <c r="F1388" s="10" t="s">
        <v>794</v>
      </c>
      <c r="G1388" s="10" t="s">
        <v>1913</v>
      </c>
      <c r="H1388" s="10" t="s">
        <v>978</v>
      </c>
      <c r="I1388" s="10" t="s">
        <v>793</v>
      </c>
      <c r="J1388" s="10" t="s">
        <v>1004</v>
      </c>
    </row>
    <row r="1389" spans="1:10" ht="15" customHeight="1">
      <c r="A1389" s="9">
        <v>1385</v>
      </c>
      <c r="B1389" s="10" t="s">
        <v>3695</v>
      </c>
      <c r="C1389" s="10" t="s">
        <v>3696</v>
      </c>
      <c r="D1389" s="10" t="s">
        <v>1004</v>
      </c>
      <c r="E1389" s="10" t="s">
        <v>1915</v>
      </c>
      <c r="F1389" s="10" t="s">
        <v>794</v>
      </c>
      <c r="G1389" s="10" t="s">
        <v>1913</v>
      </c>
      <c r="H1389" s="10" t="s">
        <v>978</v>
      </c>
      <c r="I1389" s="10" t="s">
        <v>793</v>
      </c>
      <c r="J1389" s="10" t="s">
        <v>1004</v>
      </c>
    </row>
    <row r="1390" spans="1:10" ht="15" customHeight="1">
      <c r="A1390" s="9">
        <v>1386</v>
      </c>
      <c r="B1390" s="10" t="s">
        <v>3697</v>
      </c>
      <c r="C1390" s="10" t="s">
        <v>3698</v>
      </c>
      <c r="D1390" s="10" t="s">
        <v>1004</v>
      </c>
      <c r="E1390" s="10" t="s">
        <v>1915</v>
      </c>
      <c r="F1390" s="10" t="s">
        <v>794</v>
      </c>
      <c r="G1390" s="10" t="s">
        <v>1913</v>
      </c>
      <c r="H1390" s="10" t="s">
        <v>978</v>
      </c>
      <c r="I1390" s="10" t="s">
        <v>793</v>
      </c>
      <c r="J1390" s="10" t="s">
        <v>1004</v>
      </c>
    </row>
    <row r="1391" spans="1:10" ht="15" customHeight="1">
      <c r="A1391" s="9">
        <v>1387</v>
      </c>
      <c r="B1391" s="10" t="s">
        <v>3699</v>
      </c>
      <c r="C1391" s="10" t="s">
        <v>3700</v>
      </c>
      <c r="D1391" s="10" t="s">
        <v>1004</v>
      </c>
      <c r="E1391" s="10" t="s">
        <v>1915</v>
      </c>
      <c r="F1391" s="10" t="s">
        <v>794</v>
      </c>
      <c r="G1391" s="10" t="s">
        <v>1913</v>
      </c>
      <c r="H1391" s="10" t="s">
        <v>978</v>
      </c>
      <c r="I1391" s="10" t="s">
        <v>793</v>
      </c>
      <c r="J1391" s="10" t="s">
        <v>1004</v>
      </c>
    </row>
    <row r="1392" spans="1:10" ht="15" customHeight="1">
      <c r="A1392" s="9">
        <v>1388</v>
      </c>
      <c r="B1392" s="10" t="s">
        <v>3701</v>
      </c>
      <c r="C1392" s="10" t="s">
        <v>3702</v>
      </c>
      <c r="D1392" s="10" t="s">
        <v>1004</v>
      </c>
      <c r="E1392" s="10" t="s">
        <v>1915</v>
      </c>
      <c r="F1392" s="10" t="s">
        <v>794</v>
      </c>
      <c r="G1392" s="10" t="s">
        <v>1913</v>
      </c>
      <c r="H1392" s="10" t="s">
        <v>978</v>
      </c>
      <c r="I1392" s="10" t="s">
        <v>793</v>
      </c>
      <c r="J1392" s="10" t="s">
        <v>1004</v>
      </c>
    </row>
    <row r="1393" spans="1:10" ht="15" customHeight="1">
      <c r="A1393" s="9">
        <v>1389</v>
      </c>
      <c r="B1393" s="10" t="s">
        <v>3703</v>
      </c>
      <c r="C1393" s="10" t="s">
        <v>3704</v>
      </c>
      <c r="D1393" s="10" t="s">
        <v>1004</v>
      </c>
      <c r="E1393" s="10" t="s">
        <v>1915</v>
      </c>
      <c r="F1393" s="10" t="s">
        <v>794</v>
      </c>
      <c r="G1393" s="10" t="s">
        <v>1913</v>
      </c>
      <c r="H1393" s="10" t="s">
        <v>978</v>
      </c>
      <c r="I1393" s="10" t="s">
        <v>793</v>
      </c>
      <c r="J1393" s="10" t="s">
        <v>1004</v>
      </c>
    </row>
    <row r="1394" spans="1:10" ht="15" customHeight="1">
      <c r="A1394" s="9">
        <v>1390</v>
      </c>
      <c r="B1394" s="10" t="s">
        <v>3705</v>
      </c>
      <c r="C1394" s="10" t="s">
        <v>3706</v>
      </c>
      <c r="D1394" s="10" t="s">
        <v>1004</v>
      </c>
      <c r="E1394" s="10" t="s">
        <v>1915</v>
      </c>
      <c r="F1394" s="10" t="s">
        <v>794</v>
      </c>
      <c r="G1394" s="10" t="s">
        <v>1913</v>
      </c>
      <c r="H1394" s="10" t="s">
        <v>978</v>
      </c>
      <c r="I1394" s="10" t="s">
        <v>793</v>
      </c>
      <c r="J1394" s="10" t="s">
        <v>1004</v>
      </c>
    </row>
    <row r="1395" spans="1:10" ht="15" customHeight="1">
      <c r="A1395" s="9">
        <v>1391</v>
      </c>
      <c r="B1395" s="10" t="s">
        <v>3707</v>
      </c>
      <c r="C1395" s="10" t="s">
        <v>3708</v>
      </c>
      <c r="D1395" s="10" t="s">
        <v>1004</v>
      </c>
      <c r="E1395" s="10" t="s">
        <v>1915</v>
      </c>
      <c r="F1395" s="10" t="s">
        <v>794</v>
      </c>
      <c r="G1395" s="10" t="s">
        <v>1913</v>
      </c>
      <c r="H1395" s="10" t="s">
        <v>978</v>
      </c>
      <c r="I1395" s="10" t="s">
        <v>793</v>
      </c>
      <c r="J1395" s="10" t="s">
        <v>1004</v>
      </c>
    </row>
    <row r="1396" spans="1:10" ht="15" customHeight="1">
      <c r="A1396" s="9">
        <v>1392</v>
      </c>
      <c r="B1396" s="10" t="s">
        <v>3709</v>
      </c>
      <c r="C1396" s="10" t="s">
        <v>3710</v>
      </c>
      <c r="D1396" s="10" t="s">
        <v>1004</v>
      </c>
      <c r="E1396" s="10" t="s">
        <v>1915</v>
      </c>
      <c r="F1396" s="10" t="s">
        <v>794</v>
      </c>
      <c r="G1396" s="10" t="s">
        <v>1913</v>
      </c>
      <c r="H1396" s="10" t="s">
        <v>978</v>
      </c>
      <c r="I1396" s="10" t="s">
        <v>793</v>
      </c>
      <c r="J1396" s="10" t="s">
        <v>1004</v>
      </c>
    </row>
    <row r="1397" spans="1:10" ht="15" customHeight="1">
      <c r="A1397" s="9">
        <v>1393</v>
      </c>
      <c r="B1397" s="10" t="s">
        <v>3711</v>
      </c>
      <c r="C1397" s="10" t="s">
        <v>3712</v>
      </c>
      <c r="D1397" s="10" t="s">
        <v>1004</v>
      </c>
      <c r="E1397" s="10" t="s">
        <v>1915</v>
      </c>
      <c r="F1397" s="10" t="s">
        <v>794</v>
      </c>
      <c r="G1397" s="10" t="s">
        <v>1913</v>
      </c>
      <c r="H1397" s="10" t="s">
        <v>978</v>
      </c>
      <c r="I1397" s="10" t="s">
        <v>793</v>
      </c>
      <c r="J1397" s="10" t="s">
        <v>1004</v>
      </c>
    </row>
    <row r="1398" spans="1:10" ht="15" customHeight="1">
      <c r="A1398" s="9">
        <v>1394</v>
      </c>
      <c r="B1398" s="10" t="s">
        <v>3713</v>
      </c>
      <c r="C1398" s="10" t="s">
        <v>3714</v>
      </c>
      <c r="D1398" s="10" t="s">
        <v>1004</v>
      </c>
      <c r="E1398" s="10" t="s">
        <v>1922</v>
      </c>
      <c r="F1398" s="10" t="s">
        <v>794</v>
      </c>
      <c r="G1398" s="10" t="s">
        <v>1920</v>
      </c>
      <c r="H1398" s="10" t="s">
        <v>978</v>
      </c>
      <c r="I1398" s="10" t="s">
        <v>793</v>
      </c>
      <c r="J1398" s="10" t="s">
        <v>1004</v>
      </c>
    </row>
    <row r="1399" spans="1:10" ht="15" customHeight="1">
      <c r="A1399" s="9">
        <v>1395</v>
      </c>
      <c r="B1399" s="10" t="s">
        <v>3715</v>
      </c>
      <c r="C1399" s="10" t="s">
        <v>3716</v>
      </c>
      <c r="D1399" s="10" t="s">
        <v>1004</v>
      </c>
      <c r="E1399" s="10" t="s">
        <v>1922</v>
      </c>
      <c r="F1399" s="10" t="s">
        <v>794</v>
      </c>
      <c r="G1399" s="10" t="s">
        <v>1920</v>
      </c>
      <c r="H1399" s="10" t="s">
        <v>978</v>
      </c>
      <c r="I1399" s="10" t="s">
        <v>793</v>
      </c>
      <c r="J1399" s="10" t="s">
        <v>1004</v>
      </c>
    </row>
    <row r="1400" spans="1:10" ht="15" customHeight="1">
      <c r="A1400" s="9">
        <v>1396</v>
      </c>
      <c r="B1400" s="10" t="s">
        <v>3717</v>
      </c>
      <c r="C1400" s="10" t="s">
        <v>3718</v>
      </c>
      <c r="D1400" s="10" t="s">
        <v>1004</v>
      </c>
      <c r="E1400" s="10" t="s">
        <v>1922</v>
      </c>
      <c r="F1400" s="10" t="s">
        <v>794</v>
      </c>
      <c r="G1400" s="10" t="s">
        <v>1920</v>
      </c>
      <c r="H1400" s="10" t="s">
        <v>978</v>
      </c>
      <c r="I1400" s="10" t="s">
        <v>793</v>
      </c>
      <c r="J1400" s="10" t="s">
        <v>1004</v>
      </c>
    </row>
    <row r="1401" spans="1:10" ht="15" customHeight="1">
      <c r="A1401" s="9">
        <v>1397</v>
      </c>
      <c r="B1401" s="10" t="s">
        <v>3719</v>
      </c>
      <c r="C1401" s="10" t="s">
        <v>3720</v>
      </c>
      <c r="D1401" s="10" t="s">
        <v>1004</v>
      </c>
      <c r="E1401" s="10" t="s">
        <v>1922</v>
      </c>
      <c r="F1401" s="10" t="s">
        <v>794</v>
      </c>
      <c r="G1401" s="10" t="s">
        <v>1920</v>
      </c>
      <c r="H1401" s="10" t="s">
        <v>978</v>
      </c>
      <c r="I1401" s="10" t="s">
        <v>793</v>
      </c>
      <c r="J1401" s="10" t="s">
        <v>1004</v>
      </c>
    </row>
    <row r="1402" spans="1:10" ht="15" customHeight="1">
      <c r="A1402" s="9">
        <v>1398</v>
      </c>
      <c r="B1402" s="10" t="s">
        <v>3721</v>
      </c>
      <c r="C1402" s="10" t="s">
        <v>3722</v>
      </c>
      <c r="D1402" s="10" t="s">
        <v>1004</v>
      </c>
      <c r="E1402" s="10" t="s">
        <v>1922</v>
      </c>
      <c r="F1402" s="10" t="s">
        <v>794</v>
      </c>
      <c r="G1402" s="10" t="s">
        <v>1920</v>
      </c>
      <c r="H1402" s="10" t="s">
        <v>978</v>
      </c>
      <c r="I1402" s="10" t="s">
        <v>793</v>
      </c>
      <c r="J1402" s="10" t="s">
        <v>1004</v>
      </c>
    </row>
    <row r="1403" spans="1:10" ht="15" customHeight="1">
      <c r="A1403" s="9">
        <v>1399</v>
      </c>
      <c r="B1403" s="10" t="s">
        <v>3723</v>
      </c>
      <c r="C1403" s="10" t="s">
        <v>3724</v>
      </c>
      <c r="D1403" s="10" t="s">
        <v>1004</v>
      </c>
      <c r="E1403" s="10" t="s">
        <v>1922</v>
      </c>
      <c r="F1403" s="10" t="s">
        <v>794</v>
      </c>
      <c r="G1403" s="10" t="s">
        <v>1920</v>
      </c>
      <c r="H1403" s="10" t="s">
        <v>978</v>
      </c>
      <c r="I1403" s="10" t="s">
        <v>793</v>
      </c>
      <c r="J1403" s="10" t="s">
        <v>1004</v>
      </c>
    </row>
    <row r="1404" spans="1:10" ht="15" customHeight="1">
      <c r="A1404" s="9">
        <v>1400</v>
      </c>
      <c r="B1404" s="10" t="s">
        <v>3725</v>
      </c>
      <c r="C1404" s="10" t="s">
        <v>3726</v>
      </c>
      <c r="D1404" s="10" t="s">
        <v>1004</v>
      </c>
      <c r="E1404" s="10" t="s">
        <v>1922</v>
      </c>
      <c r="F1404" s="10" t="s">
        <v>794</v>
      </c>
      <c r="G1404" s="10" t="s">
        <v>1920</v>
      </c>
      <c r="H1404" s="10" t="s">
        <v>978</v>
      </c>
      <c r="I1404" s="10" t="s">
        <v>793</v>
      </c>
      <c r="J1404" s="10" t="s">
        <v>1004</v>
      </c>
    </row>
    <row r="1405" spans="1:10" ht="15" customHeight="1">
      <c r="A1405" s="9">
        <v>1401</v>
      </c>
      <c r="B1405" s="10" t="s">
        <v>3727</v>
      </c>
      <c r="C1405" s="10" t="s">
        <v>3728</v>
      </c>
      <c r="D1405" s="10" t="s">
        <v>1004</v>
      </c>
      <c r="E1405" s="10" t="s">
        <v>1922</v>
      </c>
      <c r="F1405" s="10" t="s">
        <v>794</v>
      </c>
      <c r="G1405" s="10" t="s">
        <v>1920</v>
      </c>
      <c r="H1405" s="10" t="s">
        <v>978</v>
      </c>
      <c r="I1405" s="10" t="s">
        <v>793</v>
      </c>
      <c r="J1405" s="10" t="s">
        <v>1004</v>
      </c>
    </row>
    <row r="1406" spans="1:10" ht="15" customHeight="1">
      <c r="A1406" s="9">
        <v>1402</v>
      </c>
      <c r="B1406" s="10" t="s">
        <v>3729</v>
      </c>
      <c r="C1406" s="10" t="s">
        <v>3730</v>
      </c>
      <c r="D1406" s="10" t="s">
        <v>1004</v>
      </c>
      <c r="E1406" s="10" t="s">
        <v>1922</v>
      </c>
      <c r="F1406" s="10" t="s">
        <v>794</v>
      </c>
      <c r="G1406" s="10" t="s">
        <v>1920</v>
      </c>
      <c r="H1406" s="10" t="s">
        <v>978</v>
      </c>
      <c r="I1406" s="10" t="s">
        <v>793</v>
      </c>
      <c r="J1406" s="10" t="s">
        <v>1004</v>
      </c>
    </row>
    <row r="1407" spans="1:10" ht="15" customHeight="1">
      <c r="A1407" s="9">
        <v>1403</v>
      </c>
      <c r="B1407" s="10" t="s">
        <v>3731</v>
      </c>
      <c r="C1407" s="10" t="s">
        <v>3732</v>
      </c>
      <c r="D1407" s="10" t="s">
        <v>1004</v>
      </c>
      <c r="E1407" s="10" t="s">
        <v>1922</v>
      </c>
      <c r="F1407" s="10" t="s">
        <v>794</v>
      </c>
      <c r="G1407" s="10" t="s">
        <v>1920</v>
      </c>
      <c r="H1407" s="10" t="s">
        <v>978</v>
      </c>
      <c r="I1407" s="10" t="s">
        <v>793</v>
      </c>
      <c r="J1407" s="10" t="s">
        <v>1004</v>
      </c>
    </row>
    <row r="1408" spans="1:10" ht="15" customHeight="1">
      <c r="A1408" s="9">
        <v>1404</v>
      </c>
      <c r="B1408" s="10" t="s">
        <v>3733</v>
      </c>
      <c r="C1408" s="10" t="s">
        <v>3734</v>
      </c>
      <c r="D1408" s="10" t="s">
        <v>1004</v>
      </c>
      <c r="E1408" s="10" t="s">
        <v>1927</v>
      </c>
      <c r="F1408" s="10" t="s">
        <v>794</v>
      </c>
      <c r="G1408" s="10" t="s">
        <v>1925</v>
      </c>
      <c r="H1408" s="10" t="s">
        <v>978</v>
      </c>
      <c r="I1408" s="10" t="s">
        <v>793</v>
      </c>
      <c r="J1408" s="10" t="s">
        <v>1004</v>
      </c>
    </row>
    <row r="1409" spans="1:10" ht="15" customHeight="1">
      <c r="A1409" s="9">
        <v>1405</v>
      </c>
      <c r="B1409" s="10" t="s">
        <v>3735</v>
      </c>
      <c r="C1409" s="10" t="s">
        <v>3736</v>
      </c>
      <c r="D1409" s="10" t="s">
        <v>1004</v>
      </c>
      <c r="E1409" s="10" t="s">
        <v>1927</v>
      </c>
      <c r="F1409" s="10" t="s">
        <v>794</v>
      </c>
      <c r="G1409" s="10" t="s">
        <v>1925</v>
      </c>
      <c r="H1409" s="10" t="s">
        <v>978</v>
      </c>
      <c r="I1409" s="10" t="s">
        <v>793</v>
      </c>
      <c r="J1409" s="10" t="s">
        <v>1004</v>
      </c>
    </row>
    <row r="1410" spans="1:10" ht="15" customHeight="1">
      <c r="A1410" s="9">
        <v>1406</v>
      </c>
      <c r="B1410" s="10" t="s">
        <v>3737</v>
      </c>
      <c r="C1410" s="10" t="s">
        <v>3738</v>
      </c>
      <c r="D1410" s="10" t="s">
        <v>1004</v>
      </c>
      <c r="E1410" s="10" t="s">
        <v>1927</v>
      </c>
      <c r="F1410" s="10" t="s">
        <v>794</v>
      </c>
      <c r="G1410" s="10" t="s">
        <v>1925</v>
      </c>
      <c r="H1410" s="10" t="s">
        <v>978</v>
      </c>
      <c r="I1410" s="10" t="s">
        <v>793</v>
      </c>
      <c r="J1410" s="10" t="s">
        <v>1004</v>
      </c>
    </row>
    <row r="1411" spans="1:10" ht="15" customHeight="1">
      <c r="A1411" s="9">
        <v>1407</v>
      </c>
      <c r="B1411" s="10" t="s">
        <v>3739</v>
      </c>
      <c r="C1411" s="10" t="s">
        <v>3740</v>
      </c>
      <c r="D1411" s="10" t="s">
        <v>1004</v>
      </c>
      <c r="E1411" s="10" t="s">
        <v>1927</v>
      </c>
      <c r="F1411" s="10" t="s">
        <v>794</v>
      </c>
      <c r="G1411" s="10" t="s">
        <v>1925</v>
      </c>
      <c r="H1411" s="10" t="s">
        <v>978</v>
      </c>
      <c r="I1411" s="10" t="s">
        <v>793</v>
      </c>
      <c r="J1411" s="10" t="s">
        <v>1004</v>
      </c>
    </row>
    <row r="1412" spans="1:10" ht="15" customHeight="1">
      <c r="A1412" s="9">
        <v>1408</v>
      </c>
      <c r="B1412" s="10" t="s">
        <v>3741</v>
      </c>
      <c r="C1412" s="10" t="s">
        <v>3742</v>
      </c>
      <c r="D1412" s="10" t="s">
        <v>1004</v>
      </c>
      <c r="E1412" s="10" t="s">
        <v>1927</v>
      </c>
      <c r="F1412" s="10" t="s">
        <v>794</v>
      </c>
      <c r="G1412" s="10" t="s">
        <v>1925</v>
      </c>
      <c r="H1412" s="10" t="s">
        <v>978</v>
      </c>
      <c r="I1412" s="10" t="s">
        <v>793</v>
      </c>
      <c r="J1412" s="10" t="s">
        <v>1004</v>
      </c>
    </row>
    <row r="1413" spans="1:10" ht="15" customHeight="1">
      <c r="A1413" s="9">
        <v>1409</v>
      </c>
      <c r="B1413" s="10" t="s">
        <v>3743</v>
      </c>
      <c r="C1413" s="10" t="s">
        <v>3744</v>
      </c>
      <c r="D1413" s="10" t="s">
        <v>1004</v>
      </c>
      <c r="E1413" s="10" t="s">
        <v>1927</v>
      </c>
      <c r="F1413" s="10" t="s">
        <v>794</v>
      </c>
      <c r="G1413" s="10" t="s">
        <v>1925</v>
      </c>
      <c r="H1413" s="10" t="s">
        <v>978</v>
      </c>
      <c r="I1413" s="10" t="s">
        <v>793</v>
      </c>
      <c r="J1413" s="10" t="s">
        <v>1004</v>
      </c>
    </row>
    <row r="1414" spans="1:10" ht="15" customHeight="1">
      <c r="A1414" s="9">
        <v>1410</v>
      </c>
      <c r="B1414" s="10" t="s">
        <v>3745</v>
      </c>
      <c r="C1414" s="10" t="s">
        <v>3746</v>
      </c>
      <c r="D1414" s="10" t="s">
        <v>1004</v>
      </c>
      <c r="E1414" s="10" t="s">
        <v>1927</v>
      </c>
      <c r="F1414" s="10" t="s">
        <v>794</v>
      </c>
      <c r="G1414" s="10" t="s">
        <v>1925</v>
      </c>
      <c r="H1414" s="10" t="s">
        <v>978</v>
      </c>
      <c r="I1414" s="10" t="s">
        <v>793</v>
      </c>
      <c r="J1414" s="10" t="s">
        <v>1004</v>
      </c>
    </row>
    <row r="1415" spans="1:10" ht="15" customHeight="1">
      <c r="A1415" s="9">
        <v>1411</v>
      </c>
      <c r="B1415" s="10" t="s">
        <v>3747</v>
      </c>
      <c r="C1415" s="10" t="s">
        <v>3748</v>
      </c>
      <c r="D1415" s="10" t="s">
        <v>1004</v>
      </c>
      <c r="E1415" s="10" t="s">
        <v>1927</v>
      </c>
      <c r="F1415" s="10" t="s">
        <v>794</v>
      </c>
      <c r="G1415" s="10" t="s">
        <v>1925</v>
      </c>
      <c r="H1415" s="10" t="s">
        <v>978</v>
      </c>
      <c r="I1415" s="10" t="s">
        <v>793</v>
      </c>
      <c r="J1415" s="10" t="s">
        <v>1004</v>
      </c>
    </row>
    <row r="1416" spans="1:10" ht="15" customHeight="1">
      <c r="A1416" s="9">
        <v>1412</v>
      </c>
      <c r="B1416" s="10" t="s">
        <v>3749</v>
      </c>
      <c r="C1416" s="10" t="s">
        <v>3750</v>
      </c>
      <c r="D1416" s="10" t="s">
        <v>1004</v>
      </c>
      <c r="E1416" s="10" t="s">
        <v>1927</v>
      </c>
      <c r="F1416" s="10" t="s">
        <v>794</v>
      </c>
      <c r="G1416" s="10" t="s">
        <v>1925</v>
      </c>
      <c r="H1416" s="10" t="s">
        <v>978</v>
      </c>
      <c r="I1416" s="10" t="s">
        <v>793</v>
      </c>
      <c r="J1416" s="10" t="s">
        <v>1004</v>
      </c>
    </row>
    <row r="1417" spans="1:10" ht="15" customHeight="1">
      <c r="A1417" s="9">
        <v>1413</v>
      </c>
      <c r="B1417" s="10" t="s">
        <v>3751</v>
      </c>
      <c r="C1417" s="10" t="s">
        <v>3752</v>
      </c>
      <c r="D1417" s="10" t="s">
        <v>1004</v>
      </c>
      <c r="E1417" s="10" t="s">
        <v>1927</v>
      </c>
      <c r="F1417" s="10" t="s">
        <v>794</v>
      </c>
      <c r="G1417" s="10" t="s">
        <v>1925</v>
      </c>
      <c r="H1417" s="10" t="s">
        <v>978</v>
      </c>
      <c r="I1417" s="10" t="s">
        <v>793</v>
      </c>
      <c r="J1417" s="10" t="s">
        <v>1004</v>
      </c>
    </row>
    <row r="1418" spans="1:10" ht="15" customHeight="1">
      <c r="A1418" s="9">
        <v>1414</v>
      </c>
      <c r="B1418" s="10" t="s">
        <v>3753</v>
      </c>
      <c r="C1418" s="10" t="s">
        <v>3754</v>
      </c>
      <c r="D1418" s="10" t="s">
        <v>1004</v>
      </c>
      <c r="E1418" s="10" t="s">
        <v>1927</v>
      </c>
      <c r="F1418" s="10" t="s">
        <v>794</v>
      </c>
      <c r="G1418" s="10" t="s">
        <v>1925</v>
      </c>
      <c r="H1418" s="10" t="s">
        <v>978</v>
      </c>
      <c r="I1418" s="10" t="s">
        <v>793</v>
      </c>
      <c r="J1418" s="10" t="s">
        <v>881</v>
      </c>
    </row>
    <row r="1419" spans="1:10" ht="15" customHeight="1">
      <c r="A1419" s="9">
        <v>1415</v>
      </c>
      <c r="B1419" s="10" t="s">
        <v>3755</v>
      </c>
      <c r="C1419" s="10" t="s">
        <v>3756</v>
      </c>
      <c r="D1419" s="10" t="s">
        <v>1004</v>
      </c>
      <c r="E1419" s="10" t="s">
        <v>1927</v>
      </c>
      <c r="F1419" s="10" t="s">
        <v>794</v>
      </c>
      <c r="G1419" s="10" t="s">
        <v>1925</v>
      </c>
      <c r="H1419" s="10" t="s">
        <v>978</v>
      </c>
      <c r="I1419" s="10" t="s">
        <v>793</v>
      </c>
      <c r="J1419" s="10" t="s">
        <v>1004</v>
      </c>
    </row>
    <row r="1420" spans="1:10" ht="15" customHeight="1">
      <c r="A1420" s="9">
        <v>1416</v>
      </c>
      <c r="B1420" s="10" t="s">
        <v>3757</v>
      </c>
      <c r="C1420" s="10" t="s">
        <v>3758</v>
      </c>
      <c r="D1420" s="10" t="s">
        <v>1004</v>
      </c>
      <c r="E1420" s="10" t="s">
        <v>1927</v>
      </c>
      <c r="F1420" s="10" t="s">
        <v>794</v>
      </c>
      <c r="G1420" s="10" t="s">
        <v>1925</v>
      </c>
      <c r="H1420" s="10" t="s">
        <v>978</v>
      </c>
      <c r="I1420" s="10" t="s">
        <v>793</v>
      </c>
      <c r="J1420" s="10" t="s">
        <v>1004</v>
      </c>
    </row>
    <row r="1421" spans="1:10" ht="15" customHeight="1">
      <c r="A1421" s="9">
        <v>1417</v>
      </c>
      <c r="B1421" s="10" t="s">
        <v>3759</v>
      </c>
      <c r="C1421" s="10" t="s">
        <v>3760</v>
      </c>
      <c r="D1421" s="10" t="s">
        <v>1004</v>
      </c>
      <c r="E1421" s="10" t="s">
        <v>1927</v>
      </c>
      <c r="F1421" s="10" t="s">
        <v>794</v>
      </c>
      <c r="G1421" s="10" t="s">
        <v>1925</v>
      </c>
      <c r="H1421" s="10" t="s">
        <v>978</v>
      </c>
      <c r="I1421" s="10" t="s">
        <v>793</v>
      </c>
      <c r="J1421" s="10" t="s">
        <v>1004</v>
      </c>
    </row>
    <row r="1422" spans="1:10" ht="15" customHeight="1">
      <c r="A1422" s="9">
        <v>1418</v>
      </c>
      <c r="B1422" s="10" t="s">
        <v>3761</v>
      </c>
      <c r="C1422" s="10" t="s">
        <v>3762</v>
      </c>
      <c r="D1422" s="10" t="s">
        <v>1004</v>
      </c>
      <c r="E1422" s="10" t="s">
        <v>1927</v>
      </c>
      <c r="F1422" s="10" t="s">
        <v>794</v>
      </c>
      <c r="G1422" s="10" t="s">
        <v>1925</v>
      </c>
      <c r="H1422" s="10" t="s">
        <v>978</v>
      </c>
      <c r="I1422" s="10" t="s">
        <v>793</v>
      </c>
      <c r="J1422" s="10" t="s">
        <v>1004</v>
      </c>
    </row>
    <row r="1423" spans="1:10" ht="15" customHeight="1">
      <c r="A1423" s="9">
        <v>1419</v>
      </c>
      <c r="B1423" s="10" t="s">
        <v>3763</v>
      </c>
      <c r="C1423" s="10" t="s">
        <v>3764</v>
      </c>
      <c r="D1423" s="10" t="s">
        <v>1004</v>
      </c>
      <c r="E1423" s="10" t="s">
        <v>1927</v>
      </c>
      <c r="F1423" s="10" t="s">
        <v>794</v>
      </c>
      <c r="G1423" s="10" t="s">
        <v>1925</v>
      </c>
      <c r="H1423" s="10" t="s">
        <v>978</v>
      </c>
      <c r="I1423" s="10" t="s">
        <v>793</v>
      </c>
      <c r="J1423" s="10" t="s">
        <v>1004</v>
      </c>
    </row>
    <row r="1424" spans="1:10" ht="15" customHeight="1">
      <c r="A1424" s="9">
        <v>1420</v>
      </c>
      <c r="B1424" s="10" t="s">
        <v>3765</v>
      </c>
      <c r="C1424" s="10" t="s">
        <v>3766</v>
      </c>
      <c r="D1424" s="10" t="s">
        <v>1004</v>
      </c>
      <c r="E1424" s="10" t="s">
        <v>1927</v>
      </c>
      <c r="F1424" s="10" t="s">
        <v>794</v>
      </c>
      <c r="G1424" s="10" t="s">
        <v>1925</v>
      </c>
      <c r="H1424" s="10" t="s">
        <v>978</v>
      </c>
      <c r="I1424" s="10" t="s">
        <v>793</v>
      </c>
      <c r="J1424" s="10" t="s">
        <v>1004</v>
      </c>
    </row>
    <row r="1425" spans="1:10" ht="15" customHeight="1">
      <c r="A1425" s="9">
        <v>1421</v>
      </c>
      <c r="B1425" s="10" t="s">
        <v>3767</v>
      </c>
      <c r="C1425" s="10" t="s">
        <v>3768</v>
      </c>
      <c r="D1425" s="10" t="s">
        <v>1004</v>
      </c>
      <c r="E1425" s="10" t="s">
        <v>1927</v>
      </c>
      <c r="F1425" s="10" t="s">
        <v>794</v>
      </c>
      <c r="G1425" s="10" t="s">
        <v>1925</v>
      </c>
      <c r="H1425" s="10" t="s">
        <v>978</v>
      </c>
      <c r="I1425" s="10" t="s">
        <v>793</v>
      </c>
      <c r="J1425" s="10" t="s">
        <v>1004</v>
      </c>
    </row>
    <row r="1426" spans="1:10" ht="15" customHeight="1">
      <c r="A1426" s="9">
        <v>1422</v>
      </c>
      <c r="B1426" s="10" t="s">
        <v>3769</v>
      </c>
      <c r="C1426" s="10" t="s">
        <v>3770</v>
      </c>
      <c r="D1426" s="10" t="s">
        <v>1004</v>
      </c>
      <c r="E1426" s="10" t="s">
        <v>1927</v>
      </c>
      <c r="F1426" s="10" t="s">
        <v>794</v>
      </c>
      <c r="G1426" s="10" t="s">
        <v>1925</v>
      </c>
      <c r="H1426" s="10" t="s">
        <v>978</v>
      </c>
      <c r="I1426" s="10" t="s">
        <v>793</v>
      </c>
      <c r="J1426" s="10" t="s">
        <v>1004</v>
      </c>
    </row>
    <row r="1427" spans="1:10" ht="15" customHeight="1">
      <c r="A1427" s="9">
        <v>1423</v>
      </c>
      <c r="B1427" s="10" t="s">
        <v>3771</v>
      </c>
      <c r="C1427" s="10" t="s">
        <v>3772</v>
      </c>
      <c r="D1427" s="10" t="s">
        <v>1004</v>
      </c>
      <c r="E1427" s="10" t="s">
        <v>1927</v>
      </c>
      <c r="F1427" s="10" t="s">
        <v>794</v>
      </c>
      <c r="G1427" s="10" t="s">
        <v>1925</v>
      </c>
      <c r="H1427" s="10" t="s">
        <v>978</v>
      </c>
      <c r="I1427" s="10" t="s">
        <v>793</v>
      </c>
      <c r="J1427" s="10" t="s">
        <v>1004</v>
      </c>
    </row>
    <row r="1428" spans="1:10" ht="15" customHeight="1">
      <c r="A1428" s="9">
        <v>1424</v>
      </c>
      <c r="B1428" s="10" t="s">
        <v>3773</v>
      </c>
      <c r="C1428" s="10" t="s">
        <v>3774</v>
      </c>
      <c r="D1428" s="10" t="s">
        <v>1004</v>
      </c>
      <c r="E1428" s="10" t="s">
        <v>1927</v>
      </c>
      <c r="F1428" s="10" t="s">
        <v>794</v>
      </c>
      <c r="G1428" s="10" t="s">
        <v>1925</v>
      </c>
      <c r="H1428" s="10" t="s">
        <v>978</v>
      </c>
      <c r="I1428" s="10" t="s">
        <v>794</v>
      </c>
      <c r="J1428" s="10" t="s">
        <v>1004</v>
      </c>
    </row>
    <row r="1429" spans="1:10" ht="15" customHeight="1">
      <c r="A1429" s="9">
        <v>1425</v>
      </c>
      <c r="B1429" s="10" t="s">
        <v>3775</v>
      </c>
      <c r="C1429" s="10" t="s">
        <v>3776</v>
      </c>
      <c r="D1429" s="10" t="s">
        <v>1004</v>
      </c>
      <c r="E1429" s="10" t="s">
        <v>1927</v>
      </c>
      <c r="F1429" s="10" t="s">
        <v>794</v>
      </c>
      <c r="G1429" s="10" t="s">
        <v>1925</v>
      </c>
      <c r="H1429" s="10" t="s">
        <v>978</v>
      </c>
      <c r="I1429" s="10" t="s">
        <v>793</v>
      </c>
      <c r="J1429" s="10" t="s">
        <v>1004</v>
      </c>
    </row>
    <row r="1430" spans="1:10" ht="15" customHeight="1">
      <c r="A1430" s="9">
        <v>1426</v>
      </c>
      <c r="B1430" s="10" t="s">
        <v>3777</v>
      </c>
      <c r="C1430" s="10" t="s">
        <v>3778</v>
      </c>
      <c r="D1430" s="10" t="s">
        <v>1004</v>
      </c>
      <c r="E1430" s="10" t="s">
        <v>1927</v>
      </c>
      <c r="F1430" s="10" t="s">
        <v>794</v>
      </c>
      <c r="G1430" s="10" t="s">
        <v>1925</v>
      </c>
      <c r="H1430" s="10" t="s">
        <v>978</v>
      </c>
      <c r="I1430" s="10" t="s">
        <v>794</v>
      </c>
      <c r="J1430" s="10" t="s">
        <v>1004</v>
      </c>
    </row>
    <row r="1431" spans="1:10" ht="15" customHeight="1">
      <c r="A1431" s="9">
        <v>1427</v>
      </c>
      <c r="B1431" s="10" t="s">
        <v>3779</v>
      </c>
      <c r="C1431" s="10" t="s">
        <v>3780</v>
      </c>
      <c r="D1431" s="10" t="s">
        <v>1004</v>
      </c>
      <c r="E1431" s="10" t="s">
        <v>1934</v>
      </c>
      <c r="F1431" s="10" t="s">
        <v>794</v>
      </c>
      <c r="G1431" s="10" t="s">
        <v>1932</v>
      </c>
      <c r="H1431" s="10" t="s">
        <v>978</v>
      </c>
      <c r="I1431" s="10" t="s">
        <v>793</v>
      </c>
      <c r="J1431" s="10" t="s">
        <v>795</v>
      </c>
    </row>
    <row r="1432" spans="1:10" ht="15" customHeight="1">
      <c r="A1432" s="9">
        <v>1428</v>
      </c>
      <c r="B1432" s="10" t="s">
        <v>3781</v>
      </c>
      <c r="C1432" s="10" t="s">
        <v>3782</v>
      </c>
      <c r="D1432" s="10" t="s">
        <v>1004</v>
      </c>
      <c r="E1432" s="10" t="s">
        <v>1934</v>
      </c>
      <c r="F1432" s="10" t="s">
        <v>794</v>
      </c>
      <c r="G1432" s="10" t="s">
        <v>1932</v>
      </c>
      <c r="H1432" s="10" t="s">
        <v>978</v>
      </c>
      <c r="I1432" s="10" t="s">
        <v>793</v>
      </c>
      <c r="J1432" s="10" t="s">
        <v>795</v>
      </c>
    </row>
    <row r="1433" spans="1:10" ht="15" hidden="1" customHeight="1">
      <c r="A1433" s="9">
        <v>1429</v>
      </c>
      <c r="B1433" s="10" t="s">
        <v>3783</v>
      </c>
      <c r="C1433" s="10" t="s">
        <v>3784</v>
      </c>
      <c r="D1433" s="10" t="s">
        <v>1004</v>
      </c>
      <c r="E1433" s="10" t="s">
        <v>2497</v>
      </c>
      <c r="F1433" s="10" t="s">
        <v>794</v>
      </c>
      <c r="G1433" s="10" t="s">
        <v>2460</v>
      </c>
      <c r="H1433" s="10" t="s">
        <v>1479</v>
      </c>
      <c r="I1433" s="10" t="s">
        <v>793</v>
      </c>
      <c r="J1433" s="10" t="s">
        <v>1004</v>
      </c>
    </row>
    <row r="1434" spans="1:10" ht="15" hidden="1" customHeight="1">
      <c r="A1434" s="9">
        <v>1430</v>
      </c>
      <c r="B1434" s="10" t="s">
        <v>3785</v>
      </c>
      <c r="C1434" s="10" t="s">
        <v>3786</v>
      </c>
      <c r="D1434" s="10" t="s">
        <v>1004</v>
      </c>
      <c r="E1434" s="10" t="s">
        <v>2497</v>
      </c>
      <c r="F1434" s="10" t="s">
        <v>794</v>
      </c>
      <c r="G1434" s="10" t="s">
        <v>2460</v>
      </c>
      <c r="H1434" s="10" t="s">
        <v>1479</v>
      </c>
      <c r="I1434" s="10" t="s">
        <v>793</v>
      </c>
      <c r="J1434" s="10" t="s">
        <v>1004</v>
      </c>
    </row>
    <row r="1435" spans="1:10" ht="15" hidden="1" customHeight="1">
      <c r="A1435" s="9">
        <v>1431</v>
      </c>
      <c r="B1435" s="10" t="s">
        <v>3787</v>
      </c>
      <c r="C1435" s="10" t="s">
        <v>3788</v>
      </c>
      <c r="D1435" s="10" t="s">
        <v>1004</v>
      </c>
      <c r="E1435" s="10" t="s">
        <v>2497</v>
      </c>
      <c r="F1435" s="10" t="s">
        <v>794</v>
      </c>
      <c r="G1435" s="10" t="s">
        <v>2460</v>
      </c>
      <c r="H1435" s="10" t="s">
        <v>1479</v>
      </c>
      <c r="I1435" s="10" t="s">
        <v>793</v>
      </c>
      <c r="J1435" s="10" t="s">
        <v>1004</v>
      </c>
    </row>
    <row r="1436" spans="1:10" ht="15" hidden="1" customHeight="1">
      <c r="A1436" s="9">
        <v>1432</v>
      </c>
      <c r="B1436" s="10" t="s">
        <v>3789</v>
      </c>
      <c r="C1436" s="10" t="s">
        <v>3790</v>
      </c>
      <c r="D1436" s="10" t="s">
        <v>1004</v>
      </c>
      <c r="E1436" s="10" t="s">
        <v>2497</v>
      </c>
      <c r="F1436" s="10" t="s">
        <v>794</v>
      </c>
      <c r="G1436" s="10" t="s">
        <v>2460</v>
      </c>
      <c r="H1436" s="10" t="s">
        <v>1479</v>
      </c>
      <c r="I1436" s="10" t="s">
        <v>793</v>
      </c>
      <c r="J1436" s="10" t="s">
        <v>1004</v>
      </c>
    </row>
    <row r="1437" spans="1:10" ht="15" hidden="1" customHeight="1">
      <c r="A1437" s="9">
        <v>1433</v>
      </c>
      <c r="B1437" s="10" t="s">
        <v>3791</v>
      </c>
      <c r="C1437" s="10" t="s">
        <v>3792</v>
      </c>
      <c r="D1437" s="10" t="s">
        <v>1004</v>
      </c>
      <c r="E1437" s="10" t="s">
        <v>2497</v>
      </c>
      <c r="F1437" s="10" t="s">
        <v>794</v>
      </c>
      <c r="G1437" s="10" t="s">
        <v>2460</v>
      </c>
      <c r="H1437" s="10" t="s">
        <v>1479</v>
      </c>
      <c r="I1437" s="10" t="s">
        <v>793</v>
      </c>
      <c r="J1437" s="10" t="s">
        <v>1004</v>
      </c>
    </row>
    <row r="1438" spans="1:10" ht="15" hidden="1" customHeight="1">
      <c r="A1438" s="9">
        <v>1434</v>
      </c>
      <c r="B1438" s="10" t="s">
        <v>3793</v>
      </c>
      <c r="C1438" s="10" t="s">
        <v>3794</v>
      </c>
      <c r="D1438" s="10" t="s">
        <v>1004</v>
      </c>
      <c r="E1438" s="10" t="s">
        <v>2497</v>
      </c>
      <c r="F1438" s="10" t="s">
        <v>794</v>
      </c>
      <c r="G1438" s="10" t="s">
        <v>2460</v>
      </c>
      <c r="H1438" s="10" t="s">
        <v>1479</v>
      </c>
      <c r="I1438" s="10" t="s">
        <v>793</v>
      </c>
      <c r="J1438" s="10" t="s">
        <v>1004</v>
      </c>
    </row>
    <row r="1439" spans="1:10" ht="15" hidden="1" customHeight="1">
      <c r="A1439" s="9">
        <v>1435</v>
      </c>
      <c r="B1439" s="10" t="s">
        <v>3795</v>
      </c>
      <c r="C1439" s="10" t="s">
        <v>3796</v>
      </c>
      <c r="D1439" s="10" t="s">
        <v>1004</v>
      </c>
      <c r="E1439" s="10" t="s">
        <v>2497</v>
      </c>
      <c r="F1439" s="10" t="s">
        <v>794</v>
      </c>
      <c r="G1439" s="10" t="s">
        <v>2460</v>
      </c>
      <c r="H1439" s="10" t="s">
        <v>1479</v>
      </c>
      <c r="I1439" s="10" t="s">
        <v>793</v>
      </c>
      <c r="J1439" s="10" t="s">
        <v>1004</v>
      </c>
    </row>
    <row r="1440" spans="1:10" ht="15" hidden="1" customHeight="1">
      <c r="A1440" s="9">
        <v>1436</v>
      </c>
      <c r="B1440" s="10" t="s">
        <v>3797</v>
      </c>
      <c r="C1440" s="10" t="s">
        <v>3798</v>
      </c>
      <c r="D1440" s="10" t="s">
        <v>1004</v>
      </c>
      <c r="E1440" s="10" t="s">
        <v>2459</v>
      </c>
      <c r="F1440" s="10" t="s">
        <v>794</v>
      </c>
      <c r="G1440" s="10" t="s">
        <v>2460</v>
      </c>
      <c r="H1440" s="10" t="s">
        <v>1479</v>
      </c>
      <c r="I1440" s="10" t="s">
        <v>793</v>
      </c>
      <c r="J1440" s="10" t="s">
        <v>1004</v>
      </c>
    </row>
    <row r="1441" spans="1:10" ht="15" hidden="1" customHeight="1">
      <c r="A1441" s="9">
        <v>1437</v>
      </c>
      <c r="B1441" s="10" t="s">
        <v>3799</v>
      </c>
      <c r="C1441" s="10" t="s">
        <v>3800</v>
      </c>
      <c r="D1441" s="10" t="s">
        <v>1004</v>
      </c>
      <c r="E1441" s="10" t="s">
        <v>2497</v>
      </c>
      <c r="F1441" s="10" t="s">
        <v>794</v>
      </c>
      <c r="G1441" s="10" t="s">
        <v>2460</v>
      </c>
      <c r="H1441" s="10" t="s">
        <v>1479</v>
      </c>
      <c r="I1441" s="10" t="s">
        <v>793</v>
      </c>
      <c r="J1441" s="10" t="s">
        <v>1004</v>
      </c>
    </row>
    <row r="1442" spans="1:10" ht="15" hidden="1" customHeight="1">
      <c r="A1442" s="9">
        <v>1438</v>
      </c>
      <c r="B1442" s="10" t="s">
        <v>3801</v>
      </c>
      <c r="C1442" s="10" t="s">
        <v>3802</v>
      </c>
      <c r="D1442" s="10" t="s">
        <v>1004</v>
      </c>
      <c r="E1442" s="10" t="s">
        <v>2497</v>
      </c>
      <c r="F1442" s="10" t="s">
        <v>794</v>
      </c>
      <c r="G1442" s="10" t="s">
        <v>2460</v>
      </c>
      <c r="H1442" s="10" t="s">
        <v>1479</v>
      </c>
      <c r="I1442" s="10" t="s">
        <v>793</v>
      </c>
      <c r="J1442" s="10" t="s">
        <v>1004</v>
      </c>
    </row>
    <row r="1443" spans="1:10" ht="15" hidden="1" customHeight="1">
      <c r="A1443" s="9">
        <v>1439</v>
      </c>
      <c r="B1443" s="10" t="s">
        <v>3803</v>
      </c>
      <c r="C1443" s="10" t="s">
        <v>3804</v>
      </c>
      <c r="D1443" s="10" t="s">
        <v>1004</v>
      </c>
      <c r="E1443" s="10" t="s">
        <v>2497</v>
      </c>
      <c r="F1443" s="10" t="s">
        <v>794</v>
      </c>
      <c r="G1443" s="10" t="s">
        <v>2460</v>
      </c>
      <c r="H1443" s="10" t="s">
        <v>1479</v>
      </c>
      <c r="I1443" s="10" t="s">
        <v>793</v>
      </c>
      <c r="J1443" s="10" t="s">
        <v>1004</v>
      </c>
    </row>
    <row r="1444" spans="1:10" ht="15" hidden="1" customHeight="1">
      <c r="A1444" s="9">
        <v>1440</v>
      </c>
      <c r="B1444" s="10" t="s">
        <v>3805</v>
      </c>
      <c r="C1444" s="10" t="s">
        <v>3806</v>
      </c>
      <c r="D1444" s="10" t="s">
        <v>1004</v>
      </c>
      <c r="E1444" s="10" t="s">
        <v>2497</v>
      </c>
      <c r="F1444" s="10" t="s">
        <v>794</v>
      </c>
      <c r="G1444" s="10" t="s">
        <v>2460</v>
      </c>
      <c r="H1444" s="10" t="s">
        <v>1479</v>
      </c>
      <c r="I1444" s="10" t="s">
        <v>793</v>
      </c>
      <c r="J1444" s="10" t="s">
        <v>1004</v>
      </c>
    </row>
    <row r="1445" spans="1:10" ht="15" hidden="1" customHeight="1">
      <c r="A1445" s="9">
        <v>1441</v>
      </c>
      <c r="B1445" s="10" t="s">
        <v>3807</v>
      </c>
      <c r="C1445" s="10" t="s">
        <v>3808</v>
      </c>
      <c r="D1445" s="10" t="s">
        <v>1004</v>
      </c>
      <c r="E1445" s="10" t="s">
        <v>2497</v>
      </c>
      <c r="F1445" s="10" t="s">
        <v>794</v>
      </c>
      <c r="G1445" s="10" t="s">
        <v>2460</v>
      </c>
      <c r="H1445" s="10" t="s">
        <v>1479</v>
      </c>
      <c r="I1445" s="10" t="s">
        <v>793</v>
      </c>
      <c r="J1445" s="10" t="s">
        <v>1004</v>
      </c>
    </row>
    <row r="1446" spans="1:10" ht="15" hidden="1" customHeight="1">
      <c r="A1446" s="9">
        <v>1442</v>
      </c>
      <c r="B1446" s="10" t="s">
        <v>3809</v>
      </c>
      <c r="C1446" s="10" t="s">
        <v>3810</v>
      </c>
      <c r="D1446" s="10" t="s">
        <v>1004</v>
      </c>
      <c r="E1446" s="10" t="s">
        <v>2497</v>
      </c>
      <c r="F1446" s="10" t="s">
        <v>794</v>
      </c>
      <c r="G1446" s="10" t="s">
        <v>2460</v>
      </c>
      <c r="H1446" s="10" t="s">
        <v>1479</v>
      </c>
      <c r="I1446" s="10" t="s">
        <v>793</v>
      </c>
      <c r="J1446" s="10" t="s">
        <v>1004</v>
      </c>
    </row>
    <row r="1447" spans="1:10" ht="15" hidden="1" customHeight="1">
      <c r="A1447" s="9">
        <v>1443</v>
      </c>
      <c r="B1447" s="10" t="s">
        <v>3811</v>
      </c>
      <c r="C1447" s="10" t="s">
        <v>3812</v>
      </c>
      <c r="D1447" s="10" t="s">
        <v>1004</v>
      </c>
      <c r="E1447" s="10" t="s">
        <v>2497</v>
      </c>
      <c r="F1447" s="10" t="s">
        <v>794</v>
      </c>
      <c r="G1447" s="10" t="s">
        <v>2460</v>
      </c>
      <c r="H1447" s="10" t="s">
        <v>1479</v>
      </c>
      <c r="I1447" s="10" t="s">
        <v>793</v>
      </c>
      <c r="J1447" s="10" t="s">
        <v>1004</v>
      </c>
    </row>
    <row r="1448" spans="1:10" ht="15" hidden="1" customHeight="1">
      <c r="A1448" s="9">
        <v>1444</v>
      </c>
      <c r="B1448" s="10" t="s">
        <v>3813</v>
      </c>
      <c r="C1448" s="10" t="s">
        <v>3814</v>
      </c>
      <c r="D1448" s="10" t="s">
        <v>1004</v>
      </c>
      <c r="E1448" s="10" t="s">
        <v>2497</v>
      </c>
      <c r="F1448" s="10" t="s">
        <v>794</v>
      </c>
      <c r="G1448" s="10" t="s">
        <v>2460</v>
      </c>
      <c r="H1448" s="10" t="s">
        <v>1479</v>
      </c>
      <c r="I1448" s="10" t="s">
        <v>793</v>
      </c>
      <c r="J1448" s="10" t="s">
        <v>1004</v>
      </c>
    </row>
    <row r="1449" spans="1:10" ht="15" hidden="1" customHeight="1">
      <c r="A1449" s="9">
        <v>1445</v>
      </c>
      <c r="B1449" s="10" t="s">
        <v>3815</v>
      </c>
      <c r="C1449" s="10" t="s">
        <v>3816</v>
      </c>
      <c r="D1449" s="10" t="s">
        <v>1004</v>
      </c>
      <c r="E1449" s="10" t="s">
        <v>2497</v>
      </c>
      <c r="F1449" s="10" t="s">
        <v>794</v>
      </c>
      <c r="G1449" s="10" t="s">
        <v>2460</v>
      </c>
      <c r="H1449" s="10" t="s">
        <v>1479</v>
      </c>
      <c r="I1449" s="10" t="s">
        <v>793</v>
      </c>
      <c r="J1449" s="10" t="s">
        <v>1004</v>
      </c>
    </row>
    <row r="1450" spans="1:10" ht="15" hidden="1" customHeight="1">
      <c r="A1450" s="9">
        <v>1446</v>
      </c>
      <c r="B1450" s="10" t="s">
        <v>3817</v>
      </c>
      <c r="C1450" s="10" t="s">
        <v>3818</v>
      </c>
      <c r="D1450" s="10" t="s">
        <v>1004</v>
      </c>
      <c r="E1450" s="10" t="s">
        <v>2497</v>
      </c>
      <c r="F1450" s="10" t="s">
        <v>794</v>
      </c>
      <c r="G1450" s="10" t="s">
        <v>2460</v>
      </c>
      <c r="H1450" s="10" t="s">
        <v>1479</v>
      </c>
      <c r="I1450" s="10" t="s">
        <v>793</v>
      </c>
      <c r="J1450" s="10" t="s">
        <v>1004</v>
      </c>
    </row>
    <row r="1451" spans="1:10" ht="15" hidden="1" customHeight="1">
      <c r="A1451" s="9">
        <v>1447</v>
      </c>
      <c r="B1451" s="10" t="s">
        <v>3819</v>
      </c>
      <c r="C1451" s="10" t="s">
        <v>3820</v>
      </c>
      <c r="D1451" s="10" t="s">
        <v>1004</v>
      </c>
      <c r="E1451" s="10" t="s">
        <v>2497</v>
      </c>
      <c r="F1451" s="10" t="s">
        <v>794</v>
      </c>
      <c r="G1451" s="10" t="s">
        <v>2460</v>
      </c>
      <c r="H1451" s="10" t="s">
        <v>1479</v>
      </c>
      <c r="I1451" s="10" t="s">
        <v>793</v>
      </c>
      <c r="J1451" s="10" t="s">
        <v>1004</v>
      </c>
    </row>
    <row r="1452" spans="1:10" ht="15" hidden="1" customHeight="1">
      <c r="A1452" s="9">
        <v>1448</v>
      </c>
      <c r="B1452" s="10" t="s">
        <v>3821</v>
      </c>
      <c r="C1452" s="10" t="s">
        <v>3822</v>
      </c>
      <c r="D1452" s="10" t="s">
        <v>1004</v>
      </c>
      <c r="E1452" s="10" t="s">
        <v>2471</v>
      </c>
      <c r="F1452" s="10" t="s">
        <v>794</v>
      </c>
      <c r="G1452" s="10" t="s">
        <v>2463</v>
      </c>
      <c r="H1452" s="10" t="s">
        <v>1479</v>
      </c>
      <c r="I1452" s="10" t="s">
        <v>793</v>
      </c>
      <c r="J1452" s="10" t="s">
        <v>2672</v>
      </c>
    </row>
    <row r="1453" spans="1:10" ht="15" hidden="1" customHeight="1">
      <c r="A1453" s="9">
        <v>1449</v>
      </c>
      <c r="B1453" s="10" t="s">
        <v>3823</v>
      </c>
      <c r="C1453" s="10" t="s">
        <v>3824</v>
      </c>
      <c r="D1453" s="10" t="s">
        <v>1004</v>
      </c>
      <c r="E1453" s="10" t="s">
        <v>2471</v>
      </c>
      <c r="F1453" s="10" t="s">
        <v>794</v>
      </c>
      <c r="G1453" s="10" t="s">
        <v>2463</v>
      </c>
      <c r="H1453" s="10" t="s">
        <v>1479</v>
      </c>
      <c r="I1453" s="10" t="s">
        <v>793</v>
      </c>
      <c r="J1453" s="10" t="s">
        <v>2672</v>
      </c>
    </row>
    <row r="1454" spans="1:10" ht="15" hidden="1" customHeight="1">
      <c r="A1454" s="9">
        <v>1450</v>
      </c>
      <c r="B1454" s="10" t="s">
        <v>3825</v>
      </c>
      <c r="C1454" s="10" t="s">
        <v>3826</v>
      </c>
      <c r="D1454" s="10" t="s">
        <v>1004</v>
      </c>
      <c r="E1454" s="10" t="s">
        <v>2471</v>
      </c>
      <c r="F1454" s="10" t="s">
        <v>794</v>
      </c>
      <c r="G1454" s="10" t="s">
        <v>2463</v>
      </c>
      <c r="H1454" s="10" t="s">
        <v>1479</v>
      </c>
      <c r="I1454" s="10" t="s">
        <v>793</v>
      </c>
      <c r="J1454" s="10" t="s">
        <v>2672</v>
      </c>
    </row>
    <row r="1455" spans="1:10" ht="15" hidden="1" customHeight="1">
      <c r="A1455" s="9">
        <v>1451</v>
      </c>
      <c r="B1455" s="10" t="s">
        <v>3827</v>
      </c>
      <c r="C1455" s="10" t="s">
        <v>3828</v>
      </c>
      <c r="D1455" s="10" t="s">
        <v>1004</v>
      </c>
      <c r="E1455" s="10" t="s">
        <v>2471</v>
      </c>
      <c r="F1455" s="10" t="s">
        <v>794</v>
      </c>
      <c r="G1455" s="10" t="s">
        <v>2463</v>
      </c>
      <c r="H1455" s="10" t="s">
        <v>1479</v>
      </c>
      <c r="I1455" s="10" t="s">
        <v>793</v>
      </c>
      <c r="J1455" s="10" t="s">
        <v>2672</v>
      </c>
    </row>
    <row r="1456" spans="1:10" ht="15" hidden="1" customHeight="1">
      <c r="A1456" s="9">
        <v>1452</v>
      </c>
      <c r="B1456" s="10" t="s">
        <v>3829</v>
      </c>
      <c r="C1456" s="10" t="s">
        <v>3830</v>
      </c>
      <c r="D1456" s="10" t="s">
        <v>1004</v>
      </c>
      <c r="E1456" s="10" t="s">
        <v>2471</v>
      </c>
      <c r="F1456" s="10" t="s">
        <v>794</v>
      </c>
      <c r="G1456" s="10" t="s">
        <v>2463</v>
      </c>
      <c r="H1456" s="10" t="s">
        <v>1479</v>
      </c>
      <c r="I1456" s="10" t="s">
        <v>793</v>
      </c>
      <c r="J1456" s="10" t="s">
        <v>2672</v>
      </c>
    </row>
    <row r="1457" spans="1:10" ht="15" hidden="1" customHeight="1">
      <c r="A1457" s="9">
        <v>1453</v>
      </c>
      <c r="B1457" s="10" t="s">
        <v>3831</v>
      </c>
      <c r="C1457" s="10" t="s">
        <v>3832</v>
      </c>
      <c r="D1457" s="10" t="s">
        <v>1004</v>
      </c>
      <c r="E1457" s="10" t="s">
        <v>2471</v>
      </c>
      <c r="F1457" s="10" t="s">
        <v>794</v>
      </c>
      <c r="G1457" s="10" t="s">
        <v>2463</v>
      </c>
      <c r="H1457" s="10" t="s">
        <v>1479</v>
      </c>
      <c r="I1457" s="10" t="s">
        <v>793</v>
      </c>
      <c r="J1457" s="10" t="s">
        <v>119</v>
      </c>
    </row>
    <row r="1458" spans="1:10" ht="15" hidden="1" customHeight="1">
      <c r="A1458" s="9">
        <v>1454</v>
      </c>
      <c r="B1458" s="10" t="s">
        <v>3833</v>
      </c>
      <c r="C1458" s="10" t="s">
        <v>3834</v>
      </c>
      <c r="D1458" s="10" t="s">
        <v>1004</v>
      </c>
      <c r="E1458" s="10" t="s">
        <v>2471</v>
      </c>
      <c r="F1458" s="10" t="s">
        <v>794</v>
      </c>
      <c r="G1458" s="10" t="s">
        <v>2463</v>
      </c>
      <c r="H1458" s="10" t="s">
        <v>1479</v>
      </c>
      <c r="I1458" s="10" t="s">
        <v>793</v>
      </c>
      <c r="J1458" s="10" t="s">
        <v>2672</v>
      </c>
    </row>
    <row r="1459" spans="1:10" ht="15" hidden="1" customHeight="1">
      <c r="A1459" s="9">
        <v>1455</v>
      </c>
      <c r="B1459" s="10" t="s">
        <v>3835</v>
      </c>
      <c r="C1459" s="10" t="s">
        <v>3836</v>
      </c>
      <c r="D1459" s="10" t="s">
        <v>1004</v>
      </c>
      <c r="E1459" s="10" t="s">
        <v>2471</v>
      </c>
      <c r="F1459" s="10" t="s">
        <v>794</v>
      </c>
      <c r="G1459" s="10" t="s">
        <v>2463</v>
      </c>
      <c r="H1459" s="10" t="s">
        <v>1479</v>
      </c>
      <c r="I1459" s="10" t="s">
        <v>793</v>
      </c>
      <c r="J1459" s="10" t="s">
        <v>1004</v>
      </c>
    </row>
    <row r="1460" spans="1:10" ht="15" hidden="1" customHeight="1">
      <c r="A1460" s="9">
        <v>1456</v>
      </c>
      <c r="B1460" s="10" t="s">
        <v>3837</v>
      </c>
      <c r="C1460" s="10" t="s">
        <v>3838</v>
      </c>
      <c r="D1460" s="10" t="s">
        <v>1004</v>
      </c>
      <c r="E1460" s="10" t="s">
        <v>2471</v>
      </c>
      <c r="F1460" s="10" t="s">
        <v>794</v>
      </c>
      <c r="G1460" s="10" t="s">
        <v>2463</v>
      </c>
      <c r="H1460" s="10" t="s">
        <v>1479</v>
      </c>
      <c r="I1460" s="10" t="s">
        <v>793</v>
      </c>
      <c r="J1460" s="10" t="s">
        <v>1004</v>
      </c>
    </row>
    <row r="1461" spans="1:10" ht="15" hidden="1" customHeight="1">
      <c r="A1461" s="9">
        <v>1457</v>
      </c>
      <c r="B1461" s="10" t="s">
        <v>3839</v>
      </c>
      <c r="C1461" s="10" t="s">
        <v>3840</v>
      </c>
      <c r="D1461" s="10" t="s">
        <v>1004</v>
      </c>
      <c r="E1461" s="10" t="s">
        <v>2471</v>
      </c>
      <c r="F1461" s="10" t="s">
        <v>794</v>
      </c>
      <c r="G1461" s="10" t="s">
        <v>2463</v>
      </c>
      <c r="H1461" s="10" t="s">
        <v>1479</v>
      </c>
      <c r="I1461" s="10" t="s">
        <v>793</v>
      </c>
      <c r="J1461" s="10" t="s">
        <v>1004</v>
      </c>
    </row>
    <row r="1462" spans="1:10" ht="15" hidden="1" customHeight="1">
      <c r="A1462" s="9">
        <v>1458</v>
      </c>
      <c r="B1462" s="10" t="s">
        <v>3841</v>
      </c>
      <c r="C1462" s="10" t="s">
        <v>3842</v>
      </c>
      <c r="D1462" s="10" t="s">
        <v>1004</v>
      </c>
      <c r="E1462" s="10" t="s">
        <v>2471</v>
      </c>
      <c r="F1462" s="10" t="s">
        <v>794</v>
      </c>
      <c r="G1462" s="10" t="s">
        <v>2463</v>
      </c>
      <c r="H1462" s="10" t="s">
        <v>1479</v>
      </c>
      <c r="I1462" s="10" t="s">
        <v>793</v>
      </c>
      <c r="J1462" s="10" t="s">
        <v>1004</v>
      </c>
    </row>
    <row r="1463" spans="1:10" ht="15" hidden="1" customHeight="1">
      <c r="A1463" s="9">
        <v>1459</v>
      </c>
      <c r="B1463" s="10" t="s">
        <v>3843</v>
      </c>
      <c r="C1463" s="10" t="s">
        <v>3844</v>
      </c>
      <c r="D1463" s="10" t="s">
        <v>1004</v>
      </c>
      <c r="E1463" s="10" t="s">
        <v>2471</v>
      </c>
      <c r="F1463" s="10" t="s">
        <v>794</v>
      </c>
      <c r="G1463" s="10" t="s">
        <v>2463</v>
      </c>
      <c r="H1463" s="10" t="s">
        <v>1479</v>
      </c>
      <c r="I1463" s="10" t="s">
        <v>794</v>
      </c>
      <c r="J1463" s="10" t="s">
        <v>1004</v>
      </c>
    </row>
    <row r="1464" spans="1:10" ht="15" hidden="1" customHeight="1">
      <c r="A1464" s="9">
        <v>1460</v>
      </c>
      <c r="B1464" s="10" t="s">
        <v>3845</v>
      </c>
      <c r="C1464" s="10" t="s">
        <v>3846</v>
      </c>
      <c r="D1464" s="10" t="s">
        <v>1004</v>
      </c>
      <c r="E1464" s="10" t="s">
        <v>2475</v>
      </c>
      <c r="F1464" s="10" t="s">
        <v>794</v>
      </c>
      <c r="G1464" s="10" t="s">
        <v>2469</v>
      </c>
      <c r="H1464" s="10" t="s">
        <v>1479</v>
      </c>
      <c r="I1464" s="10" t="s">
        <v>793</v>
      </c>
      <c r="J1464" s="10" t="s">
        <v>1004</v>
      </c>
    </row>
    <row r="1465" spans="1:10" ht="15" hidden="1" customHeight="1">
      <c r="A1465" s="9">
        <v>1461</v>
      </c>
      <c r="B1465" s="10" t="s">
        <v>3847</v>
      </c>
      <c r="C1465" s="10" t="s">
        <v>3848</v>
      </c>
      <c r="D1465" s="10" t="s">
        <v>1004</v>
      </c>
      <c r="E1465" s="10" t="s">
        <v>2475</v>
      </c>
      <c r="F1465" s="10" t="s">
        <v>794</v>
      </c>
      <c r="G1465" s="10" t="s">
        <v>2469</v>
      </c>
      <c r="H1465" s="10" t="s">
        <v>1479</v>
      </c>
      <c r="I1465" s="10" t="s">
        <v>793</v>
      </c>
      <c r="J1465" s="10" t="s">
        <v>1004</v>
      </c>
    </row>
    <row r="1466" spans="1:10" ht="15" hidden="1" customHeight="1">
      <c r="A1466" s="9">
        <v>1462</v>
      </c>
      <c r="B1466" s="10" t="s">
        <v>3849</v>
      </c>
      <c r="C1466" s="10" t="s">
        <v>3850</v>
      </c>
      <c r="D1466" s="10" t="s">
        <v>1004</v>
      </c>
      <c r="E1466" s="10" t="s">
        <v>2475</v>
      </c>
      <c r="F1466" s="10" t="s">
        <v>794</v>
      </c>
      <c r="G1466" s="10" t="s">
        <v>2469</v>
      </c>
      <c r="H1466" s="10" t="s">
        <v>1479</v>
      </c>
      <c r="I1466" s="10" t="s">
        <v>793</v>
      </c>
      <c r="J1466" s="10" t="s">
        <v>1004</v>
      </c>
    </row>
    <row r="1467" spans="1:10" ht="15" hidden="1" customHeight="1">
      <c r="A1467" s="9">
        <v>1463</v>
      </c>
      <c r="B1467" s="10" t="s">
        <v>3851</v>
      </c>
      <c r="C1467" s="10" t="s">
        <v>3852</v>
      </c>
      <c r="D1467" s="10" t="s">
        <v>1004</v>
      </c>
      <c r="E1467" s="10" t="s">
        <v>2475</v>
      </c>
      <c r="F1467" s="10" t="s">
        <v>794</v>
      </c>
      <c r="G1467" s="10" t="s">
        <v>2469</v>
      </c>
      <c r="H1467" s="10" t="s">
        <v>1479</v>
      </c>
      <c r="I1467" s="10" t="s">
        <v>793</v>
      </c>
      <c r="J1467" s="10" t="s">
        <v>1004</v>
      </c>
    </row>
    <row r="1468" spans="1:10" ht="15" hidden="1" customHeight="1">
      <c r="A1468" s="9">
        <v>1464</v>
      </c>
      <c r="B1468" s="10" t="s">
        <v>3853</v>
      </c>
      <c r="C1468" s="10" t="s">
        <v>3854</v>
      </c>
      <c r="D1468" s="10" t="s">
        <v>1004</v>
      </c>
      <c r="E1468" s="10" t="s">
        <v>2475</v>
      </c>
      <c r="F1468" s="10" t="s">
        <v>794</v>
      </c>
      <c r="G1468" s="10" t="s">
        <v>2469</v>
      </c>
      <c r="H1468" s="10" t="s">
        <v>1479</v>
      </c>
      <c r="I1468" s="10" t="s">
        <v>793</v>
      </c>
      <c r="J1468" s="10" t="s">
        <v>1004</v>
      </c>
    </row>
    <row r="1469" spans="1:10" ht="15" hidden="1" customHeight="1">
      <c r="A1469" s="9">
        <v>1465</v>
      </c>
      <c r="B1469" s="10" t="s">
        <v>3855</v>
      </c>
      <c r="C1469" s="10" t="s">
        <v>3856</v>
      </c>
      <c r="D1469" s="10" t="s">
        <v>1004</v>
      </c>
      <c r="E1469" s="10" t="s">
        <v>2475</v>
      </c>
      <c r="F1469" s="10" t="s">
        <v>794</v>
      </c>
      <c r="G1469" s="10" t="s">
        <v>2469</v>
      </c>
      <c r="H1469" s="10" t="s">
        <v>1479</v>
      </c>
      <c r="I1469" s="10" t="s">
        <v>793</v>
      </c>
      <c r="J1469" s="10" t="s">
        <v>1004</v>
      </c>
    </row>
    <row r="1470" spans="1:10" ht="15" hidden="1" customHeight="1">
      <c r="A1470" s="9">
        <v>1466</v>
      </c>
      <c r="B1470" s="10" t="s">
        <v>3857</v>
      </c>
      <c r="C1470" s="10" t="s">
        <v>3858</v>
      </c>
      <c r="D1470" s="10" t="s">
        <v>1004</v>
      </c>
      <c r="E1470" s="10" t="s">
        <v>2475</v>
      </c>
      <c r="F1470" s="10" t="s">
        <v>794</v>
      </c>
      <c r="G1470" s="10" t="s">
        <v>2469</v>
      </c>
      <c r="H1470" s="10" t="s">
        <v>1479</v>
      </c>
      <c r="I1470" s="10" t="s">
        <v>793</v>
      </c>
      <c r="J1470" s="10" t="s">
        <v>1004</v>
      </c>
    </row>
    <row r="1471" spans="1:10" ht="15" hidden="1" customHeight="1">
      <c r="A1471" s="9">
        <v>1467</v>
      </c>
      <c r="B1471" s="10" t="s">
        <v>3859</v>
      </c>
      <c r="C1471" s="10" t="s">
        <v>3860</v>
      </c>
      <c r="D1471" s="10" t="s">
        <v>1004</v>
      </c>
      <c r="E1471" s="10" t="s">
        <v>2475</v>
      </c>
      <c r="F1471" s="10" t="s">
        <v>794</v>
      </c>
      <c r="G1471" s="10" t="s">
        <v>2469</v>
      </c>
      <c r="H1471" s="10" t="s">
        <v>1479</v>
      </c>
      <c r="I1471" s="10" t="s">
        <v>793</v>
      </c>
      <c r="J1471" s="10" t="s">
        <v>1004</v>
      </c>
    </row>
    <row r="1472" spans="1:10" ht="15" hidden="1" customHeight="1">
      <c r="A1472" s="9">
        <v>1468</v>
      </c>
      <c r="B1472" s="10" t="s">
        <v>3861</v>
      </c>
      <c r="C1472" s="10" t="s">
        <v>3862</v>
      </c>
      <c r="D1472" s="10" t="s">
        <v>1004</v>
      </c>
      <c r="E1472" s="10" t="s">
        <v>2475</v>
      </c>
      <c r="F1472" s="10" t="s">
        <v>794</v>
      </c>
      <c r="G1472" s="10" t="s">
        <v>2469</v>
      </c>
      <c r="H1472" s="10" t="s">
        <v>1479</v>
      </c>
      <c r="I1472" s="10" t="s">
        <v>793</v>
      </c>
      <c r="J1472" s="10" t="s">
        <v>1004</v>
      </c>
    </row>
    <row r="1473" spans="1:10" ht="15" hidden="1" customHeight="1">
      <c r="A1473" s="9">
        <v>1469</v>
      </c>
      <c r="B1473" s="10" t="s">
        <v>3863</v>
      </c>
      <c r="C1473" s="10" t="s">
        <v>3864</v>
      </c>
      <c r="D1473" s="10" t="s">
        <v>1004</v>
      </c>
      <c r="E1473" s="10" t="s">
        <v>2475</v>
      </c>
      <c r="F1473" s="10" t="s">
        <v>794</v>
      </c>
      <c r="G1473" s="10" t="s">
        <v>2469</v>
      </c>
      <c r="H1473" s="10" t="s">
        <v>1479</v>
      </c>
      <c r="I1473" s="10" t="s">
        <v>793</v>
      </c>
      <c r="J1473" s="10" t="s">
        <v>1004</v>
      </c>
    </row>
    <row r="1474" spans="1:10" ht="15" hidden="1" customHeight="1">
      <c r="A1474" s="9">
        <v>1470</v>
      </c>
      <c r="B1474" s="10" t="s">
        <v>3865</v>
      </c>
      <c r="C1474" s="10" t="s">
        <v>3866</v>
      </c>
      <c r="D1474" s="10" t="s">
        <v>1004</v>
      </c>
      <c r="E1474" s="10" t="s">
        <v>2475</v>
      </c>
      <c r="F1474" s="10" t="s">
        <v>794</v>
      </c>
      <c r="G1474" s="10" t="s">
        <v>2469</v>
      </c>
      <c r="H1474" s="10" t="s">
        <v>1479</v>
      </c>
      <c r="I1474" s="10" t="s">
        <v>793</v>
      </c>
      <c r="J1474" s="10" t="s">
        <v>1004</v>
      </c>
    </row>
    <row r="1475" spans="1:10" ht="15" hidden="1" customHeight="1">
      <c r="A1475" s="9">
        <v>1471</v>
      </c>
      <c r="B1475" s="10" t="s">
        <v>3867</v>
      </c>
      <c r="C1475" s="10" t="s">
        <v>3868</v>
      </c>
      <c r="D1475" s="10" t="s">
        <v>1004</v>
      </c>
      <c r="E1475" s="10" t="s">
        <v>2475</v>
      </c>
      <c r="F1475" s="10" t="s">
        <v>794</v>
      </c>
      <c r="G1475" s="10" t="s">
        <v>2469</v>
      </c>
      <c r="H1475" s="10" t="s">
        <v>1479</v>
      </c>
      <c r="I1475" s="10" t="s">
        <v>793</v>
      </c>
      <c r="J1475" s="10" t="s">
        <v>1004</v>
      </c>
    </row>
    <row r="1476" spans="1:10" ht="15" hidden="1" customHeight="1">
      <c r="A1476" s="9">
        <v>1472</v>
      </c>
      <c r="B1476" s="10" t="s">
        <v>3869</v>
      </c>
      <c r="C1476" s="10" t="s">
        <v>3870</v>
      </c>
      <c r="D1476" s="10" t="s">
        <v>1004</v>
      </c>
      <c r="E1476" s="10" t="s">
        <v>2501</v>
      </c>
      <c r="F1476" s="10" t="s">
        <v>794</v>
      </c>
      <c r="G1476" s="10" t="s">
        <v>2482</v>
      </c>
      <c r="H1476" s="10" t="s">
        <v>1479</v>
      </c>
      <c r="I1476" s="10" t="s">
        <v>793</v>
      </c>
      <c r="J1476" s="10" t="s">
        <v>1004</v>
      </c>
    </row>
    <row r="1477" spans="1:10" ht="15" hidden="1" customHeight="1">
      <c r="A1477" s="9">
        <v>1473</v>
      </c>
      <c r="B1477" s="10" t="s">
        <v>3871</v>
      </c>
      <c r="C1477" s="10" t="s">
        <v>3872</v>
      </c>
      <c r="D1477" s="10" t="s">
        <v>1004</v>
      </c>
      <c r="E1477" s="10" t="s">
        <v>2501</v>
      </c>
      <c r="F1477" s="10" t="s">
        <v>794</v>
      </c>
      <c r="G1477" s="10" t="s">
        <v>2482</v>
      </c>
      <c r="H1477" s="10" t="s">
        <v>1479</v>
      </c>
      <c r="I1477" s="10" t="s">
        <v>793</v>
      </c>
      <c r="J1477" s="10" t="s">
        <v>1004</v>
      </c>
    </row>
    <row r="1478" spans="1:10" ht="15" hidden="1" customHeight="1">
      <c r="A1478" s="9">
        <v>1474</v>
      </c>
      <c r="B1478" s="10" t="s">
        <v>3873</v>
      </c>
      <c r="C1478" s="10" t="s">
        <v>3874</v>
      </c>
      <c r="D1478" s="10" t="s">
        <v>1004</v>
      </c>
      <c r="E1478" s="10" t="s">
        <v>2501</v>
      </c>
      <c r="F1478" s="10" t="s">
        <v>794</v>
      </c>
      <c r="G1478" s="10" t="s">
        <v>2482</v>
      </c>
      <c r="H1478" s="10" t="s">
        <v>1479</v>
      </c>
      <c r="I1478" s="10" t="s">
        <v>793</v>
      </c>
      <c r="J1478" s="10" t="s">
        <v>1004</v>
      </c>
    </row>
    <row r="1479" spans="1:10" ht="15" hidden="1" customHeight="1">
      <c r="A1479" s="9">
        <v>1475</v>
      </c>
      <c r="B1479" s="10" t="s">
        <v>3875</v>
      </c>
      <c r="C1479" s="10" t="s">
        <v>3876</v>
      </c>
      <c r="D1479" s="10" t="s">
        <v>1004</v>
      </c>
      <c r="E1479" s="10" t="s">
        <v>2501</v>
      </c>
      <c r="F1479" s="10" t="s">
        <v>794</v>
      </c>
      <c r="G1479" s="10" t="s">
        <v>2482</v>
      </c>
      <c r="H1479" s="10" t="s">
        <v>1479</v>
      </c>
      <c r="I1479" s="10" t="s">
        <v>793</v>
      </c>
      <c r="J1479" s="10" t="s">
        <v>1004</v>
      </c>
    </row>
    <row r="1480" spans="1:10" ht="15" hidden="1" customHeight="1">
      <c r="A1480" s="9">
        <v>1476</v>
      </c>
      <c r="B1480" s="10" t="s">
        <v>3877</v>
      </c>
      <c r="C1480" s="10" t="s">
        <v>3878</v>
      </c>
      <c r="D1480" s="10" t="s">
        <v>1004</v>
      </c>
      <c r="E1480" s="10" t="s">
        <v>2501</v>
      </c>
      <c r="F1480" s="10" t="s">
        <v>794</v>
      </c>
      <c r="G1480" s="10" t="s">
        <v>2482</v>
      </c>
      <c r="H1480" s="10" t="s">
        <v>1479</v>
      </c>
      <c r="I1480" s="10" t="s">
        <v>793</v>
      </c>
      <c r="J1480" s="10" t="s">
        <v>1004</v>
      </c>
    </row>
    <row r="1481" spans="1:10" ht="15" hidden="1" customHeight="1">
      <c r="A1481" s="9">
        <v>1477</v>
      </c>
      <c r="B1481" s="10" t="s">
        <v>3879</v>
      </c>
      <c r="C1481" s="10" t="s">
        <v>3880</v>
      </c>
      <c r="D1481" s="10" t="s">
        <v>1004</v>
      </c>
      <c r="E1481" s="10" t="s">
        <v>2501</v>
      </c>
      <c r="F1481" s="10" t="s">
        <v>794</v>
      </c>
      <c r="G1481" s="10" t="s">
        <v>2482</v>
      </c>
      <c r="H1481" s="10" t="s">
        <v>1479</v>
      </c>
      <c r="I1481" s="10" t="s">
        <v>793</v>
      </c>
      <c r="J1481" s="10" t="s">
        <v>1004</v>
      </c>
    </row>
    <row r="1482" spans="1:10" ht="15" hidden="1" customHeight="1">
      <c r="A1482" s="9">
        <v>1478</v>
      </c>
      <c r="B1482" s="10" t="s">
        <v>3881</v>
      </c>
      <c r="C1482" s="10" t="s">
        <v>3882</v>
      </c>
      <c r="D1482" s="10" t="s">
        <v>1004</v>
      </c>
      <c r="E1482" s="10" t="s">
        <v>2501</v>
      </c>
      <c r="F1482" s="10" t="s">
        <v>794</v>
      </c>
      <c r="G1482" s="10" t="s">
        <v>2482</v>
      </c>
      <c r="H1482" s="10" t="s">
        <v>1479</v>
      </c>
      <c r="I1482" s="10" t="s">
        <v>793</v>
      </c>
      <c r="J1482" s="10" t="s">
        <v>1004</v>
      </c>
    </row>
    <row r="1483" spans="1:10" ht="15" hidden="1" customHeight="1">
      <c r="A1483" s="9">
        <v>1479</v>
      </c>
      <c r="B1483" s="10" t="s">
        <v>3883</v>
      </c>
      <c r="C1483" s="10" t="s">
        <v>3884</v>
      </c>
      <c r="D1483" s="10" t="s">
        <v>1004</v>
      </c>
      <c r="E1483" s="10" t="s">
        <v>2501</v>
      </c>
      <c r="F1483" s="10" t="s">
        <v>794</v>
      </c>
      <c r="G1483" s="10" t="s">
        <v>2482</v>
      </c>
      <c r="H1483" s="10" t="s">
        <v>1479</v>
      </c>
      <c r="I1483" s="10" t="s">
        <v>793</v>
      </c>
      <c r="J1483" s="10" t="s">
        <v>1004</v>
      </c>
    </row>
    <row r="1484" spans="1:10" ht="15" hidden="1" customHeight="1">
      <c r="A1484" s="9">
        <v>1480</v>
      </c>
      <c r="B1484" s="10" t="s">
        <v>3885</v>
      </c>
      <c r="C1484" s="10" t="s">
        <v>3886</v>
      </c>
      <c r="D1484" s="10" t="s">
        <v>1004</v>
      </c>
      <c r="E1484" s="10" t="s">
        <v>2501</v>
      </c>
      <c r="F1484" s="10" t="s">
        <v>794</v>
      </c>
      <c r="G1484" s="10" t="s">
        <v>2482</v>
      </c>
      <c r="H1484" s="10" t="s">
        <v>1479</v>
      </c>
      <c r="I1484" s="10" t="s">
        <v>793</v>
      </c>
      <c r="J1484" s="10" t="s">
        <v>1004</v>
      </c>
    </row>
    <row r="1485" spans="1:10" ht="15" hidden="1" customHeight="1">
      <c r="A1485" s="9">
        <v>1481</v>
      </c>
      <c r="B1485" s="10" t="s">
        <v>3887</v>
      </c>
      <c r="C1485" s="10" t="s">
        <v>3888</v>
      </c>
      <c r="D1485" s="10" t="s">
        <v>1004</v>
      </c>
      <c r="E1485" s="10" t="s">
        <v>2501</v>
      </c>
      <c r="F1485" s="10" t="s">
        <v>794</v>
      </c>
      <c r="G1485" s="10" t="s">
        <v>2482</v>
      </c>
      <c r="H1485" s="10" t="s">
        <v>1479</v>
      </c>
      <c r="I1485" s="10" t="s">
        <v>793</v>
      </c>
      <c r="J1485" s="10" t="s">
        <v>1004</v>
      </c>
    </row>
    <row r="1486" spans="1:10" ht="15" hidden="1" customHeight="1">
      <c r="A1486" s="9">
        <v>1482</v>
      </c>
      <c r="B1486" s="10" t="s">
        <v>3889</v>
      </c>
      <c r="C1486" s="10" t="s">
        <v>3890</v>
      </c>
      <c r="D1486" s="10" t="s">
        <v>1004</v>
      </c>
      <c r="E1486" s="10" t="s">
        <v>2501</v>
      </c>
      <c r="F1486" s="10" t="s">
        <v>794</v>
      </c>
      <c r="G1486" s="10" t="s">
        <v>2482</v>
      </c>
      <c r="H1486" s="10" t="s">
        <v>1479</v>
      </c>
      <c r="I1486" s="10" t="s">
        <v>793</v>
      </c>
      <c r="J1486" s="10" t="s">
        <v>1004</v>
      </c>
    </row>
    <row r="1487" spans="1:10" ht="15" hidden="1" customHeight="1">
      <c r="A1487" s="9">
        <v>1483</v>
      </c>
      <c r="B1487" s="10" t="s">
        <v>3891</v>
      </c>
      <c r="C1487" s="10" t="s">
        <v>3892</v>
      </c>
      <c r="D1487" s="10" t="s">
        <v>1004</v>
      </c>
      <c r="E1487" s="10" t="s">
        <v>2501</v>
      </c>
      <c r="F1487" s="10" t="s">
        <v>794</v>
      </c>
      <c r="G1487" s="10" t="s">
        <v>2482</v>
      </c>
      <c r="H1487" s="10" t="s">
        <v>1479</v>
      </c>
      <c r="I1487" s="10" t="s">
        <v>793</v>
      </c>
      <c r="J1487" s="10" t="s">
        <v>1004</v>
      </c>
    </row>
    <row r="1488" spans="1:10" ht="15" hidden="1" customHeight="1">
      <c r="A1488" s="9">
        <v>1484</v>
      </c>
      <c r="B1488" s="10" t="s">
        <v>3893</v>
      </c>
      <c r="C1488" s="10" t="s">
        <v>3894</v>
      </c>
      <c r="D1488" s="10" t="s">
        <v>1004</v>
      </c>
      <c r="E1488" s="10" t="s">
        <v>2501</v>
      </c>
      <c r="F1488" s="10" t="s">
        <v>794</v>
      </c>
      <c r="G1488" s="10" t="s">
        <v>2482</v>
      </c>
      <c r="H1488" s="10" t="s">
        <v>1479</v>
      </c>
      <c r="I1488" s="10" t="s">
        <v>793</v>
      </c>
      <c r="J1488" s="10" t="s">
        <v>1004</v>
      </c>
    </row>
    <row r="1489" spans="1:10" ht="15" hidden="1" customHeight="1">
      <c r="A1489" s="9">
        <v>1485</v>
      </c>
      <c r="B1489" s="10" t="s">
        <v>3895</v>
      </c>
      <c r="C1489" s="10" t="s">
        <v>3896</v>
      </c>
      <c r="D1489" s="10" t="s">
        <v>1004</v>
      </c>
      <c r="E1489" s="10" t="s">
        <v>2503</v>
      </c>
      <c r="F1489" s="10" t="s">
        <v>794</v>
      </c>
      <c r="G1489" s="10" t="s">
        <v>2485</v>
      </c>
      <c r="H1489" s="10" t="s">
        <v>1479</v>
      </c>
      <c r="I1489" s="10" t="s">
        <v>793</v>
      </c>
      <c r="J1489" s="10" t="s">
        <v>1004</v>
      </c>
    </row>
    <row r="1490" spans="1:10" ht="15" hidden="1" customHeight="1">
      <c r="A1490" s="9">
        <v>1486</v>
      </c>
      <c r="B1490" s="10" t="s">
        <v>3897</v>
      </c>
      <c r="C1490" s="10" t="s">
        <v>3898</v>
      </c>
      <c r="D1490" s="10" t="s">
        <v>1004</v>
      </c>
      <c r="E1490" s="10" t="s">
        <v>2503</v>
      </c>
      <c r="F1490" s="10" t="s">
        <v>794</v>
      </c>
      <c r="G1490" s="10" t="s">
        <v>2485</v>
      </c>
      <c r="H1490" s="10" t="s">
        <v>1479</v>
      </c>
      <c r="I1490" s="10" t="s">
        <v>793</v>
      </c>
      <c r="J1490" s="10" t="s">
        <v>1004</v>
      </c>
    </row>
    <row r="1491" spans="1:10" ht="15" hidden="1" customHeight="1">
      <c r="A1491" s="9">
        <v>1487</v>
      </c>
      <c r="B1491" s="10" t="s">
        <v>3899</v>
      </c>
      <c r="C1491" s="10" t="s">
        <v>3900</v>
      </c>
      <c r="D1491" s="10" t="s">
        <v>1004</v>
      </c>
      <c r="E1491" s="10" t="s">
        <v>2503</v>
      </c>
      <c r="F1491" s="10" t="s">
        <v>794</v>
      </c>
      <c r="G1491" s="10" t="s">
        <v>2485</v>
      </c>
      <c r="H1491" s="10" t="s">
        <v>1479</v>
      </c>
      <c r="I1491" s="10" t="s">
        <v>793</v>
      </c>
      <c r="J1491" s="10" t="s">
        <v>1004</v>
      </c>
    </row>
    <row r="1492" spans="1:10" ht="15" hidden="1" customHeight="1">
      <c r="A1492" s="9">
        <v>1488</v>
      </c>
      <c r="B1492" s="10" t="s">
        <v>3901</v>
      </c>
      <c r="C1492" s="10" t="s">
        <v>3902</v>
      </c>
      <c r="D1492" s="10" t="s">
        <v>1004</v>
      </c>
      <c r="E1492" s="10" t="s">
        <v>2503</v>
      </c>
      <c r="F1492" s="10" t="s">
        <v>794</v>
      </c>
      <c r="G1492" s="10" t="s">
        <v>2485</v>
      </c>
      <c r="H1492" s="10" t="s">
        <v>1479</v>
      </c>
      <c r="I1492" s="10" t="s">
        <v>793</v>
      </c>
      <c r="J1492" s="10" t="s">
        <v>1004</v>
      </c>
    </row>
    <row r="1493" spans="1:10" ht="15" hidden="1" customHeight="1">
      <c r="A1493" s="9">
        <v>1489</v>
      </c>
      <c r="B1493" s="10" t="s">
        <v>3903</v>
      </c>
      <c r="C1493" s="10" t="s">
        <v>3904</v>
      </c>
      <c r="D1493" s="10" t="s">
        <v>1004</v>
      </c>
      <c r="E1493" s="10" t="s">
        <v>2503</v>
      </c>
      <c r="F1493" s="10" t="s">
        <v>794</v>
      </c>
      <c r="G1493" s="10" t="s">
        <v>2485</v>
      </c>
      <c r="H1493" s="10" t="s">
        <v>1479</v>
      </c>
      <c r="I1493" s="10" t="s">
        <v>793</v>
      </c>
      <c r="J1493" s="10" t="s">
        <v>1004</v>
      </c>
    </row>
    <row r="1494" spans="1:10" ht="15" hidden="1" customHeight="1">
      <c r="A1494" s="9">
        <v>1490</v>
      </c>
      <c r="B1494" s="10" t="s">
        <v>3905</v>
      </c>
      <c r="C1494" s="10" t="s">
        <v>3906</v>
      </c>
      <c r="D1494" s="10" t="s">
        <v>1004</v>
      </c>
      <c r="E1494" s="10" t="s">
        <v>2503</v>
      </c>
      <c r="F1494" s="10" t="s">
        <v>794</v>
      </c>
      <c r="G1494" s="10" t="s">
        <v>2485</v>
      </c>
      <c r="H1494" s="10" t="s">
        <v>1479</v>
      </c>
      <c r="I1494" s="10" t="s">
        <v>793</v>
      </c>
      <c r="J1494" s="10" t="s">
        <v>1004</v>
      </c>
    </row>
    <row r="1495" spans="1:10" ht="15" hidden="1" customHeight="1">
      <c r="A1495" s="9">
        <v>1491</v>
      </c>
      <c r="B1495" s="10" t="s">
        <v>3907</v>
      </c>
      <c r="C1495" s="10" t="s">
        <v>3908</v>
      </c>
      <c r="D1495" s="10" t="s">
        <v>1004</v>
      </c>
      <c r="E1495" s="10" t="s">
        <v>2503</v>
      </c>
      <c r="F1495" s="10" t="s">
        <v>794</v>
      </c>
      <c r="G1495" s="10" t="s">
        <v>2485</v>
      </c>
      <c r="H1495" s="10" t="s">
        <v>1479</v>
      </c>
      <c r="I1495" s="10" t="s">
        <v>793</v>
      </c>
      <c r="J1495" s="10" t="s">
        <v>1004</v>
      </c>
    </row>
    <row r="1496" spans="1:10" ht="15" hidden="1" customHeight="1">
      <c r="A1496" s="9">
        <v>1492</v>
      </c>
      <c r="B1496" s="10" t="s">
        <v>3909</v>
      </c>
      <c r="C1496" s="10" t="s">
        <v>3910</v>
      </c>
      <c r="D1496" s="10" t="s">
        <v>1004</v>
      </c>
      <c r="E1496" s="10" t="s">
        <v>2503</v>
      </c>
      <c r="F1496" s="10" t="s">
        <v>794</v>
      </c>
      <c r="G1496" s="10" t="s">
        <v>2485</v>
      </c>
      <c r="H1496" s="10" t="s">
        <v>1479</v>
      </c>
      <c r="I1496" s="10" t="s">
        <v>793</v>
      </c>
      <c r="J1496" s="10" t="s">
        <v>1004</v>
      </c>
    </row>
    <row r="1497" spans="1:10" ht="15" hidden="1" customHeight="1">
      <c r="A1497" s="9">
        <v>1493</v>
      </c>
      <c r="B1497" s="10" t="s">
        <v>3911</v>
      </c>
      <c r="C1497" s="10" t="s">
        <v>3912</v>
      </c>
      <c r="D1497" s="10" t="s">
        <v>1004</v>
      </c>
      <c r="E1497" s="10" t="s">
        <v>2503</v>
      </c>
      <c r="F1497" s="10" t="s">
        <v>794</v>
      </c>
      <c r="G1497" s="10" t="s">
        <v>2485</v>
      </c>
      <c r="H1497" s="10" t="s">
        <v>1479</v>
      </c>
      <c r="I1497" s="10" t="s">
        <v>793</v>
      </c>
      <c r="J1497" s="10" t="s">
        <v>1004</v>
      </c>
    </row>
    <row r="1498" spans="1:10" ht="15" hidden="1" customHeight="1">
      <c r="A1498" s="9">
        <v>1494</v>
      </c>
      <c r="B1498" s="10" t="s">
        <v>3913</v>
      </c>
      <c r="C1498" s="10" t="s">
        <v>3914</v>
      </c>
      <c r="D1498" s="10" t="s">
        <v>1004</v>
      </c>
      <c r="E1498" s="10" t="s">
        <v>2503</v>
      </c>
      <c r="F1498" s="10" t="s">
        <v>794</v>
      </c>
      <c r="G1498" s="10" t="s">
        <v>2485</v>
      </c>
      <c r="H1498" s="10" t="s">
        <v>1479</v>
      </c>
      <c r="I1498" s="10" t="s">
        <v>793</v>
      </c>
      <c r="J1498" s="10" t="s">
        <v>1004</v>
      </c>
    </row>
    <row r="1499" spans="1:10" ht="15" hidden="1" customHeight="1">
      <c r="A1499" s="9">
        <v>1495</v>
      </c>
      <c r="B1499" s="10" t="s">
        <v>3915</v>
      </c>
      <c r="C1499" s="10" t="s">
        <v>3916</v>
      </c>
      <c r="D1499" s="10" t="s">
        <v>1004</v>
      </c>
      <c r="E1499" s="10" t="s">
        <v>2503</v>
      </c>
      <c r="F1499" s="10" t="s">
        <v>794</v>
      </c>
      <c r="G1499" s="10" t="s">
        <v>2485</v>
      </c>
      <c r="H1499" s="10" t="s">
        <v>1479</v>
      </c>
      <c r="I1499" s="10" t="s">
        <v>793</v>
      </c>
      <c r="J1499" s="10" t="s">
        <v>1004</v>
      </c>
    </row>
    <row r="1500" spans="1:10" ht="15" hidden="1" customHeight="1">
      <c r="A1500" s="9">
        <v>1496</v>
      </c>
      <c r="B1500" s="10" t="s">
        <v>3917</v>
      </c>
      <c r="C1500" s="10" t="s">
        <v>3918</v>
      </c>
      <c r="D1500" s="10" t="s">
        <v>1004</v>
      </c>
      <c r="E1500" s="10" t="s">
        <v>2503</v>
      </c>
      <c r="F1500" s="10" t="s">
        <v>794</v>
      </c>
      <c r="G1500" s="10" t="s">
        <v>2485</v>
      </c>
      <c r="H1500" s="10" t="s">
        <v>1479</v>
      </c>
      <c r="I1500" s="10" t="s">
        <v>793</v>
      </c>
      <c r="J1500" s="10" t="s">
        <v>1004</v>
      </c>
    </row>
    <row r="1501" spans="1:10" ht="15" hidden="1" customHeight="1">
      <c r="A1501" s="9">
        <v>1497</v>
      </c>
      <c r="B1501" s="10" t="s">
        <v>3919</v>
      </c>
      <c r="C1501" s="10" t="s">
        <v>3920</v>
      </c>
      <c r="D1501" s="10" t="s">
        <v>1004</v>
      </c>
      <c r="E1501" s="10" t="s">
        <v>2503</v>
      </c>
      <c r="F1501" s="10" t="s">
        <v>794</v>
      </c>
      <c r="G1501" s="10" t="s">
        <v>2485</v>
      </c>
      <c r="H1501" s="10" t="s">
        <v>1479</v>
      </c>
      <c r="I1501" s="10" t="s">
        <v>793</v>
      </c>
      <c r="J1501" s="10" t="s">
        <v>1004</v>
      </c>
    </row>
    <row r="1502" spans="1:10" ht="15" hidden="1" customHeight="1">
      <c r="A1502" s="9">
        <v>1498</v>
      </c>
      <c r="B1502" s="10" t="s">
        <v>3921</v>
      </c>
      <c r="C1502" s="10" t="s">
        <v>3922</v>
      </c>
      <c r="D1502" s="10" t="s">
        <v>1004</v>
      </c>
      <c r="E1502" s="10" t="s">
        <v>2503</v>
      </c>
      <c r="F1502" s="10" t="s">
        <v>794</v>
      </c>
      <c r="G1502" s="10" t="s">
        <v>2485</v>
      </c>
      <c r="H1502" s="10" t="s">
        <v>1479</v>
      </c>
      <c r="I1502" s="10" t="s">
        <v>793</v>
      </c>
      <c r="J1502" s="10" t="s">
        <v>1004</v>
      </c>
    </row>
    <row r="1503" spans="1:10" ht="15" hidden="1" customHeight="1">
      <c r="A1503" s="9">
        <v>1499</v>
      </c>
      <c r="B1503" s="10" t="s">
        <v>3923</v>
      </c>
      <c r="C1503" s="10" t="s">
        <v>3924</v>
      </c>
      <c r="D1503" s="10" t="s">
        <v>1004</v>
      </c>
      <c r="E1503" s="10" t="s">
        <v>2503</v>
      </c>
      <c r="F1503" s="10" t="s">
        <v>794</v>
      </c>
      <c r="G1503" s="10" t="s">
        <v>2485</v>
      </c>
      <c r="H1503" s="10" t="s">
        <v>1479</v>
      </c>
      <c r="I1503" s="10" t="s">
        <v>793</v>
      </c>
      <c r="J1503" s="10" t="s">
        <v>1004</v>
      </c>
    </row>
    <row r="1504" spans="1:10" ht="15" hidden="1" customHeight="1">
      <c r="A1504" s="9">
        <v>1500</v>
      </c>
      <c r="B1504" s="10" t="s">
        <v>3925</v>
      </c>
      <c r="C1504" s="10" t="s">
        <v>3926</v>
      </c>
      <c r="D1504" s="10" t="s">
        <v>1004</v>
      </c>
      <c r="E1504" s="10" t="s">
        <v>2503</v>
      </c>
      <c r="F1504" s="10" t="s">
        <v>794</v>
      </c>
      <c r="G1504" s="10" t="s">
        <v>2485</v>
      </c>
      <c r="H1504" s="10" t="s">
        <v>1479</v>
      </c>
      <c r="I1504" s="10" t="s">
        <v>793</v>
      </c>
      <c r="J1504" s="10" t="s">
        <v>1004</v>
      </c>
    </row>
    <row r="1505" spans="1:10" ht="15" hidden="1" customHeight="1">
      <c r="A1505" s="9">
        <v>1501</v>
      </c>
      <c r="B1505" s="10" t="s">
        <v>3927</v>
      </c>
      <c r="C1505" s="10" t="s">
        <v>3928</v>
      </c>
      <c r="D1505" s="10" t="s">
        <v>1004</v>
      </c>
      <c r="E1505" s="10" t="s">
        <v>2490</v>
      </c>
      <c r="F1505" s="10" t="s">
        <v>794</v>
      </c>
      <c r="G1505" s="10" t="s">
        <v>2488</v>
      </c>
      <c r="H1505" s="10" t="s">
        <v>1479</v>
      </c>
      <c r="I1505" s="10" t="s">
        <v>793</v>
      </c>
      <c r="J1505" s="10" t="s">
        <v>1004</v>
      </c>
    </row>
    <row r="1506" spans="1:10" ht="15" hidden="1" customHeight="1">
      <c r="A1506" s="9">
        <v>1502</v>
      </c>
      <c r="B1506" s="10" t="s">
        <v>3929</v>
      </c>
      <c r="C1506" s="10" t="s">
        <v>3930</v>
      </c>
      <c r="D1506" s="10" t="s">
        <v>1004</v>
      </c>
      <c r="E1506" s="10" t="s">
        <v>2490</v>
      </c>
      <c r="F1506" s="10" t="s">
        <v>794</v>
      </c>
      <c r="G1506" s="10" t="s">
        <v>2488</v>
      </c>
      <c r="H1506" s="10" t="s">
        <v>1479</v>
      </c>
      <c r="I1506" s="10" t="s">
        <v>793</v>
      </c>
      <c r="J1506" s="10" t="s">
        <v>1004</v>
      </c>
    </row>
    <row r="1507" spans="1:10" ht="15" hidden="1" customHeight="1">
      <c r="A1507" s="9">
        <v>1503</v>
      </c>
      <c r="B1507" s="10" t="s">
        <v>3931</v>
      </c>
      <c r="C1507" s="10" t="s">
        <v>3932</v>
      </c>
      <c r="D1507" s="10" t="s">
        <v>1004</v>
      </c>
      <c r="E1507" s="10" t="s">
        <v>2490</v>
      </c>
      <c r="F1507" s="10" t="s">
        <v>794</v>
      </c>
      <c r="G1507" s="10" t="s">
        <v>2488</v>
      </c>
      <c r="H1507" s="10" t="s">
        <v>1479</v>
      </c>
      <c r="I1507" s="10" t="s">
        <v>793</v>
      </c>
      <c r="J1507" s="10" t="s">
        <v>1004</v>
      </c>
    </row>
    <row r="1508" spans="1:10" ht="15" hidden="1" customHeight="1">
      <c r="A1508" s="9">
        <v>1504</v>
      </c>
      <c r="B1508" s="10" t="s">
        <v>3933</v>
      </c>
      <c r="C1508" s="10" t="s">
        <v>3934</v>
      </c>
      <c r="D1508" s="10" t="s">
        <v>1004</v>
      </c>
      <c r="E1508" s="10" t="s">
        <v>2490</v>
      </c>
      <c r="F1508" s="10" t="s">
        <v>794</v>
      </c>
      <c r="G1508" s="10" t="s">
        <v>2488</v>
      </c>
      <c r="H1508" s="10" t="s">
        <v>1479</v>
      </c>
      <c r="I1508" s="10" t="s">
        <v>793</v>
      </c>
      <c r="J1508" s="10" t="s">
        <v>1004</v>
      </c>
    </row>
    <row r="1509" spans="1:10" ht="15" hidden="1" customHeight="1">
      <c r="A1509" s="9">
        <v>1505</v>
      </c>
      <c r="B1509" s="10" t="s">
        <v>3935</v>
      </c>
      <c r="C1509" s="10" t="s">
        <v>3936</v>
      </c>
      <c r="D1509" s="10" t="s">
        <v>1004</v>
      </c>
      <c r="E1509" s="10" t="s">
        <v>2490</v>
      </c>
      <c r="F1509" s="10" t="s">
        <v>794</v>
      </c>
      <c r="G1509" s="10" t="s">
        <v>2488</v>
      </c>
      <c r="H1509" s="10" t="s">
        <v>1479</v>
      </c>
      <c r="I1509" s="10" t="s">
        <v>793</v>
      </c>
      <c r="J1509" s="10" t="s">
        <v>1004</v>
      </c>
    </row>
    <row r="1510" spans="1:10" ht="15" hidden="1" customHeight="1">
      <c r="A1510" s="9">
        <v>1506</v>
      </c>
      <c r="B1510" s="10" t="s">
        <v>3937</v>
      </c>
      <c r="C1510" s="10" t="s">
        <v>3938</v>
      </c>
      <c r="D1510" s="10" t="s">
        <v>1004</v>
      </c>
      <c r="E1510" s="10" t="s">
        <v>2490</v>
      </c>
      <c r="F1510" s="10" t="s">
        <v>794</v>
      </c>
      <c r="G1510" s="10" t="s">
        <v>2488</v>
      </c>
      <c r="H1510" s="10" t="s">
        <v>1479</v>
      </c>
      <c r="I1510" s="10" t="s">
        <v>793</v>
      </c>
      <c r="J1510" s="10" t="s">
        <v>1004</v>
      </c>
    </row>
    <row r="1511" spans="1:10" ht="15" hidden="1" customHeight="1">
      <c r="A1511" s="9">
        <v>1507</v>
      </c>
      <c r="B1511" s="10" t="s">
        <v>3939</v>
      </c>
      <c r="C1511" s="10" t="s">
        <v>3940</v>
      </c>
      <c r="D1511" s="10" t="s">
        <v>1004</v>
      </c>
      <c r="E1511" s="10" t="s">
        <v>2490</v>
      </c>
      <c r="F1511" s="10" t="s">
        <v>794</v>
      </c>
      <c r="G1511" s="10" t="s">
        <v>2488</v>
      </c>
      <c r="H1511" s="10" t="s">
        <v>1479</v>
      </c>
      <c r="I1511" s="10" t="s">
        <v>793</v>
      </c>
      <c r="J1511" s="10" t="s">
        <v>1004</v>
      </c>
    </row>
    <row r="1512" spans="1:10" ht="15" hidden="1" customHeight="1">
      <c r="A1512" s="9">
        <v>1508</v>
      </c>
      <c r="B1512" s="10" t="s">
        <v>3941</v>
      </c>
      <c r="C1512" s="10" t="s">
        <v>3942</v>
      </c>
      <c r="D1512" s="10" t="s">
        <v>1004</v>
      </c>
      <c r="E1512" s="10" t="s">
        <v>2490</v>
      </c>
      <c r="F1512" s="10" t="s">
        <v>794</v>
      </c>
      <c r="G1512" s="10" t="s">
        <v>2488</v>
      </c>
      <c r="H1512" s="10" t="s">
        <v>1479</v>
      </c>
      <c r="I1512" s="10" t="s">
        <v>793</v>
      </c>
      <c r="J1512" s="10" t="s">
        <v>1004</v>
      </c>
    </row>
    <row r="1513" spans="1:10" ht="15" hidden="1" customHeight="1">
      <c r="A1513" s="9">
        <v>1509</v>
      </c>
      <c r="B1513" s="10" t="s">
        <v>3943</v>
      </c>
      <c r="C1513" s="10" t="s">
        <v>3944</v>
      </c>
      <c r="D1513" s="10" t="s">
        <v>1004</v>
      </c>
      <c r="E1513" s="10" t="s">
        <v>2490</v>
      </c>
      <c r="F1513" s="10" t="s">
        <v>794</v>
      </c>
      <c r="G1513" s="10" t="s">
        <v>2488</v>
      </c>
      <c r="H1513" s="10" t="s">
        <v>1479</v>
      </c>
      <c r="I1513" s="10" t="s">
        <v>793</v>
      </c>
      <c r="J1513" s="10" t="s">
        <v>1004</v>
      </c>
    </row>
    <row r="1514" spans="1:10" ht="15" hidden="1" customHeight="1">
      <c r="A1514" s="9">
        <v>1510</v>
      </c>
      <c r="B1514" s="10" t="s">
        <v>3945</v>
      </c>
      <c r="C1514" s="10" t="s">
        <v>3946</v>
      </c>
      <c r="D1514" s="10" t="s">
        <v>1004</v>
      </c>
      <c r="E1514" s="10" t="s">
        <v>2490</v>
      </c>
      <c r="F1514" s="10" t="s">
        <v>794</v>
      </c>
      <c r="G1514" s="10" t="s">
        <v>2488</v>
      </c>
      <c r="H1514" s="10" t="s">
        <v>1479</v>
      </c>
      <c r="I1514" s="10" t="s">
        <v>793</v>
      </c>
      <c r="J1514" s="10" t="s">
        <v>1004</v>
      </c>
    </row>
    <row r="1515" spans="1:10" ht="15" hidden="1" customHeight="1">
      <c r="A1515" s="9">
        <v>1511</v>
      </c>
      <c r="B1515" s="10" t="s">
        <v>3947</v>
      </c>
      <c r="C1515" s="10" t="s">
        <v>3948</v>
      </c>
      <c r="D1515" s="10" t="s">
        <v>1004</v>
      </c>
      <c r="E1515" s="10" t="s">
        <v>2490</v>
      </c>
      <c r="F1515" s="10" t="s">
        <v>794</v>
      </c>
      <c r="G1515" s="10" t="s">
        <v>2488</v>
      </c>
      <c r="H1515" s="10" t="s">
        <v>1479</v>
      </c>
      <c r="I1515" s="10" t="s">
        <v>793</v>
      </c>
      <c r="J1515" s="10" t="s">
        <v>1004</v>
      </c>
    </row>
    <row r="1516" spans="1:10" ht="15" hidden="1" customHeight="1">
      <c r="A1516" s="9">
        <v>1512</v>
      </c>
      <c r="B1516" s="10" t="s">
        <v>3949</v>
      </c>
      <c r="C1516" s="10" t="s">
        <v>3950</v>
      </c>
      <c r="D1516" s="10" t="s">
        <v>1004</v>
      </c>
      <c r="E1516" s="10" t="s">
        <v>2490</v>
      </c>
      <c r="F1516" s="10" t="s">
        <v>794</v>
      </c>
      <c r="G1516" s="10" t="s">
        <v>2488</v>
      </c>
      <c r="H1516" s="10" t="s">
        <v>1479</v>
      </c>
      <c r="I1516" s="10" t="s">
        <v>793</v>
      </c>
      <c r="J1516" s="10" t="s">
        <v>1004</v>
      </c>
    </row>
    <row r="1517" spans="1:10" ht="15" hidden="1" customHeight="1">
      <c r="A1517" s="9">
        <v>1513</v>
      </c>
      <c r="B1517" s="10" t="s">
        <v>3951</v>
      </c>
      <c r="C1517" s="10" t="s">
        <v>3952</v>
      </c>
      <c r="D1517" s="10" t="s">
        <v>1004</v>
      </c>
      <c r="E1517" s="10" t="s">
        <v>2490</v>
      </c>
      <c r="F1517" s="10" t="s">
        <v>794</v>
      </c>
      <c r="G1517" s="10" t="s">
        <v>2488</v>
      </c>
      <c r="H1517" s="10" t="s">
        <v>1479</v>
      </c>
      <c r="I1517" s="10" t="s">
        <v>793</v>
      </c>
      <c r="J1517" s="10" t="s">
        <v>1004</v>
      </c>
    </row>
    <row r="1518" spans="1:10" ht="15" hidden="1" customHeight="1">
      <c r="A1518" s="9">
        <v>1514</v>
      </c>
      <c r="B1518" s="10" t="s">
        <v>3953</v>
      </c>
      <c r="C1518" s="10" t="s">
        <v>3954</v>
      </c>
      <c r="D1518" s="10" t="s">
        <v>1004</v>
      </c>
      <c r="E1518" s="10" t="s">
        <v>2490</v>
      </c>
      <c r="F1518" s="10" t="s">
        <v>794</v>
      </c>
      <c r="G1518" s="10" t="s">
        <v>2488</v>
      </c>
      <c r="H1518" s="10" t="s">
        <v>1479</v>
      </c>
      <c r="I1518" s="10" t="s">
        <v>793</v>
      </c>
      <c r="J1518" s="10" t="s">
        <v>1004</v>
      </c>
    </row>
    <row r="1519" spans="1:10" ht="15" hidden="1" customHeight="1">
      <c r="A1519" s="9">
        <v>1515</v>
      </c>
      <c r="B1519" s="10" t="s">
        <v>3955</v>
      </c>
      <c r="C1519" s="10" t="s">
        <v>3956</v>
      </c>
      <c r="D1519" s="10" t="s">
        <v>1004</v>
      </c>
      <c r="E1519" s="10" t="s">
        <v>2490</v>
      </c>
      <c r="F1519" s="10" t="s">
        <v>794</v>
      </c>
      <c r="G1519" s="10" t="s">
        <v>2488</v>
      </c>
      <c r="H1519" s="10" t="s">
        <v>1479</v>
      </c>
      <c r="I1519" s="10" t="s">
        <v>793</v>
      </c>
      <c r="J1519" s="10" t="s">
        <v>1004</v>
      </c>
    </row>
    <row r="1520" spans="1:10" ht="15" hidden="1" customHeight="1">
      <c r="A1520" s="9">
        <v>1516</v>
      </c>
      <c r="B1520" s="10" t="s">
        <v>3957</v>
      </c>
      <c r="C1520" s="10" t="s">
        <v>3958</v>
      </c>
      <c r="D1520" s="10" t="s">
        <v>1004</v>
      </c>
      <c r="E1520" s="10" t="s">
        <v>2490</v>
      </c>
      <c r="F1520" s="10" t="s">
        <v>794</v>
      </c>
      <c r="G1520" s="10" t="s">
        <v>2488</v>
      </c>
      <c r="H1520" s="10" t="s">
        <v>1479</v>
      </c>
      <c r="I1520" s="10" t="s">
        <v>793</v>
      </c>
      <c r="J1520" s="10" t="s">
        <v>1004</v>
      </c>
    </row>
    <row r="1521" spans="1:10" ht="15" hidden="1" customHeight="1">
      <c r="A1521" s="9">
        <v>1517</v>
      </c>
      <c r="B1521" s="10" t="s">
        <v>3959</v>
      </c>
      <c r="C1521" s="10" t="s">
        <v>3960</v>
      </c>
      <c r="D1521" s="10" t="s">
        <v>1004</v>
      </c>
      <c r="E1521" s="10" t="s">
        <v>2507</v>
      </c>
      <c r="F1521" s="10" t="s">
        <v>794</v>
      </c>
      <c r="G1521" s="10" t="s">
        <v>2494</v>
      </c>
      <c r="H1521" s="10" t="s">
        <v>1479</v>
      </c>
      <c r="I1521" s="10" t="s">
        <v>793</v>
      </c>
      <c r="J1521" s="10" t="s">
        <v>1004</v>
      </c>
    </row>
    <row r="1522" spans="1:10" ht="15" hidden="1" customHeight="1">
      <c r="A1522" s="9">
        <v>1518</v>
      </c>
      <c r="B1522" s="10" t="s">
        <v>3961</v>
      </c>
      <c r="C1522" s="10" t="s">
        <v>3962</v>
      </c>
      <c r="D1522" s="10" t="s">
        <v>1004</v>
      </c>
      <c r="E1522" s="10" t="s">
        <v>2507</v>
      </c>
      <c r="F1522" s="10" t="s">
        <v>794</v>
      </c>
      <c r="G1522" s="10" t="s">
        <v>2494</v>
      </c>
      <c r="H1522" s="10" t="s">
        <v>1479</v>
      </c>
      <c r="I1522" s="10" t="s">
        <v>793</v>
      </c>
      <c r="J1522" s="10" t="s">
        <v>1004</v>
      </c>
    </row>
    <row r="1523" spans="1:10" ht="15" hidden="1" customHeight="1">
      <c r="A1523" s="9">
        <v>1519</v>
      </c>
      <c r="B1523" s="10" t="s">
        <v>3963</v>
      </c>
      <c r="C1523" s="10" t="s">
        <v>3964</v>
      </c>
      <c r="D1523" s="10" t="s">
        <v>1004</v>
      </c>
      <c r="E1523" s="10" t="s">
        <v>2507</v>
      </c>
      <c r="F1523" s="10" t="s">
        <v>794</v>
      </c>
      <c r="G1523" s="10" t="s">
        <v>2494</v>
      </c>
      <c r="H1523" s="10" t="s">
        <v>1479</v>
      </c>
      <c r="I1523" s="10" t="s">
        <v>793</v>
      </c>
      <c r="J1523" s="10" t="s">
        <v>1004</v>
      </c>
    </row>
    <row r="1524" spans="1:10" ht="15" hidden="1" customHeight="1">
      <c r="A1524" s="9">
        <v>1520</v>
      </c>
      <c r="B1524" s="10" t="s">
        <v>3965</v>
      </c>
      <c r="C1524" s="10" t="s">
        <v>3966</v>
      </c>
      <c r="D1524" s="10" t="s">
        <v>1004</v>
      </c>
      <c r="E1524" s="10" t="s">
        <v>2507</v>
      </c>
      <c r="F1524" s="10" t="s">
        <v>794</v>
      </c>
      <c r="G1524" s="10" t="s">
        <v>2494</v>
      </c>
      <c r="H1524" s="10" t="s">
        <v>1479</v>
      </c>
      <c r="I1524" s="10" t="s">
        <v>793</v>
      </c>
      <c r="J1524" s="10" t="s">
        <v>1004</v>
      </c>
    </row>
    <row r="1525" spans="1:10" ht="15" hidden="1" customHeight="1">
      <c r="A1525" s="9">
        <v>1521</v>
      </c>
      <c r="B1525" s="10" t="s">
        <v>3967</v>
      </c>
      <c r="C1525" s="10" t="s">
        <v>3968</v>
      </c>
      <c r="D1525" s="10" t="s">
        <v>1004</v>
      </c>
      <c r="E1525" s="10" t="s">
        <v>2507</v>
      </c>
      <c r="F1525" s="10" t="s">
        <v>794</v>
      </c>
      <c r="G1525" s="10" t="s">
        <v>2494</v>
      </c>
      <c r="H1525" s="10" t="s">
        <v>1479</v>
      </c>
      <c r="I1525" s="10" t="s">
        <v>793</v>
      </c>
      <c r="J1525" s="10" t="s">
        <v>1004</v>
      </c>
    </row>
    <row r="1526" spans="1:10" ht="15" hidden="1" customHeight="1">
      <c r="A1526" s="9">
        <v>1522</v>
      </c>
      <c r="B1526" s="10" t="s">
        <v>3969</v>
      </c>
      <c r="C1526" s="10" t="s">
        <v>3970</v>
      </c>
      <c r="D1526" s="10" t="s">
        <v>1004</v>
      </c>
      <c r="E1526" s="10" t="s">
        <v>2507</v>
      </c>
      <c r="F1526" s="10" t="s">
        <v>794</v>
      </c>
      <c r="G1526" s="10" t="s">
        <v>2494</v>
      </c>
      <c r="H1526" s="10" t="s">
        <v>1479</v>
      </c>
      <c r="I1526" s="10" t="s">
        <v>793</v>
      </c>
      <c r="J1526" s="10" t="s">
        <v>1004</v>
      </c>
    </row>
    <row r="1527" spans="1:10" ht="15" hidden="1" customHeight="1">
      <c r="A1527" s="9">
        <v>1523</v>
      </c>
      <c r="B1527" s="10" t="s">
        <v>3971</v>
      </c>
      <c r="C1527" s="10" t="s">
        <v>3972</v>
      </c>
      <c r="D1527" s="10" t="s">
        <v>1004</v>
      </c>
      <c r="E1527" s="10" t="s">
        <v>2507</v>
      </c>
      <c r="F1527" s="10" t="s">
        <v>794</v>
      </c>
      <c r="G1527" s="10" t="s">
        <v>2494</v>
      </c>
      <c r="H1527" s="10" t="s">
        <v>1479</v>
      </c>
      <c r="I1527" s="10" t="s">
        <v>793</v>
      </c>
      <c r="J1527" s="10" t="s">
        <v>1004</v>
      </c>
    </row>
    <row r="1528" spans="1:10" ht="15" hidden="1" customHeight="1">
      <c r="A1528" s="9">
        <v>1524</v>
      </c>
      <c r="B1528" s="10" t="s">
        <v>3973</v>
      </c>
      <c r="C1528" s="10" t="s">
        <v>3974</v>
      </c>
      <c r="D1528" s="10" t="s">
        <v>1004</v>
      </c>
      <c r="E1528" s="10" t="s">
        <v>2507</v>
      </c>
      <c r="F1528" s="10" t="s">
        <v>794</v>
      </c>
      <c r="G1528" s="10" t="s">
        <v>2494</v>
      </c>
      <c r="H1528" s="10" t="s">
        <v>1479</v>
      </c>
      <c r="I1528" s="10" t="s">
        <v>793</v>
      </c>
      <c r="J1528" s="10" t="s">
        <v>1004</v>
      </c>
    </row>
    <row r="1529" spans="1:10" ht="15" hidden="1" customHeight="1">
      <c r="A1529" s="9">
        <v>1525</v>
      </c>
      <c r="B1529" s="10" t="s">
        <v>3975</v>
      </c>
      <c r="C1529" s="10" t="s">
        <v>3976</v>
      </c>
      <c r="D1529" s="10" t="s">
        <v>1004</v>
      </c>
      <c r="E1529" s="10" t="s">
        <v>2507</v>
      </c>
      <c r="F1529" s="10" t="s">
        <v>794</v>
      </c>
      <c r="G1529" s="10" t="s">
        <v>2494</v>
      </c>
      <c r="H1529" s="10" t="s">
        <v>1479</v>
      </c>
      <c r="I1529" s="10" t="s">
        <v>793</v>
      </c>
      <c r="J1529" s="10" t="s">
        <v>1004</v>
      </c>
    </row>
    <row r="1530" spans="1:10" ht="15" hidden="1" customHeight="1">
      <c r="A1530" s="9">
        <v>1526</v>
      </c>
      <c r="B1530" s="10" t="s">
        <v>3977</v>
      </c>
      <c r="C1530" s="10" t="s">
        <v>3978</v>
      </c>
      <c r="D1530" s="10" t="s">
        <v>1004</v>
      </c>
      <c r="E1530" s="10" t="s">
        <v>2507</v>
      </c>
      <c r="F1530" s="10" t="s">
        <v>794</v>
      </c>
      <c r="G1530" s="10" t="s">
        <v>2494</v>
      </c>
      <c r="H1530" s="10" t="s">
        <v>1479</v>
      </c>
      <c r="I1530" s="10" t="s">
        <v>793</v>
      </c>
      <c r="J1530" s="10" t="s">
        <v>1004</v>
      </c>
    </row>
    <row r="1531" spans="1:10" ht="15" hidden="1" customHeight="1">
      <c r="A1531" s="9">
        <v>1527</v>
      </c>
      <c r="B1531" s="10" t="s">
        <v>3979</v>
      </c>
      <c r="C1531" s="10" t="s">
        <v>3980</v>
      </c>
      <c r="D1531" s="10" t="s">
        <v>1004</v>
      </c>
      <c r="E1531" s="10" t="s">
        <v>2507</v>
      </c>
      <c r="F1531" s="10" t="s">
        <v>794</v>
      </c>
      <c r="G1531" s="10" t="s">
        <v>2494</v>
      </c>
      <c r="H1531" s="10" t="s">
        <v>1479</v>
      </c>
      <c r="I1531" s="10" t="s">
        <v>793</v>
      </c>
      <c r="J1531" s="10" t="s">
        <v>1004</v>
      </c>
    </row>
    <row r="1532" spans="1:10" ht="15" hidden="1" customHeight="1">
      <c r="A1532" s="9">
        <v>1528</v>
      </c>
      <c r="B1532" s="10" t="s">
        <v>3981</v>
      </c>
      <c r="C1532" s="10" t="s">
        <v>3982</v>
      </c>
      <c r="D1532" s="10" t="s">
        <v>1004</v>
      </c>
      <c r="E1532" s="10" t="s">
        <v>2507</v>
      </c>
      <c r="F1532" s="10" t="s">
        <v>794</v>
      </c>
      <c r="G1532" s="10" t="s">
        <v>2494</v>
      </c>
      <c r="H1532" s="10" t="s">
        <v>1479</v>
      </c>
      <c r="I1532" s="10" t="s">
        <v>793</v>
      </c>
      <c r="J1532" s="10" t="s">
        <v>1004</v>
      </c>
    </row>
    <row r="1533" spans="1:10" ht="15" hidden="1" customHeight="1">
      <c r="A1533" s="9">
        <v>1529</v>
      </c>
      <c r="B1533" s="10" t="s">
        <v>3983</v>
      </c>
      <c r="C1533" s="10" t="s">
        <v>3984</v>
      </c>
      <c r="D1533" s="10" t="s">
        <v>1004</v>
      </c>
      <c r="E1533" s="10" t="s">
        <v>2507</v>
      </c>
      <c r="F1533" s="10" t="s">
        <v>794</v>
      </c>
      <c r="G1533" s="10" t="s">
        <v>2494</v>
      </c>
      <c r="H1533" s="10" t="s">
        <v>1479</v>
      </c>
      <c r="I1533" s="10" t="s">
        <v>793</v>
      </c>
      <c r="J1533" s="10" t="s">
        <v>2841</v>
      </c>
    </row>
    <row r="1534" spans="1:10" ht="15" hidden="1" customHeight="1">
      <c r="A1534" s="9">
        <v>1530</v>
      </c>
      <c r="B1534" s="10" t="s">
        <v>3985</v>
      </c>
      <c r="C1534" s="10" t="s">
        <v>3986</v>
      </c>
      <c r="D1534" s="10" t="s">
        <v>1004</v>
      </c>
      <c r="E1534" s="10" t="s">
        <v>2507</v>
      </c>
      <c r="F1534" s="10" t="s">
        <v>794</v>
      </c>
      <c r="G1534" s="10" t="s">
        <v>2494</v>
      </c>
      <c r="H1534" s="10" t="s">
        <v>1479</v>
      </c>
      <c r="I1534" s="10" t="s">
        <v>793</v>
      </c>
      <c r="J1534" s="10" t="s">
        <v>2841</v>
      </c>
    </row>
    <row r="1535" spans="1:10" ht="15" hidden="1" customHeight="1">
      <c r="A1535" s="9">
        <v>1531</v>
      </c>
      <c r="B1535" s="10" t="s">
        <v>3987</v>
      </c>
      <c r="C1535" s="10" t="s">
        <v>3988</v>
      </c>
      <c r="D1535" s="10" t="s">
        <v>1004</v>
      </c>
      <c r="E1535" s="10" t="s">
        <v>2507</v>
      </c>
      <c r="F1535" s="10" t="s">
        <v>794</v>
      </c>
      <c r="G1535" s="10" t="s">
        <v>2494</v>
      </c>
      <c r="H1535" s="10" t="s">
        <v>1479</v>
      </c>
      <c r="I1535" s="10" t="s">
        <v>793</v>
      </c>
      <c r="J1535" s="10" t="s">
        <v>2841</v>
      </c>
    </row>
    <row r="1536" spans="1:10" ht="15" hidden="1" customHeight="1">
      <c r="A1536" s="9">
        <v>1532</v>
      </c>
      <c r="B1536" s="10" t="s">
        <v>3989</v>
      </c>
      <c r="C1536" s="10" t="s">
        <v>3990</v>
      </c>
      <c r="D1536" s="10" t="s">
        <v>1004</v>
      </c>
      <c r="E1536" s="10" t="s">
        <v>2507</v>
      </c>
      <c r="F1536" s="10" t="s">
        <v>794</v>
      </c>
      <c r="G1536" s="10" t="s">
        <v>2494</v>
      </c>
      <c r="H1536" s="10" t="s">
        <v>1479</v>
      </c>
      <c r="I1536" s="10" t="s">
        <v>793</v>
      </c>
      <c r="J1536" s="10" t="s">
        <v>1004</v>
      </c>
    </row>
    <row r="1537" spans="1:10" ht="15" hidden="1" customHeight="1">
      <c r="A1537" s="9">
        <v>1533</v>
      </c>
      <c r="B1537" s="10" t="s">
        <v>3991</v>
      </c>
      <c r="C1537" s="10" t="s">
        <v>3992</v>
      </c>
      <c r="D1537" s="10" t="s">
        <v>1004</v>
      </c>
      <c r="E1537" s="10" t="s">
        <v>2507</v>
      </c>
      <c r="F1537" s="10" t="s">
        <v>794</v>
      </c>
      <c r="G1537" s="10" t="s">
        <v>2494</v>
      </c>
      <c r="H1537" s="10" t="s">
        <v>1479</v>
      </c>
      <c r="I1537" s="10" t="s">
        <v>793</v>
      </c>
      <c r="J1537" s="10" t="s">
        <v>1004</v>
      </c>
    </row>
    <row r="1538" spans="1:10" ht="15" hidden="1" customHeight="1">
      <c r="A1538" s="9">
        <v>1534</v>
      </c>
      <c r="B1538" s="10" t="s">
        <v>3993</v>
      </c>
      <c r="C1538" s="10" t="s">
        <v>3994</v>
      </c>
      <c r="D1538" s="10" t="s">
        <v>1004</v>
      </c>
      <c r="E1538" s="10" t="s">
        <v>2507</v>
      </c>
      <c r="F1538" s="10" t="s">
        <v>794</v>
      </c>
      <c r="G1538" s="10" t="s">
        <v>2494</v>
      </c>
      <c r="H1538" s="10" t="s">
        <v>1479</v>
      </c>
      <c r="I1538" s="10" t="s">
        <v>793</v>
      </c>
      <c r="J1538" s="10" t="s">
        <v>1004</v>
      </c>
    </row>
    <row r="1539" spans="1:10" ht="15" hidden="1" customHeight="1">
      <c r="A1539" s="9">
        <v>1535</v>
      </c>
      <c r="B1539" s="10" t="s">
        <v>3995</v>
      </c>
      <c r="C1539" s="10" t="s">
        <v>3996</v>
      </c>
      <c r="D1539" s="10" t="s">
        <v>1004</v>
      </c>
      <c r="E1539" s="10" t="s">
        <v>2507</v>
      </c>
      <c r="F1539" s="10" t="s">
        <v>794</v>
      </c>
      <c r="G1539" s="10" t="s">
        <v>2494</v>
      </c>
      <c r="H1539" s="10" t="s">
        <v>1479</v>
      </c>
      <c r="I1539" s="10" t="s">
        <v>793</v>
      </c>
      <c r="J1539" s="10" t="s">
        <v>1004</v>
      </c>
    </row>
    <row r="1540" spans="1:10" ht="15" hidden="1" customHeight="1">
      <c r="A1540" s="9">
        <v>1536</v>
      </c>
      <c r="B1540" s="10" t="s">
        <v>3997</v>
      </c>
      <c r="C1540" s="10" t="s">
        <v>3998</v>
      </c>
      <c r="D1540" s="10" t="s">
        <v>1004</v>
      </c>
      <c r="E1540" s="10" t="s">
        <v>2507</v>
      </c>
      <c r="F1540" s="10" t="s">
        <v>794</v>
      </c>
      <c r="G1540" s="10" t="s">
        <v>2494</v>
      </c>
      <c r="H1540" s="10" t="s">
        <v>1479</v>
      </c>
      <c r="I1540" s="10" t="s">
        <v>793</v>
      </c>
      <c r="J1540" s="10" t="s">
        <v>1004</v>
      </c>
    </row>
    <row r="1541" spans="1:10" ht="15" hidden="1" customHeight="1">
      <c r="A1541" s="9">
        <v>1537</v>
      </c>
      <c r="B1541" s="10" t="s">
        <v>3999</v>
      </c>
      <c r="C1541" s="10" t="s">
        <v>4000</v>
      </c>
      <c r="D1541" s="10" t="s">
        <v>1004</v>
      </c>
      <c r="E1541" s="10" t="s">
        <v>2507</v>
      </c>
      <c r="F1541" s="10" t="s">
        <v>794</v>
      </c>
      <c r="G1541" s="10" t="s">
        <v>2494</v>
      </c>
      <c r="H1541" s="10" t="s">
        <v>1479</v>
      </c>
      <c r="I1541" s="10" t="s">
        <v>793</v>
      </c>
      <c r="J1541" s="10" t="s">
        <v>1004</v>
      </c>
    </row>
    <row r="1542" spans="1:10" ht="15" hidden="1" customHeight="1">
      <c r="A1542" s="9">
        <v>1538</v>
      </c>
      <c r="B1542" s="10" t="s">
        <v>4001</v>
      </c>
      <c r="C1542" s="10" t="s">
        <v>4002</v>
      </c>
      <c r="D1542" s="10" t="s">
        <v>1004</v>
      </c>
      <c r="E1542" s="10" t="s">
        <v>2507</v>
      </c>
      <c r="F1542" s="10" t="s">
        <v>794</v>
      </c>
      <c r="G1542" s="10" t="s">
        <v>2494</v>
      </c>
      <c r="H1542" s="10" t="s">
        <v>1479</v>
      </c>
      <c r="I1542" s="10" t="s">
        <v>793</v>
      </c>
      <c r="J1542" s="10" t="s">
        <v>1004</v>
      </c>
    </row>
    <row r="1543" spans="1:10" ht="15" hidden="1" customHeight="1">
      <c r="A1543" s="9">
        <v>1539</v>
      </c>
      <c r="B1543" s="10" t="s">
        <v>4003</v>
      </c>
      <c r="C1543" s="10" t="s">
        <v>4004</v>
      </c>
      <c r="D1543" s="10" t="s">
        <v>1004</v>
      </c>
      <c r="E1543" s="10" t="s">
        <v>2507</v>
      </c>
      <c r="F1543" s="10" t="s">
        <v>794</v>
      </c>
      <c r="G1543" s="10" t="s">
        <v>2494</v>
      </c>
      <c r="H1543" s="10" t="s">
        <v>1479</v>
      </c>
      <c r="I1543" s="10" t="s">
        <v>793</v>
      </c>
      <c r="J1543" s="10" t="s">
        <v>1004</v>
      </c>
    </row>
    <row r="1544" spans="1:10" ht="15" hidden="1" customHeight="1">
      <c r="A1544" s="9">
        <v>1540</v>
      </c>
      <c r="B1544" s="10" t="s">
        <v>4005</v>
      </c>
      <c r="C1544" s="10" t="s">
        <v>4006</v>
      </c>
      <c r="D1544" s="10" t="s">
        <v>1004</v>
      </c>
      <c r="E1544" s="10" t="s">
        <v>2507</v>
      </c>
      <c r="F1544" s="10" t="s">
        <v>794</v>
      </c>
      <c r="G1544" s="10" t="s">
        <v>2494</v>
      </c>
      <c r="H1544" s="10" t="s">
        <v>1479</v>
      </c>
      <c r="I1544" s="10" t="s">
        <v>793</v>
      </c>
      <c r="J1544" s="10" t="s">
        <v>1004</v>
      </c>
    </row>
    <row r="1545" spans="1:10" ht="15" hidden="1" customHeight="1">
      <c r="A1545" s="9">
        <v>1541</v>
      </c>
      <c r="B1545" s="10" t="s">
        <v>4007</v>
      </c>
      <c r="C1545" s="10" t="s">
        <v>4008</v>
      </c>
      <c r="D1545" s="10" t="s">
        <v>1004</v>
      </c>
      <c r="E1545" s="10" t="s">
        <v>2507</v>
      </c>
      <c r="F1545" s="10" t="s">
        <v>794</v>
      </c>
      <c r="G1545" s="10" t="s">
        <v>2494</v>
      </c>
      <c r="H1545" s="10" t="s">
        <v>1479</v>
      </c>
      <c r="I1545" s="10" t="s">
        <v>793</v>
      </c>
      <c r="J1545" s="10" t="s">
        <v>1004</v>
      </c>
    </row>
    <row r="1546" spans="1:10" ht="15" hidden="1" customHeight="1">
      <c r="A1546" s="9">
        <v>1542</v>
      </c>
      <c r="B1546" s="10" t="s">
        <v>4009</v>
      </c>
      <c r="C1546" s="10" t="s">
        <v>4010</v>
      </c>
      <c r="D1546" s="10" t="s">
        <v>1004</v>
      </c>
      <c r="E1546" s="10" t="s">
        <v>2507</v>
      </c>
      <c r="F1546" s="10" t="s">
        <v>794</v>
      </c>
      <c r="G1546" s="10" t="s">
        <v>2494</v>
      </c>
      <c r="H1546" s="10" t="s">
        <v>1479</v>
      </c>
      <c r="I1546" s="10" t="s">
        <v>793</v>
      </c>
      <c r="J1546" s="10" t="s">
        <v>1004</v>
      </c>
    </row>
    <row r="1547" spans="1:10" ht="15" hidden="1" customHeight="1">
      <c r="A1547" s="9">
        <v>1543</v>
      </c>
      <c r="B1547" s="10" t="s">
        <v>4011</v>
      </c>
      <c r="C1547" s="10" t="s">
        <v>4012</v>
      </c>
      <c r="D1547" s="10" t="s">
        <v>1004</v>
      </c>
      <c r="E1547" s="10" t="s">
        <v>2507</v>
      </c>
      <c r="F1547" s="10" t="s">
        <v>794</v>
      </c>
      <c r="G1547" s="10" t="s">
        <v>2494</v>
      </c>
      <c r="H1547" s="10" t="s">
        <v>1479</v>
      </c>
      <c r="I1547" s="10" t="s">
        <v>793</v>
      </c>
      <c r="J1547" s="10" t="s">
        <v>1004</v>
      </c>
    </row>
    <row r="1548" spans="1:10" ht="15" hidden="1" customHeight="1">
      <c r="A1548" s="9">
        <v>1544</v>
      </c>
      <c r="B1548" s="10" t="s">
        <v>4013</v>
      </c>
      <c r="C1548" s="10" t="s">
        <v>4014</v>
      </c>
      <c r="D1548" s="10" t="s">
        <v>1004</v>
      </c>
      <c r="E1548" s="10" t="s">
        <v>2507</v>
      </c>
      <c r="F1548" s="10" t="s">
        <v>794</v>
      </c>
      <c r="G1548" s="10" t="s">
        <v>2494</v>
      </c>
      <c r="H1548" s="10" t="s">
        <v>1479</v>
      </c>
      <c r="I1548" s="10" t="s">
        <v>793</v>
      </c>
      <c r="J1548" s="10" t="s">
        <v>1004</v>
      </c>
    </row>
    <row r="1549" spans="1:10" ht="15" hidden="1" customHeight="1">
      <c r="A1549" s="9">
        <v>1545</v>
      </c>
      <c r="B1549" s="10" t="s">
        <v>4015</v>
      </c>
      <c r="C1549" s="10" t="s">
        <v>4016</v>
      </c>
      <c r="D1549" s="10" t="s">
        <v>1004</v>
      </c>
      <c r="E1549" s="10" t="s">
        <v>2507</v>
      </c>
      <c r="F1549" s="10" t="s">
        <v>794</v>
      </c>
      <c r="G1549" s="10" t="s">
        <v>2494</v>
      </c>
      <c r="H1549" s="10" t="s">
        <v>1479</v>
      </c>
      <c r="I1549" s="10" t="s">
        <v>793</v>
      </c>
      <c r="J1549" s="10" t="s">
        <v>1004</v>
      </c>
    </row>
    <row r="1550" spans="1:10" ht="15" hidden="1" customHeight="1">
      <c r="A1550" s="9">
        <v>1546</v>
      </c>
      <c r="B1550" s="10" t="s">
        <v>4017</v>
      </c>
      <c r="C1550" s="10" t="s">
        <v>4018</v>
      </c>
      <c r="D1550" s="10" t="s">
        <v>1004</v>
      </c>
      <c r="E1550" s="10" t="s">
        <v>2507</v>
      </c>
      <c r="F1550" s="10" t="s">
        <v>794</v>
      </c>
      <c r="G1550" s="10" t="s">
        <v>2494</v>
      </c>
      <c r="H1550" s="10" t="s">
        <v>1479</v>
      </c>
      <c r="I1550" s="10" t="s">
        <v>793</v>
      </c>
      <c r="J1550" s="10" t="s">
        <v>1004</v>
      </c>
    </row>
    <row r="1551" spans="1:10" ht="15" hidden="1" customHeight="1">
      <c r="A1551" s="9">
        <v>1547</v>
      </c>
      <c r="B1551" s="10" t="s">
        <v>4019</v>
      </c>
      <c r="C1551" s="10" t="s">
        <v>4020</v>
      </c>
      <c r="D1551" s="10" t="s">
        <v>1004</v>
      </c>
      <c r="E1551" s="10" t="s">
        <v>2507</v>
      </c>
      <c r="F1551" s="10" t="s">
        <v>794</v>
      </c>
      <c r="G1551" s="10" t="s">
        <v>2494</v>
      </c>
      <c r="H1551" s="10" t="s">
        <v>1479</v>
      </c>
      <c r="I1551" s="10" t="s">
        <v>793</v>
      </c>
      <c r="J1551" s="10" t="s">
        <v>1004</v>
      </c>
    </row>
    <row r="1552" spans="1:10" ht="15" hidden="1" customHeight="1">
      <c r="A1552" s="9">
        <v>1548</v>
      </c>
      <c r="B1552" s="10" t="s">
        <v>4021</v>
      </c>
      <c r="C1552" s="10" t="s">
        <v>4022</v>
      </c>
      <c r="D1552" s="10" t="s">
        <v>1004</v>
      </c>
      <c r="E1552" s="10" t="s">
        <v>2507</v>
      </c>
      <c r="F1552" s="10" t="s">
        <v>794</v>
      </c>
      <c r="G1552" s="10" t="s">
        <v>2494</v>
      </c>
      <c r="H1552" s="10" t="s">
        <v>1479</v>
      </c>
      <c r="I1552" s="10" t="s">
        <v>793</v>
      </c>
      <c r="J1552" s="10" t="s">
        <v>1004</v>
      </c>
    </row>
    <row r="1553" spans="1:10" ht="15" hidden="1" customHeight="1">
      <c r="A1553" s="9">
        <v>1549</v>
      </c>
      <c r="B1553" s="10" t="s">
        <v>4023</v>
      </c>
      <c r="C1553" s="10" t="s">
        <v>4024</v>
      </c>
      <c r="D1553" s="10" t="s">
        <v>1004</v>
      </c>
      <c r="E1553" s="10" t="s">
        <v>2507</v>
      </c>
      <c r="F1553" s="10" t="s">
        <v>794</v>
      </c>
      <c r="G1553" s="10" t="s">
        <v>2494</v>
      </c>
      <c r="H1553" s="10" t="s">
        <v>1479</v>
      </c>
      <c r="I1553" s="10" t="s">
        <v>793</v>
      </c>
      <c r="J1553" s="10" t="s">
        <v>1004</v>
      </c>
    </row>
    <row r="1554" spans="1:10" ht="15" hidden="1" customHeight="1">
      <c r="A1554" s="9">
        <v>1550</v>
      </c>
      <c r="B1554" s="10" t="s">
        <v>4025</v>
      </c>
      <c r="C1554" s="10" t="s">
        <v>4026</v>
      </c>
      <c r="D1554" s="10" t="s">
        <v>1004</v>
      </c>
      <c r="E1554" s="10" t="s">
        <v>2507</v>
      </c>
      <c r="F1554" s="10" t="s">
        <v>794</v>
      </c>
      <c r="G1554" s="10" t="s">
        <v>2494</v>
      </c>
      <c r="H1554" s="10" t="s">
        <v>1479</v>
      </c>
      <c r="I1554" s="10" t="s">
        <v>793</v>
      </c>
      <c r="J1554" s="10" t="s">
        <v>1004</v>
      </c>
    </row>
    <row r="1555" spans="1:10" ht="15" hidden="1" customHeight="1">
      <c r="A1555" s="9">
        <v>1551</v>
      </c>
      <c r="B1555" s="10" t="s">
        <v>4027</v>
      </c>
      <c r="C1555" s="10" t="s">
        <v>4028</v>
      </c>
      <c r="D1555" s="10" t="s">
        <v>1004</v>
      </c>
      <c r="E1555" s="10" t="s">
        <v>2507</v>
      </c>
      <c r="F1555" s="10" t="s">
        <v>794</v>
      </c>
      <c r="G1555" s="10" t="s">
        <v>2494</v>
      </c>
      <c r="H1555" s="10" t="s">
        <v>1479</v>
      </c>
      <c r="I1555" s="10" t="s">
        <v>793</v>
      </c>
      <c r="J1555" s="10" t="s">
        <v>1004</v>
      </c>
    </row>
    <row r="1556" spans="1:10" ht="15" hidden="1" customHeight="1">
      <c r="A1556" s="9">
        <v>1552</v>
      </c>
      <c r="B1556" s="10" t="s">
        <v>4029</v>
      </c>
      <c r="C1556" s="10" t="s">
        <v>4030</v>
      </c>
      <c r="D1556" s="10" t="s">
        <v>1004</v>
      </c>
      <c r="E1556" s="10" t="s">
        <v>2507</v>
      </c>
      <c r="F1556" s="10" t="s">
        <v>794</v>
      </c>
      <c r="G1556" s="10" t="s">
        <v>2494</v>
      </c>
      <c r="H1556" s="10" t="s">
        <v>1479</v>
      </c>
      <c r="I1556" s="10" t="s">
        <v>793</v>
      </c>
      <c r="J1556" s="10" t="s">
        <v>1004</v>
      </c>
    </row>
    <row r="1557" spans="1:10" ht="15" hidden="1" customHeight="1">
      <c r="A1557" s="9">
        <v>1553</v>
      </c>
      <c r="B1557" s="10" t="s">
        <v>4031</v>
      </c>
      <c r="C1557" s="10" t="s">
        <v>4032</v>
      </c>
      <c r="D1557" s="10" t="s">
        <v>1004</v>
      </c>
      <c r="E1557" s="10" t="s">
        <v>2507</v>
      </c>
      <c r="F1557" s="10" t="s">
        <v>794</v>
      </c>
      <c r="G1557" s="10" t="s">
        <v>2494</v>
      </c>
      <c r="H1557" s="10" t="s">
        <v>1479</v>
      </c>
      <c r="I1557" s="10" t="s">
        <v>793</v>
      </c>
      <c r="J1557" s="10" t="s">
        <v>1004</v>
      </c>
    </row>
    <row r="1558" spans="1:10" ht="15" hidden="1" customHeight="1">
      <c r="A1558" s="9">
        <v>1554</v>
      </c>
      <c r="B1558" s="10" t="s">
        <v>4033</v>
      </c>
      <c r="C1558" s="10" t="s">
        <v>4034</v>
      </c>
      <c r="D1558" s="10" t="s">
        <v>1004</v>
      </c>
      <c r="E1558" s="10" t="s">
        <v>2507</v>
      </c>
      <c r="F1558" s="10" t="s">
        <v>794</v>
      </c>
      <c r="G1558" s="10" t="s">
        <v>2494</v>
      </c>
      <c r="H1558" s="10" t="s">
        <v>1479</v>
      </c>
      <c r="I1558" s="10" t="s">
        <v>793</v>
      </c>
      <c r="J1558" s="10" t="s">
        <v>1004</v>
      </c>
    </row>
    <row r="1559" spans="1:10" ht="15" hidden="1" customHeight="1">
      <c r="A1559" s="9">
        <v>1555</v>
      </c>
      <c r="B1559" s="10" t="s">
        <v>4035</v>
      </c>
      <c r="C1559" s="10" t="s">
        <v>4036</v>
      </c>
      <c r="D1559" s="10" t="s">
        <v>1004</v>
      </c>
      <c r="E1559" s="10" t="s">
        <v>2507</v>
      </c>
      <c r="F1559" s="10" t="s">
        <v>794</v>
      </c>
      <c r="G1559" s="10" t="s">
        <v>2494</v>
      </c>
      <c r="H1559" s="10" t="s">
        <v>1479</v>
      </c>
      <c r="I1559" s="10" t="s">
        <v>793</v>
      </c>
      <c r="J1559" s="10" t="s">
        <v>1004</v>
      </c>
    </row>
    <row r="1560" spans="1:10" ht="15" hidden="1" customHeight="1">
      <c r="A1560" s="9">
        <v>1556</v>
      </c>
      <c r="B1560" s="10" t="s">
        <v>4037</v>
      </c>
      <c r="C1560" s="10" t="s">
        <v>4038</v>
      </c>
      <c r="D1560" s="10" t="s">
        <v>1004</v>
      </c>
      <c r="E1560" s="10" t="s">
        <v>2507</v>
      </c>
      <c r="F1560" s="10" t="s">
        <v>794</v>
      </c>
      <c r="G1560" s="10" t="s">
        <v>2494</v>
      </c>
      <c r="H1560" s="10" t="s">
        <v>1479</v>
      </c>
      <c r="I1560" s="10" t="s">
        <v>793</v>
      </c>
      <c r="J1560" s="10" t="s">
        <v>1004</v>
      </c>
    </row>
    <row r="1561" spans="1:10" ht="15" hidden="1" customHeight="1">
      <c r="A1561" s="9">
        <v>1557</v>
      </c>
      <c r="B1561" s="10" t="s">
        <v>4039</v>
      </c>
      <c r="C1561" s="10" t="s">
        <v>4040</v>
      </c>
      <c r="D1561" s="10" t="s">
        <v>1004</v>
      </c>
      <c r="E1561" s="10" t="s">
        <v>2507</v>
      </c>
      <c r="F1561" s="10" t="s">
        <v>794</v>
      </c>
      <c r="G1561" s="10" t="s">
        <v>2494</v>
      </c>
      <c r="H1561" s="10" t="s">
        <v>1479</v>
      </c>
      <c r="I1561" s="10" t="s">
        <v>793</v>
      </c>
      <c r="J1561" s="10" t="s">
        <v>1004</v>
      </c>
    </row>
    <row r="1562" spans="1:10" ht="15" hidden="1" customHeight="1">
      <c r="A1562" s="9">
        <v>1558</v>
      </c>
      <c r="B1562" s="10" t="s">
        <v>4041</v>
      </c>
      <c r="C1562" s="10" t="s">
        <v>4042</v>
      </c>
      <c r="D1562" s="10" t="s">
        <v>1004</v>
      </c>
      <c r="E1562" s="10" t="s">
        <v>2507</v>
      </c>
      <c r="F1562" s="10" t="s">
        <v>794</v>
      </c>
      <c r="G1562" s="10" t="s">
        <v>2494</v>
      </c>
      <c r="H1562" s="10" t="s">
        <v>1479</v>
      </c>
      <c r="I1562" s="10" t="s">
        <v>793</v>
      </c>
      <c r="J1562" s="10" t="s">
        <v>1004</v>
      </c>
    </row>
    <row r="1563" spans="1:10" ht="15" hidden="1" customHeight="1">
      <c r="A1563" s="9">
        <v>1559</v>
      </c>
      <c r="B1563" s="10" t="s">
        <v>4043</v>
      </c>
      <c r="C1563" s="10" t="s">
        <v>4044</v>
      </c>
      <c r="D1563" s="10" t="s">
        <v>1004</v>
      </c>
      <c r="E1563" s="10" t="s">
        <v>2507</v>
      </c>
      <c r="F1563" s="10" t="s">
        <v>794</v>
      </c>
      <c r="G1563" s="10" t="s">
        <v>2494</v>
      </c>
      <c r="H1563" s="10" t="s">
        <v>1479</v>
      </c>
      <c r="I1563" s="10" t="s">
        <v>793</v>
      </c>
      <c r="J1563" s="10" t="s">
        <v>1004</v>
      </c>
    </row>
    <row r="1564" spans="1:10" ht="15" hidden="1" customHeight="1">
      <c r="A1564" s="9">
        <v>1560</v>
      </c>
      <c r="B1564" s="10" t="s">
        <v>4045</v>
      </c>
      <c r="C1564" s="10" t="s">
        <v>4046</v>
      </c>
      <c r="D1564" s="10" t="s">
        <v>1004</v>
      </c>
      <c r="E1564" s="10" t="s">
        <v>2507</v>
      </c>
      <c r="F1564" s="10" t="s">
        <v>794</v>
      </c>
      <c r="G1564" s="10" t="s">
        <v>2494</v>
      </c>
      <c r="H1564" s="10" t="s">
        <v>1479</v>
      </c>
      <c r="I1564" s="10" t="s">
        <v>793</v>
      </c>
      <c r="J1564" s="10" t="s">
        <v>1004</v>
      </c>
    </row>
    <row r="1565" spans="1:10" ht="15" hidden="1" customHeight="1">
      <c r="A1565" s="9">
        <v>1561</v>
      </c>
      <c r="B1565" s="10" t="s">
        <v>4047</v>
      </c>
      <c r="C1565" s="10" t="s">
        <v>4048</v>
      </c>
      <c r="D1565" s="10" t="s">
        <v>1004</v>
      </c>
      <c r="E1565" s="10" t="s">
        <v>2507</v>
      </c>
      <c r="F1565" s="10" t="s">
        <v>794</v>
      </c>
      <c r="G1565" s="10" t="s">
        <v>2494</v>
      </c>
      <c r="H1565" s="10" t="s">
        <v>1479</v>
      </c>
      <c r="I1565" s="10" t="s">
        <v>793</v>
      </c>
      <c r="J1565" s="10" t="s">
        <v>1004</v>
      </c>
    </row>
    <row r="1566" spans="1:10" ht="15" hidden="1" customHeight="1">
      <c r="A1566" s="9">
        <v>1562</v>
      </c>
      <c r="B1566" s="10" t="s">
        <v>4049</v>
      </c>
      <c r="C1566" s="10" t="s">
        <v>4050</v>
      </c>
      <c r="D1566" s="10" t="s">
        <v>1004</v>
      </c>
      <c r="E1566" s="10" t="s">
        <v>2507</v>
      </c>
      <c r="F1566" s="10" t="s">
        <v>794</v>
      </c>
      <c r="G1566" s="10" t="s">
        <v>2494</v>
      </c>
      <c r="H1566" s="10" t="s">
        <v>1479</v>
      </c>
      <c r="I1566" s="10" t="s">
        <v>793</v>
      </c>
      <c r="J1566" s="10" t="s">
        <v>1004</v>
      </c>
    </row>
    <row r="1567" spans="1:10" ht="15" hidden="1" customHeight="1">
      <c r="A1567" s="9">
        <v>1563</v>
      </c>
      <c r="B1567" s="10" t="s">
        <v>4051</v>
      </c>
      <c r="C1567" s="10" t="s">
        <v>4052</v>
      </c>
      <c r="D1567" s="10" t="s">
        <v>1004</v>
      </c>
      <c r="E1567" s="10" t="s">
        <v>2507</v>
      </c>
      <c r="F1567" s="10" t="s">
        <v>794</v>
      </c>
      <c r="G1567" s="10" t="s">
        <v>2494</v>
      </c>
      <c r="H1567" s="10" t="s">
        <v>1479</v>
      </c>
      <c r="I1567" s="10" t="s">
        <v>793</v>
      </c>
      <c r="J1567" s="10" t="s">
        <v>1004</v>
      </c>
    </row>
    <row r="1568" spans="1:10" ht="15" hidden="1" customHeight="1">
      <c r="A1568" s="9">
        <v>1564</v>
      </c>
      <c r="B1568" s="10" t="s">
        <v>4053</v>
      </c>
      <c r="C1568" s="10" t="s">
        <v>4054</v>
      </c>
      <c r="D1568" s="10" t="s">
        <v>1004</v>
      </c>
      <c r="E1568" s="10" t="s">
        <v>2507</v>
      </c>
      <c r="F1568" s="10" t="s">
        <v>794</v>
      </c>
      <c r="G1568" s="10" t="s">
        <v>2494</v>
      </c>
      <c r="H1568" s="10" t="s">
        <v>1479</v>
      </c>
      <c r="I1568" s="10" t="s">
        <v>793</v>
      </c>
      <c r="J1568" s="10" t="s">
        <v>1004</v>
      </c>
    </row>
    <row r="1569" spans="1:10" ht="15" hidden="1" customHeight="1">
      <c r="A1569" s="9">
        <v>1565</v>
      </c>
      <c r="B1569" s="10" t="s">
        <v>4055</v>
      </c>
      <c r="C1569" s="10" t="s">
        <v>4056</v>
      </c>
      <c r="D1569" s="10" t="s">
        <v>1004</v>
      </c>
      <c r="E1569" s="10" t="s">
        <v>2507</v>
      </c>
      <c r="F1569" s="10" t="s">
        <v>794</v>
      </c>
      <c r="G1569" s="10" t="s">
        <v>2494</v>
      </c>
      <c r="H1569" s="10" t="s">
        <v>1479</v>
      </c>
      <c r="I1569" s="10" t="s">
        <v>793</v>
      </c>
      <c r="J1569" s="10" t="s">
        <v>1004</v>
      </c>
    </row>
    <row r="1570" spans="1:10" ht="15" hidden="1" customHeight="1">
      <c r="A1570" s="9">
        <v>1566</v>
      </c>
      <c r="B1570" s="10" t="s">
        <v>4057</v>
      </c>
      <c r="C1570" s="10" t="s">
        <v>4058</v>
      </c>
      <c r="D1570" s="10" t="s">
        <v>1004</v>
      </c>
      <c r="E1570" s="10" t="s">
        <v>2507</v>
      </c>
      <c r="F1570" s="10" t="s">
        <v>794</v>
      </c>
      <c r="G1570" s="10" t="s">
        <v>2494</v>
      </c>
      <c r="H1570" s="10" t="s">
        <v>1479</v>
      </c>
      <c r="I1570" s="10" t="s">
        <v>793</v>
      </c>
      <c r="J1570" s="10" t="s">
        <v>1004</v>
      </c>
    </row>
    <row r="1571" spans="1:10" ht="15" hidden="1" customHeight="1">
      <c r="A1571" s="9">
        <v>1567</v>
      </c>
      <c r="B1571" s="10" t="s">
        <v>4059</v>
      </c>
      <c r="C1571" s="10" t="s">
        <v>4060</v>
      </c>
      <c r="D1571" s="10" t="s">
        <v>1004</v>
      </c>
      <c r="E1571" s="10" t="s">
        <v>2507</v>
      </c>
      <c r="F1571" s="10" t="s">
        <v>794</v>
      </c>
      <c r="G1571" s="10" t="s">
        <v>2494</v>
      </c>
      <c r="H1571" s="10" t="s">
        <v>1479</v>
      </c>
      <c r="I1571" s="10" t="s">
        <v>793</v>
      </c>
      <c r="J1571" s="10" t="s">
        <v>1004</v>
      </c>
    </row>
    <row r="1572" spans="1:10" ht="15" hidden="1" customHeight="1">
      <c r="A1572" s="9">
        <v>1568</v>
      </c>
      <c r="B1572" s="10" t="s">
        <v>4061</v>
      </c>
      <c r="C1572" s="10" t="s">
        <v>4062</v>
      </c>
      <c r="D1572" s="10" t="s">
        <v>1004</v>
      </c>
      <c r="E1572" s="10" t="s">
        <v>2507</v>
      </c>
      <c r="F1572" s="10" t="s">
        <v>794</v>
      </c>
      <c r="G1572" s="10" t="s">
        <v>2494</v>
      </c>
      <c r="H1572" s="10" t="s">
        <v>1479</v>
      </c>
      <c r="I1572" s="10" t="s">
        <v>793</v>
      </c>
      <c r="J1572" s="10" t="s">
        <v>1004</v>
      </c>
    </row>
    <row r="1573" spans="1:10" ht="15" hidden="1" customHeight="1">
      <c r="A1573" s="9">
        <v>1569</v>
      </c>
      <c r="B1573" s="10" t="s">
        <v>4063</v>
      </c>
      <c r="C1573" s="10" t="s">
        <v>4064</v>
      </c>
      <c r="D1573" s="10" t="s">
        <v>1004</v>
      </c>
      <c r="E1573" s="10" t="s">
        <v>2507</v>
      </c>
      <c r="F1573" s="10" t="s">
        <v>794</v>
      </c>
      <c r="G1573" s="10" t="s">
        <v>2494</v>
      </c>
      <c r="H1573" s="10" t="s">
        <v>1479</v>
      </c>
      <c r="I1573" s="10" t="s">
        <v>793</v>
      </c>
      <c r="J1573" s="10" t="s">
        <v>1004</v>
      </c>
    </row>
    <row r="1574" spans="1:10" ht="15" hidden="1" customHeight="1">
      <c r="A1574" s="9">
        <v>1570</v>
      </c>
      <c r="B1574" s="10" t="s">
        <v>4065</v>
      </c>
      <c r="C1574" s="10" t="s">
        <v>4066</v>
      </c>
      <c r="D1574" s="10" t="s">
        <v>1004</v>
      </c>
      <c r="E1574" s="10" t="s">
        <v>2507</v>
      </c>
      <c r="F1574" s="10" t="s">
        <v>794</v>
      </c>
      <c r="G1574" s="10" t="s">
        <v>2494</v>
      </c>
      <c r="H1574" s="10" t="s">
        <v>1479</v>
      </c>
      <c r="I1574" s="10" t="s">
        <v>793</v>
      </c>
      <c r="J1574" s="10" t="s">
        <v>1004</v>
      </c>
    </row>
    <row r="1575" spans="1:10" ht="15" hidden="1" customHeight="1">
      <c r="A1575" s="9">
        <v>1571</v>
      </c>
      <c r="B1575" s="10" t="s">
        <v>4067</v>
      </c>
      <c r="C1575" s="10" t="s">
        <v>4068</v>
      </c>
      <c r="D1575" s="10" t="s">
        <v>1004</v>
      </c>
      <c r="E1575" s="10" t="s">
        <v>2507</v>
      </c>
      <c r="F1575" s="10" t="s">
        <v>794</v>
      </c>
      <c r="G1575" s="10" t="s">
        <v>2494</v>
      </c>
      <c r="H1575" s="10" t="s">
        <v>1479</v>
      </c>
      <c r="I1575" s="10" t="s">
        <v>793</v>
      </c>
      <c r="J1575" s="10" t="s">
        <v>1004</v>
      </c>
    </row>
    <row r="1576" spans="1:10" ht="15" hidden="1" customHeight="1">
      <c r="A1576" s="9">
        <v>1572</v>
      </c>
      <c r="B1576" s="10" t="s">
        <v>4069</v>
      </c>
      <c r="C1576" s="10" t="s">
        <v>4070</v>
      </c>
      <c r="D1576" s="10" t="s">
        <v>1004</v>
      </c>
      <c r="E1576" s="10" t="s">
        <v>2507</v>
      </c>
      <c r="F1576" s="10" t="s">
        <v>794</v>
      </c>
      <c r="G1576" s="10" t="s">
        <v>2494</v>
      </c>
      <c r="H1576" s="10" t="s">
        <v>1479</v>
      </c>
      <c r="I1576" s="10" t="s">
        <v>793</v>
      </c>
      <c r="J1576" s="10" t="s">
        <v>1004</v>
      </c>
    </row>
    <row r="1577" spans="1:10" ht="15" hidden="1" customHeight="1">
      <c r="A1577" s="9">
        <v>1573</v>
      </c>
      <c r="B1577" s="10" t="s">
        <v>4071</v>
      </c>
      <c r="C1577" s="10" t="s">
        <v>4072</v>
      </c>
      <c r="D1577" s="10" t="s">
        <v>1004</v>
      </c>
      <c r="E1577" s="10" t="s">
        <v>2507</v>
      </c>
      <c r="F1577" s="10" t="s">
        <v>794</v>
      </c>
      <c r="G1577" s="10" t="s">
        <v>2494</v>
      </c>
      <c r="H1577" s="10" t="s">
        <v>1479</v>
      </c>
      <c r="I1577" s="10" t="s">
        <v>793</v>
      </c>
      <c r="J1577" s="10" t="s">
        <v>1004</v>
      </c>
    </row>
    <row r="1578" spans="1:10" ht="15" hidden="1" customHeight="1">
      <c r="A1578" s="9">
        <v>1574</v>
      </c>
      <c r="B1578" s="10" t="s">
        <v>4073</v>
      </c>
      <c r="C1578" s="10" t="s">
        <v>4074</v>
      </c>
      <c r="D1578" s="10" t="s">
        <v>1004</v>
      </c>
      <c r="E1578" s="10" t="s">
        <v>2507</v>
      </c>
      <c r="F1578" s="10" t="s">
        <v>794</v>
      </c>
      <c r="G1578" s="10" t="s">
        <v>2494</v>
      </c>
      <c r="H1578" s="10" t="s">
        <v>1479</v>
      </c>
      <c r="I1578" s="10" t="s">
        <v>793</v>
      </c>
      <c r="J1578" s="10" t="s">
        <v>1004</v>
      </c>
    </row>
    <row r="1579" spans="1:10" ht="15" hidden="1" customHeight="1">
      <c r="A1579" s="9">
        <v>1575</v>
      </c>
      <c r="B1579" s="10" t="s">
        <v>4075</v>
      </c>
      <c r="C1579" s="10" t="s">
        <v>4076</v>
      </c>
      <c r="D1579" s="10" t="s">
        <v>1004</v>
      </c>
      <c r="E1579" s="10" t="s">
        <v>2507</v>
      </c>
      <c r="F1579" s="10" t="s">
        <v>794</v>
      </c>
      <c r="G1579" s="10" t="s">
        <v>2494</v>
      </c>
      <c r="H1579" s="10" t="s">
        <v>1479</v>
      </c>
      <c r="I1579" s="10" t="s">
        <v>793</v>
      </c>
      <c r="J1579" s="10" t="s">
        <v>1004</v>
      </c>
    </row>
    <row r="1580" spans="1:10" ht="15" hidden="1" customHeight="1">
      <c r="A1580" s="9">
        <v>1576</v>
      </c>
      <c r="B1580" s="10" t="s">
        <v>4077</v>
      </c>
      <c r="C1580" s="10" t="s">
        <v>4078</v>
      </c>
      <c r="D1580" s="10" t="s">
        <v>1004</v>
      </c>
      <c r="E1580" s="10" t="s">
        <v>2507</v>
      </c>
      <c r="F1580" s="10" t="s">
        <v>794</v>
      </c>
      <c r="G1580" s="10" t="s">
        <v>2494</v>
      </c>
      <c r="H1580" s="10" t="s">
        <v>1479</v>
      </c>
      <c r="I1580" s="10" t="s">
        <v>793</v>
      </c>
      <c r="J1580" s="10" t="s">
        <v>1004</v>
      </c>
    </row>
    <row r="1581" spans="1:10" ht="15" hidden="1" customHeight="1">
      <c r="A1581" s="9">
        <v>1577</v>
      </c>
      <c r="B1581" s="10" t="s">
        <v>4079</v>
      </c>
      <c r="C1581" s="10" t="s">
        <v>4080</v>
      </c>
      <c r="D1581" s="10" t="s">
        <v>1004</v>
      </c>
      <c r="E1581" s="10" t="s">
        <v>2507</v>
      </c>
      <c r="F1581" s="10" t="s">
        <v>794</v>
      </c>
      <c r="G1581" s="10" t="s">
        <v>2494</v>
      </c>
      <c r="H1581" s="10" t="s">
        <v>1479</v>
      </c>
      <c r="I1581" s="10" t="s">
        <v>793</v>
      </c>
      <c r="J1581" s="10" t="s">
        <v>1004</v>
      </c>
    </row>
    <row r="1582" spans="1:10" ht="15" hidden="1" customHeight="1">
      <c r="A1582" s="9">
        <v>1578</v>
      </c>
      <c r="B1582" s="10" t="s">
        <v>4081</v>
      </c>
      <c r="C1582" s="10" t="s">
        <v>4082</v>
      </c>
      <c r="D1582" s="10" t="s">
        <v>1004</v>
      </c>
      <c r="E1582" s="10" t="s">
        <v>2507</v>
      </c>
      <c r="F1582" s="10" t="s">
        <v>794</v>
      </c>
      <c r="G1582" s="10" t="s">
        <v>2494</v>
      </c>
      <c r="H1582" s="10" t="s">
        <v>1479</v>
      </c>
      <c r="I1582" s="10" t="s">
        <v>793</v>
      </c>
      <c r="J1582" s="10" t="s">
        <v>1004</v>
      </c>
    </row>
    <row r="1583" spans="1:10" ht="15" hidden="1" customHeight="1">
      <c r="A1583" s="9">
        <v>1579</v>
      </c>
      <c r="B1583" s="10" t="s">
        <v>4083</v>
      </c>
      <c r="C1583" s="10" t="s">
        <v>4084</v>
      </c>
      <c r="D1583" s="10" t="s">
        <v>1004</v>
      </c>
      <c r="E1583" s="10" t="s">
        <v>2507</v>
      </c>
      <c r="F1583" s="10" t="s">
        <v>794</v>
      </c>
      <c r="G1583" s="10" t="s">
        <v>2494</v>
      </c>
      <c r="H1583" s="10" t="s">
        <v>1479</v>
      </c>
      <c r="I1583" s="10" t="s">
        <v>794</v>
      </c>
      <c r="J1583" s="10" t="s">
        <v>1004</v>
      </c>
    </row>
    <row r="1584" spans="1:10" ht="15" hidden="1" customHeight="1">
      <c r="A1584" s="9">
        <v>1580</v>
      </c>
      <c r="B1584" s="10" t="s">
        <v>4085</v>
      </c>
      <c r="C1584" s="10" t="s">
        <v>4086</v>
      </c>
      <c r="D1584" s="10" t="s">
        <v>1004</v>
      </c>
      <c r="E1584" s="10" t="s">
        <v>2507</v>
      </c>
      <c r="F1584" s="10" t="s">
        <v>794</v>
      </c>
      <c r="G1584" s="10" t="s">
        <v>2494</v>
      </c>
      <c r="H1584" s="10" t="s">
        <v>1479</v>
      </c>
      <c r="I1584" s="10" t="s">
        <v>794</v>
      </c>
      <c r="J1584" s="10" t="s">
        <v>1004</v>
      </c>
    </row>
    <row r="1585" spans="1:10" ht="15" hidden="1" customHeight="1">
      <c r="A1585" s="9">
        <v>1581</v>
      </c>
      <c r="B1585" s="10" t="s">
        <v>4087</v>
      </c>
      <c r="C1585" s="10" t="s">
        <v>4088</v>
      </c>
      <c r="D1585" s="10" t="s">
        <v>1004</v>
      </c>
      <c r="E1585" s="10" t="s">
        <v>2507</v>
      </c>
      <c r="F1585" s="10" t="s">
        <v>794</v>
      </c>
      <c r="G1585" s="10" t="s">
        <v>2494</v>
      </c>
      <c r="H1585" s="10" t="s">
        <v>1479</v>
      </c>
      <c r="I1585" s="10" t="s">
        <v>793</v>
      </c>
      <c r="J1585" s="10" t="s">
        <v>1004</v>
      </c>
    </row>
    <row r="1586" spans="1:10" ht="15" hidden="1" customHeight="1">
      <c r="A1586" s="9">
        <v>1582</v>
      </c>
      <c r="B1586" s="10" t="s">
        <v>4089</v>
      </c>
      <c r="C1586" s="10" t="s">
        <v>4090</v>
      </c>
      <c r="D1586" s="10" t="s">
        <v>1460</v>
      </c>
      <c r="E1586" s="10" t="s">
        <v>2582</v>
      </c>
      <c r="F1586" s="10" t="s">
        <v>794</v>
      </c>
      <c r="G1586" s="10" t="s">
        <v>2514</v>
      </c>
      <c r="H1586" s="10" t="s">
        <v>1479</v>
      </c>
      <c r="I1586" s="10" t="s">
        <v>793</v>
      </c>
      <c r="J1586" s="10" t="s">
        <v>1460</v>
      </c>
    </row>
    <row r="1587" spans="1:10" ht="15" hidden="1" customHeight="1">
      <c r="A1587" s="9">
        <v>1583</v>
      </c>
      <c r="B1587" s="10" t="s">
        <v>4091</v>
      </c>
      <c r="C1587" s="10" t="s">
        <v>4092</v>
      </c>
      <c r="D1587" s="10" t="s">
        <v>1460</v>
      </c>
      <c r="E1587" s="10" t="s">
        <v>2582</v>
      </c>
      <c r="F1587" s="10" t="s">
        <v>794</v>
      </c>
      <c r="G1587" s="10" t="s">
        <v>2514</v>
      </c>
      <c r="H1587" s="10" t="s">
        <v>1479</v>
      </c>
      <c r="I1587" s="10" t="s">
        <v>793</v>
      </c>
      <c r="J1587" s="10" t="s">
        <v>1460</v>
      </c>
    </row>
    <row r="1588" spans="1:10" ht="15" hidden="1" customHeight="1">
      <c r="A1588" s="9">
        <v>1584</v>
      </c>
      <c r="B1588" s="10" t="s">
        <v>4093</v>
      </c>
      <c r="C1588" s="10" t="s">
        <v>4094</v>
      </c>
      <c r="D1588" s="10" t="s">
        <v>1460</v>
      </c>
      <c r="E1588" s="10" t="s">
        <v>2582</v>
      </c>
      <c r="F1588" s="10" t="s">
        <v>794</v>
      </c>
      <c r="G1588" s="10" t="s">
        <v>2514</v>
      </c>
      <c r="H1588" s="10" t="s">
        <v>1479</v>
      </c>
      <c r="I1588" s="10" t="s">
        <v>793</v>
      </c>
      <c r="J1588" s="10" t="s">
        <v>1460</v>
      </c>
    </row>
    <row r="1589" spans="1:10" ht="15" hidden="1" customHeight="1">
      <c r="A1589" s="9">
        <v>1585</v>
      </c>
      <c r="B1589" s="10" t="s">
        <v>4095</v>
      </c>
      <c r="C1589" s="10" t="s">
        <v>4096</v>
      </c>
      <c r="D1589" s="10" t="s">
        <v>1460</v>
      </c>
      <c r="E1589" s="10" t="s">
        <v>2584</v>
      </c>
      <c r="F1589" s="10" t="s">
        <v>794</v>
      </c>
      <c r="G1589" s="10" t="s">
        <v>2517</v>
      </c>
      <c r="H1589" s="10" t="s">
        <v>1479</v>
      </c>
      <c r="I1589" s="10" t="s">
        <v>793</v>
      </c>
      <c r="J1589" s="10" t="s">
        <v>1460</v>
      </c>
    </row>
    <row r="1590" spans="1:10" ht="15" hidden="1" customHeight="1">
      <c r="A1590" s="9">
        <v>1586</v>
      </c>
      <c r="B1590" s="10" t="s">
        <v>4097</v>
      </c>
      <c r="C1590" s="10" t="s">
        <v>4098</v>
      </c>
      <c r="D1590" s="10" t="s">
        <v>1460</v>
      </c>
      <c r="E1590" s="10" t="s">
        <v>2584</v>
      </c>
      <c r="F1590" s="10" t="s">
        <v>794</v>
      </c>
      <c r="G1590" s="10" t="s">
        <v>2517</v>
      </c>
      <c r="H1590" s="10" t="s">
        <v>1479</v>
      </c>
      <c r="I1590" s="10" t="s">
        <v>793</v>
      </c>
      <c r="J1590" s="10" t="s">
        <v>1460</v>
      </c>
    </row>
    <row r="1591" spans="1:10" ht="15" hidden="1" customHeight="1">
      <c r="A1591" s="9">
        <v>1587</v>
      </c>
      <c r="B1591" s="10" t="s">
        <v>4099</v>
      </c>
      <c r="C1591" s="10" t="s">
        <v>4100</v>
      </c>
      <c r="D1591" s="10" t="s">
        <v>1460</v>
      </c>
      <c r="E1591" s="10" t="s">
        <v>2584</v>
      </c>
      <c r="F1591" s="10" t="s">
        <v>794</v>
      </c>
      <c r="G1591" s="10" t="s">
        <v>2517</v>
      </c>
      <c r="H1591" s="10" t="s">
        <v>1479</v>
      </c>
      <c r="I1591" s="10" t="s">
        <v>793</v>
      </c>
      <c r="J1591" s="10" t="s">
        <v>1460</v>
      </c>
    </row>
    <row r="1592" spans="1:10" ht="15" hidden="1" customHeight="1">
      <c r="A1592" s="9">
        <v>1588</v>
      </c>
      <c r="B1592" s="10" t="s">
        <v>4101</v>
      </c>
      <c r="C1592" s="10" t="s">
        <v>4102</v>
      </c>
      <c r="D1592" s="10" t="s">
        <v>1460</v>
      </c>
      <c r="E1592" s="10" t="s">
        <v>2584</v>
      </c>
      <c r="F1592" s="10" t="s">
        <v>794</v>
      </c>
      <c r="G1592" s="10" t="s">
        <v>2517</v>
      </c>
      <c r="H1592" s="10" t="s">
        <v>1479</v>
      </c>
      <c r="I1592" s="10" t="s">
        <v>793</v>
      </c>
      <c r="J1592" s="10" t="s">
        <v>1460</v>
      </c>
    </row>
    <row r="1593" spans="1:10" ht="15" hidden="1" customHeight="1">
      <c r="A1593" s="9">
        <v>1589</v>
      </c>
      <c r="B1593" s="10" t="s">
        <v>4103</v>
      </c>
      <c r="C1593" s="10" t="s">
        <v>4104</v>
      </c>
      <c r="D1593" s="10" t="s">
        <v>1460</v>
      </c>
      <c r="E1593" s="10" t="s">
        <v>2584</v>
      </c>
      <c r="F1593" s="10" t="s">
        <v>794</v>
      </c>
      <c r="G1593" s="10" t="s">
        <v>2517</v>
      </c>
      <c r="H1593" s="10" t="s">
        <v>1479</v>
      </c>
      <c r="I1593" s="10" t="s">
        <v>793</v>
      </c>
      <c r="J1593" s="10" t="s">
        <v>1475</v>
      </c>
    </row>
    <row r="1594" spans="1:10" ht="15" hidden="1" customHeight="1">
      <c r="A1594" s="9">
        <v>1590</v>
      </c>
      <c r="B1594" s="10" t="s">
        <v>4105</v>
      </c>
      <c r="C1594" s="10" t="s">
        <v>4106</v>
      </c>
      <c r="D1594" s="10" t="s">
        <v>1460</v>
      </c>
      <c r="E1594" s="10" t="s">
        <v>2584</v>
      </c>
      <c r="F1594" s="10" t="s">
        <v>794</v>
      </c>
      <c r="G1594" s="10" t="s">
        <v>2517</v>
      </c>
      <c r="H1594" s="10" t="s">
        <v>1479</v>
      </c>
      <c r="I1594" s="10" t="s">
        <v>793</v>
      </c>
      <c r="J1594" s="10" t="s">
        <v>1460</v>
      </c>
    </row>
    <row r="1595" spans="1:10" ht="15" hidden="1" customHeight="1">
      <c r="A1595" s="9">
        <v>1591</v>
      </c>
      <c r="B1595" s="10" t="s">
        <v>4107</v>
      </c>
      <c r="C1595" s="10" t="s">
        <v>4108</v>
      </c>
      <c r="D1595" s="10" t="s">
        <v>1460</v>
      </c>
      <c r="E1595" s="10" t="s">
        <v>2584</v>
      </c>
      <c r="F1595" s="10" t="s">
        <v>794</v>
      </c>
      <c r="G1595" s="10" t="s">
        <v>2517</v>
      </c>
      <c r="H1595" s="10" t="s">
        <v>1479</v>
      </c>
      <c r="I1595" s="10" t="s">
        <v>793</v>
      </c>
      <c r="J1595" s="10" t="s">
        <v>1460</v>
      </c>
    </row>
    <row r="1596" spans="1:10" ht="15" hidden="1" customHeight="1">
      <c r="A1596" s="9">
        <v>1592</v>
      </c>
      <c r="B1596" s="10" t="s">
        <v>4109</v>
      </c>
      <c r="C1596" s="10" t="s">
        <v>4110</v>
      </c>
      <c r="D1596" s="10" t="s">
        <v>1460</v>
      </c>
      <c r="E1596" s="10" t="s">
        <v>2584</v>
      </c>
      <c r="F1596" s="10" t="s">
        <v>794</v>
      </c>
      <c r="G1596" s="10" t="s">
        <v>2517</v>
      </c>
      <c r="H1596" s="10" t="s">
        <v>1479</v>
      </c>
      <c r="I1596" s="10" t="s">
        <v>793</v>
      </c>
      <c r="J1596" s="10" t="s">
        <v>1475</v>
      </c>
    </row>
    <row r="1597" spans="1:10" ht="15" hidden="1" customHeight="1">
      <c r="A1597" s="9">
        <v>1593</v>
      </c>
      <c r="B1597" s="10" t="s">
        <v>4111</v>
      </c>
      <c r="C1597" s="10" t="s">
        <v>4112</v>
      </c>
      <c r="D1597" s="10" t="s">
        <v>1460</v>
      </c>
      <c r="E1597" s="10" t="s">
        <v>2584</v>
      </c>
      <c r="F1597" s="10" t="s">
        <v>794</v>
      </c>
      <c r="G1597" s="10" t="s">
        <v>2517</v>
      </c>
      <c r="H1597" s="10" t="s">
        <v>1479</v>
      </c>
      <c r="I1597" s="10" t="s">
        <v>794</v>
      </c>
      <c r="J1597" s="10" t="s">
        <v>1460</v>
      </c>
    </row>
    <row r="1598" spans="1:10" ht="15" hidden="1" customHeight="1">
      <c r="A1598" s="9">
        <v>1594</v>
      </c>
      <c r="B1598" s="10" t="s">
        <v>4113</v>
      </c>
      <c r="C1598" s="10" t="s">
        <v>4114</v>
      </c>
      <c r="D1598" s="10" t="s">
        <v>1004</v>
      </c>
      <c r="E1598" s="10" t="s">
        <v>2586</v>
      </c>
      <c r="F1598" s="10" t="s">
        <v>794</v>
      </c>
      <c r="G1598" s="10" t="s">
        <v>2998</v>
      </c>
      <c r="H1598" s="10" t="s">
        <v>1479</v>
      </c>
      <c r="I1598" s="10" t="s">
        <v>794</v>
      </c>
      <c r="J1598" s="10" t="s">
        <v>2527</v>
      </c>
    </row>
    <row r="1599" spans="1:10" ht="15" hidden="1" customHeight="1">
      <c r="A1599" s="9">
        <v>1595</v>
      </c>
      <c r="B1599" s="10" t="s">
        <v>4115</v>
      </c>
      <c r="C1599" s="10" t="s">
        <v>4116</v>
      </c>
      <c r="D1599" s="10" t="s">
        <v>1004</v>
      </c>
      <c r="E1599" s="10" t="s">
        <v>2586</v>
      </c>
      <c r="F1599" s="10" t="s">
        <v>794</v>
      </c>
      <c r="G1599" s="10" t="s">
        <v>2998</v>
      </c>
      <c r="H1599" s="10" t="s">
        <v>1479</v>
      </c>
      <c r="I1599" s="10" t="s">
        <v>794</v>
      </c>
      <c r="J1599" s="10" t="s">
        <v>2527</v>
      </c>
    </row>
    <row r="1600" spans="1:10" ht="15" hidden="1" customHeight="1">
      <c r="A1600" s="9">
        <v>1596</v>
      </c>
      <c r="B1600" s="10" t="s">
        <v>4117</v>
      </c>
      <c r="C1600" s="10" t="s">
        <v>4118</v>
      </c>
      <c r="D1600" s="10" t="s">
        <v>1004</v>
      </c>
      <c r="E1600" s="10" t="s">
        <v>2586</v>
      </c>
      <c r="F1600" s="10" t="s">
        <v>794</v>
      </c>
      <c r="G1600" s="10" t="s">
        <v>2998</v>
      </c>
      <c r="H1600" s="10" t="s">
        <v>1479</v>
      </c>
      <c r="I1600" s="10" t="s">
        <v>794</v>
      </c>
      <c r="J1600" s="10" t="s">
        <v>2527</v>
      </c>
    </row>
    <row r="1601" spans="1:10" ht="15" hidden="1" customHeight="1">
      <c r="A1601" s="9">
        <v>1597</v>
      </c>
      <c r="B1601" s="10" t="s">
        <v>4119</v>
      </c>
      <c r="C1601" s="10" t="s">
        <v>4120</v>
      </c>
      <c r="D1601" s="10" t="s">
        <v>1004</v>
      </c>
      <c r="E1601" s="10" t="s">
        <v>2586</v>
      </c>
      <c r="F1601" s="10" t="s">
        <v>794</v>
      </c>
      <c r="G1601" s="10" t="s">
        <v>2998</v>
      </c>
      <c r="H1601" s="10" t="s">
        <v>1479</v>
      </c>
      <c r="I1601" s="10" t="s">
        <v>794</v>
      </c>
      <c r="J1601" s="10" t="s">
        <v>2527</v>
      </c>
    </row>
    <row r="1602" spans="1:10" ht="15" hidden="1" customHeight="1">
      <c r="A1602" s="9">
        <v>1598</v>
      </c>
      <c r="B1602" s="10" t="s">
        <v>4121</v>
      </c>
      <c r="C1602" s="10" t="s">
        <v>4122</v>
      </c>
      <c r="D1602" s="10" t="s">
        <v>1004</v>
      </c>
      <c r="E1602" s="10" t="s">
        <v>2586</v>
      </c>
      <c r="F1602" s="10" t="s">
        <v>794</v>
      </c>
      <c r="G1602" s="10" t="s">
        <v>2998</v>
      </c>
      <c r="H1602" s="10" t="s">
        <v>1479</v>
      </c>
      <c r="I1602" s="10" t="s">
        <v>794</v>
      </c>
      <c r="J1602" s="10" t="s">
        <v>1460</v>
      </c>
    </row>
    <row r="1603" spans="1:10" ht="15" hidden="1" customHeight="1">
      <c r="A1603" s="9">
        <v>1599</v>
      </c>
      <c r="B1603" s="10" t="s">
        <v>4123</v>
      </c>
      <c r="C1603" s="10" t="s">
        <v>4124</v>
      </c>
      <c r="D1603" s="10" t="s">
        <v>1004</v>
      </c>
      <c r="E1603" s="10" t="s">
        <v>2586</v>
      </c>
      <c r="F1603" s="10" t="s">
        <v>794</v>
      </c>
      <c r="G1603" s="10" t="s">
        <v>2998</v>
      </c>
      <c r="H1603" s="10" t="s">
        <v>1479</v>
      </c>
      <c r="I1603" s="10" t="s">
        <v>794</v>
      </c>
      <c r="J1603" s="10" t="s">
        <v>4125</v>
      </c>
    </row>
    <row r="1604" spans="1:10" ht="15" hidden="1" customHeight="1">
      <c r="A1604" s="9">
        <v>1600</v>
      </c>
      <c r="B1604" s="10" t="s">
        <v>4126</v>
      </c>
      <c r="C1604" s="10" t="s">
        <v>4127</v>
      </c>
      <c r="D1604" s="10" t="s">
        <v>1004</v>
      </c>
      <c r="E1604" s="10" t="s">
        <v>2586</v>
      </c>
      <c r="F1604" s="10" t="s">
        <v>794</v>
      </c>
      <c r="G1604" s="10" t="s">
        <v>2998</v>
      </c>
      <c r="H1604" s="10" t="s">
        <v>1479</v>
      </c>
      <c r="I1604" s="10" t="s">
        <v>794</v>
      </c>
      <c r="J1604" s="10" t="s">
        <v>1004</v>
      </c>
    </row>
    <row r="1605" spans="1:10" ht="15" hidden="1" customHeight="1">
      <c r="A1605" s="9">
        <v>1601</v>
      </c>
      <c r="B1605" s="10" t="s">
        <v>4128</v>
      </c>
      <c r="C1605" s="10" t="s">
        <v>4129</v>
      </c>
      <c r="D1605" s="10" t="s">
        <v>1004</v>
      </c>
      <c r="E1605" s="10" t="s">
        <v>2586</v>
      </c>
      <c r="F1605" s="10" t="s">
        <v>794</v>
      </c>
      <c r="G1605" s="10" t="s">
        <v>2998</v>
      </c>
      <c r="H1605" s="10" t="s">
        <v>1479</v>
      </c>
      <c r="I1605" s="10" t="s">
        <v>794</v>
      </c>
      <c r="J1605" s="10" t="s">
        <v>1004</v>
      </c>
    </row>
    <row r="1606" spans="1:10" ht="15" hidden="1" customHeight="1">
      <c r="A1606" s="9">
        <v>1602</v>
      </c>
      <c r="B1606" s="10" t="s">
        <v>4130</v>
      </c>
      <c r="C1606" s="10" t="s">
        <v>4131</v>
      </c>
      <c r="D1606" s="10" t="s">
        <v>1004</v>
      </c>
      <c r="E1606" s="10" t="s">
        <v>2586</v>
      </c>
      <c r="F1606" s="10" t="s">
        <v>794</v>
      </c>
      <c r="G1606" s="10" t="s">
        <v>2998</v>
      </c>
      <c r="H1606" s="10" t="s">
        <v>1479</v>
      </c>
      <c r="I1606" s="10" t="s">
        <v>794</v>
      </c>
      <c r="J1606" s="10" t="s">
        <v>1004</v>
      </c>
    </row>
    <row r="1607" spans="1:10" ht="15" hidden="1" customHeight="1">
      <c r="A1607" s="9">
        <v>1603</v>
      </c>
      <c r="B1607" s="10" t="s">
        <v>4132</v>
      </c>
      <c r="C1607" s="10" t="s">
        <v>4133</v>
      </c>
      <c r="D1607" s="10" t="s">
        <v>1004</v>
      </c>
      <c r="E1607" s="10" t="s">
        <v>2586</v>
      </c>
      <c r="F1607" s="10" t="s">
        <v>794</v>
      </c>
      <c r="G1607" s="10" t="s">
        <v>2998</v>
      </c>
      <c r="H1607" s="10" t="s">
        <v>1479</v>
      </c>
      <c r="I1607" s="10" t="s">
        <v>794</v>
      </c>
      <c r="J1607" s="10" t="s">
        <v>1004</v>
      </c>
    </row>
    <row r="1608" spans="1:10" ht="15" hidden="1" customHeight="1">
      <c r="A1608" s="9">
        <v>1604</v>
      </c>
      <c r="B1608" s="10" t="s">
        <v>4134</v>
      </c>
      <c r="C1608" s="10" t="s">
        <v>4135</v>
      </c>
      <c r="D1608" s="10" t="s">
        <v>1004</v>
      </c>
      <c r="E1608" s="10" t="s">
        <v>2586</v>
      </c>
      <c r="F1608" s="10" t="s">
        <v>794</v>
      </c>
      <c r="G1608" s="10" t="s">
        <v>2998</v>
      </c>
      <c r="H1608" s="10" t="s">
        <v>1479</v>
      </c>
      <c r="I1608" s="10" t="s">
        <v>794</v>
      </c>
      <c r="J1608" s="10" t="s">
        <v>1004</v>
      </c>
    </row>
    <row r="1609" spans="1:10" ht="15" hidden="1" customHeight="1">
      <c r="A1609" s="9">
        <v>1605</v>
      </c>
      <c r="B1609" s="10" t="s">
        <v>4136</v>
      </c>
      <c r="C1609" s="10" t="s">
        <v>4137</v>
      </c>
      <c r="D1609" s="10" t="s">
        <v>1004</v>
      </c>
      <c r="E1609" s="10" t="s">
        <v>2586</v>
      </c>
      <c r="F1609" s="10" t="s">
        <v>794</v>
      </c>
      <c r="G1609" s="10" t="s">
        <v>2998</v>
      </c>
      <c r="H1609" s="10" t="s">
        <v>1479</v>
      </c>
      <c r="I1609" s="10" t="s">
        <v>794</v>
      </c>
      <c r="J1609" s="10" t="s">
        <v>1004</v>
      </c>
    </row>
    <row r="1610" spans="1:10" ht="15" hidden="1" customHeight="1">
      <c r="A1610" s="9">
        <v>1606</v>
      </c>
      <c r="B1610" s="10" t="s">
        <v>4138</v>
      </c>
      <c r="C1610" s="10" t="s">
        <v>4139</v>
      </c>
      <c r="D1610" s="10" t="s">
        <v>1004</v>
      </c>
      <c r="E1610" s="10" t="s">
        <v>2586</v>
      </c>
      <c r="F1610" s="10" t="s">
        <v>794</v>
      </c>
      <c r="G1610" s="10" t="s">
        <v>2998</v>
      </c>
      <c r="H1610" s="10" t="s">
        <v>1479</v>
      </c>
      <c r="I1610" s="10" t="s">
        <v>794</v>
      </c>
      <c r="J1610" s="10" t="s">
        <v>1004</v>
      </c>
    </row>
    <row r="1611" spans="1:10" ht="15" hidden="1" customHeight="1">
      <c r="A1611" s="9">
        <v>1607</v>
      </c>
      <c r="B1611" s="10" t="s">
        <v>4140</v>
      </c>
      <c r="C1611" s="10" t="s">
        <v>4141</v>
      </c>
      <c r="D1611" s="10" t="s">
        <v>1004</v>
      </c>
      <c r="E1611" s="10" t="s">
        <v>2589</v>
      </c>
      <c r="F1611" s="10" t="s">
        <v>794</v>
      </c>
      <c r="G1611" s="10" t="s">
        <v>3039</v>
      </c>
      <c r="H1611" s="10" t="s">
        <v>1479</v>
      </c>
      <c r="I1611" s="10" t="s">
        <v>793</v>
      </c>
      <c r="J1611" s="10" t="s">
        <v>1004</v>
      </c>
    </row>
    <row r="1612" spans="1:10" ht="15" hidden="1" customHeight="1">
      <c r="A1612" s="9">
        <v>1608</v>
      </c>
      <c r="B1612" s="10" t="s">
        <v>4142</v>
      </c>
      <c r="C1612" s="10" t="s">
        <v>4143</v>
      </c>
      <c r="D1612" s="10" t="s">
        <v>1004</v>
      </c>
      <c r="E1612" s="10" t="s">
        <v>2589</v>
      </c>
      <c r="F1612" s="10" t="s">
        <v>794</v>
      </c>
      <c r="G1612" s="10" t="s">
        <v>2538</v>
      </c>
      <c r="H1612" s="10" t="s">
        <v>1479</v>
      </c>
      <c r="I1612" s="10" t="s">
        <v>793</v>
      </c>
      <c r="J1612" s="10" t="s">
        <v>1004</v>
      </c>
    </row>
    <row r="1613" spans="1:10" ht="15" hidden="1" customHeight="1">
      <c r="A1613" s="9">
        <v>1609</v>
      </c>
      <c r="B1613" s="10" t="s">
        <v>4144</v>
      </c>
      <c r="C1613" s="10" t="s">
        <v>4145</v>
      </c>
      <c r="D1613" s="10" t="s">
        <v>1004</v>
      </c>
      <c r="E1613" s="10" t="s">
        <v>2589</v>
      </c>
      <c r="F1613" s="10" t="s">
        <v>794</v>
      </c>
      <c r="G1613" s="10" t="s">
        <v>2538</v>
      </c>
      <c r="H1613" s="10" t="s">
        <v>1479</v>
      </c>
      <c r="I1613" s="10" t="s">
        <v>793</v>
      </c>
      <c r="J1613" s="10" t="s">
        <v>1004</v>
      </c>
    </row>
    <row r="1614" spans="1:10" ht="15" hidden="1" customHeight="1">
      <c r="A1614" s="9">
        <v>1610</v>
      </c>
      <c r="B1614" s="10" t="s">
        <v>4146</v>
      </c>
      <c r="C1614" s="10" t="s">
        <v>4147</v>
      </c>
      <c r="D1614" s="10" t="s">
        <v>1004</v>
      </c>
      <c r="E1614" s="10" t="s">
        <v>2589</v>
      </c>
      <c r="F1614" s="10" t="s">
        <v>794</v>
      </c>
      <c r="G1614" s="10" t="s">
        <v>3033</v>
      </c>
      <c r="H1614" s="10" t="s">
        <v>1479</v>
      </c>
      <c r="I1614" s="10" t="s">
        <v>793</v>
      </c>
      <c r="J1614" s="10" t="s">
        <v>1004</v>
      </c>
    </row>
    <row r="1615" spans="1:10" ht="15" hidden="1" customHeight="1">
      <c r="A1615" s="9">
        <v>1611</v>
      </c>
      <c r="B1615" s="10" t="s">
        <v>4148</v>
      </c>
      <c r="C1615" s="10" t="s">
        <v>4149</v>
      </c>
      <c r="D1615" s="10" t="s">
        <v>1004</v>
      </c>
      <c r="E1615" s="10" t="s">
        <v>2589</v>
      </c>
      <c r="F1615" s="10" t="s">
        <v>794</v>
      </c>
      <c r="G1615" s="10" t="s">
        <v>3036</v>
      </c>
      <c r="H1615" s="10" t="s">
        <v>1479</v>
      </c>
      <c r="I1615" s="10" t="s">
        <v>793</v>
      </c>
      <c r="J1615" s="10" t="s">
        <v>1004</v>
      </c>
    </row>
    <row r="1616" spans="1:10" ht="15" hidden="1" customHeight="1">
      <c r="A1616" s="9">
        <v>1612</v>
      </c>
      <c r="B1616" s="10" t="s">
        <v>4150</v>
      </c>
      <c r="C1616" s="10" t="s">
        <v>4151</v>
      </c>
      <c r="D1616" s="10" t="s">
        <v>1004</v>
      </c>
      <c r="E1616" s="10" t="s">
        <v>2589</v>
      </c>
      <c r="F1616" s="10" t="s">
        <v>794</v>
      </c>
      <c r="G1616" s="10" t="s">
        <v>3039</v>
      </c>
      <c r="H1616" s="10" t="s">
        <v>1479</v>
      </c>
      <c r="I1616" s="10" t="s">
        <v>793</v>
      </c>
      <c r="J1616" s="10" t="s">
        <v>1004</v>
      </c>
    </row>
    <row r="1617" spans="1:10" ht="15" hidden="1" customHeight="1">
      <c r="A1617" s="9">
        <v>1613</v>
      </c>
      <c r="B1617" s="10" t="s">
        <v>4152</v>
      </c>
      <c r="C1617" s="10" t="s">
        <v>4153</v>
      </c>
      <c r="D1617" s="10" t="s">
        <v>1004</v>
      </c>
      <c r="E1617" s="10" t="s">
        <v>2591</v>
      </c>
      <c r="F1617" s="10" t="s">
        <v>794</v>
      </c>
      <c r="G1617" s="10" t="s">
        <v>3058</v>
      </c>
      <c r="H1617" s="10" t="s">
        <v>1479</v>
      </c>
      <c r="I1617" s="10" t="s">
        <v>793</v>
      </c>
      <c r="J1617" s="10" t="s">
        <v>1004</v>
      </c>
    </row>
    <row r="1618" spans="1:10" ht="15" hidden="1" customHeight="1">
      <c r="A1618" s="9">
        <v>1614</v>
      </c>
      <c r="B1618" s="10" t="s">
        <v>4154</v>
      </c>
      <c r="C1618" s="10" t="s">
        <v>4155</v>
      </c>
      <c r="D1618" s="10" t="s">
        <v>1004</v>
      </c>
      <c r="E1618" s="10" t="s">
        <v>2591</v>
      </c>
      <c r="F1618" s="10" t="s">
        <v>794</v>
      </c>
      <c r="G1618" s="10" t="s">
        <v>2549</v>
      </c>
      <c r="H1618" s="10" t="s">
        <v>1479</v>
      </c>
      <c r="I1618" s="10" t="s">
        <v>793</v>
      </c>
      <c r="J1618" s="10" t="s">
        <v>1004</v>
      </c>
    </row>
    <row r="1619" spans="1:10" ht="15" hidden="1" customHeight="1">
      <c r="A1619" s="9">
        <v>1615</v>
      </c>
      <c r="B1619" s="10" t="s">
        <v>4156</v>
      </c>
      <c r="C1619" s="10" t="s">
        <v>4157</v>
      </c>
      <c r="D1619" s="10" t="s">
        <v>1004</v>
      </c>
      <c r="E1619" s="10" t="s">
        <v>2587</v>
      </c>
      <c r="F1619" s="10" t="s">
        <v>794</v>
      </c>
      <c r="G1619" s="10" t="s">
        <v>2577</v>
      </c>
      <c r="H1619" s="10" t="s">
        <v>1479</v>
      </c>
      <c r="I1619" s="10" t="s">
        <v>793</v>
      </c>
      <c r="J1619" s="10" t="s">
        <v>1004</v>
      </c>
    </row>
    <row r="1620" spans="1:10" ht="15" hidden="1" customHeight="1">
      <c r="A1620" s="9">
        <v>1616</v>
      </c>
      <c r="B1620" s="10" t="s">
        <v>4158</v>
      </c>
      <c r="C1620" s="10" t="s">
        <v>4159</v>
      </c>
      <c r="D1620" s="10" t="s">
        <v>792</v>
      </c>
      <c r="E1620" s="10"/>
      <c r="F1620" s="10" t="s">
        <v>793</v>
      </c>
      <c r="G1620" s="10"/>
      <c r="H1620" s="10"/>
      <c r="I1620" s="10" t="s">
        <v>794</v>
      </c>
      <c r="J1620" s="10" t="s">
        <v>795</v>
      </c>
    </row>
    <row r="1621" spans="1:10" ht="15" hidden="1" customHeight="1">
      <c r="A1621" s="9">
        <v>1617</v>
      </c>
      <c r="B1621" s="10" t="s">
        <v>4160</v>
      </c>
      <c r="C1621" s="10" t="s">
        <v>4161</v>
      </c>
      <c r="D1621" s="10" t="s">
        <v>792</v>
      </c>
      <c r="E1621" s="10" t="s">
        <v>4162</v>
      </c>
      <c r="F1621" s="10" t="s">
        <v>793</v>
      </c>
      <c r="G1621" s="10" t="s">
        <v>880</v>
      </c>
      <c r="H1621" s="10" t="s">
        <v>802</v>
      </c>
      <c r="I1621" s="10" t="s">
        <v>794</v>
      </c>
      <c r="J1621" s="10" t="s">
        <v>920</v>
      </c>
    </row>
    <row r="1622" spans="1:10" ht="15" hidden="1" customHeight="1">
      <c r="A1622" s="9">
        <v>1618</v>
      </c>
      <c r="B1622" s="10" t="s">
        <v>4163</v>
      </c>
      <c r="C1622" s="10" t="s">
        <v>4164</v>
      </c>
      <c r="D1622" s="10" t="s">
        <v>792</v>
      </c>
      <c r="E1622" s="10" t="s">
        <v>4161</v>
      </c>
      <c r="F1622" s="10" t="s">
        <v>794</v>
      </c>
      <c r="G1622" s="10" t="s">
        <v>880</v>
      </c>
      <c r="H1622" s="10" t="s">
        <v>802</v>
      </c>
      <c r="I1622" s="10" t="s">
        <v>794</v>
      </c>
      <c r="J1622" s="10" t="s">
        <v>920</v>
      </c>
    </row>
    <row r="1623" spans="1:10" ht="15" hidden="1" customHeight="1">
      <c r="A1623" s="9">
        <v>1619</v>
      </c>
      <c r="B1623" s="10" t="s">
        <v>4165</v>
      </c>
      <c r="C1623" s="10" t="s">
        <v>4166</v>
      </c>
      <c r="D1623" s="10" t="s">
        <v>792</v>
      </c>
      <c r="E1623" s="10" t="s">
        <v>4161</v>
      </c>
      <c r="F1623" s="10" t="s">
        <v>794</v>
      </c>
      <c r="G1623" s="10" t="s">
        <v>880</v>
      </c>
      <c r="H1623" s="10" t="s">
        <v>802</v>
      </c>
      <c r="I1623" s="10" t="s">
        <v>794</v>
      </c>
      <c r="J1623" s="10" t="s">
        <v>920</v>
      </c>
    </row>
    <row r="1624" spans="1:10" ht="15" hidden="1" customHeight="1">
      <c r="A1624" s="9">
        <v>1620</v>
      </c>
      <c r="B1624" s="10" t="s">
        <v>4167</v>
      </c>
      <c r="C1624" s="10" t="s">
        <v>4168</v>
      </c>
      <c r="D1624" s="10" t="s">
        <v>792</v>
      </c>
      <c r="E1624" s="10" t="s">
        <v>4161</v>
      </c>
      <c r="F1624" s="10" t="s">
        <v>794</v>
      </c>
      <c r="G1624" s="10" t="s">
        <v>880</v>
      </c>
      <c r="H1624" s="10" t="s">
        <v>802</v>
      </c>
      <c r="I1624" s="10" t="s">
        <v>794</v>
      </c>
      <c r="J1624" s="10" t="s">
        <v>920</v>
      </c>
    </row>
    <row r="1625" spans="1:10" ht="15" hidden="1" customHeight="1">
      <c r="A1625" s="9">
        <v>1621</v>
      </c>
      <c r="B1625" s="10" t="s">
        <v>4169</v>
      </c>
      <c r="C1625" s="10" t="s">
        <v>4170</v>
      </c>
      <c r="D1625" s="10" t="s">
        <v>792</v>
      </c>
      <c r="E1625" s="10" t="s">
        <v>4161</v>
      </c>
      <c r="F1625" s="10" t="s">
        <v>794</v>
      </c>
      <c r="G1625" s="10" t="s">
        <v>880</v>
      </c>
      <c r="H1625" s="10" t="s">
        <v>802</v>
      </c>
      <c r="I1625" s="10" t="s">
        <v>794</v>
      </c>
      <c r="J1625" s="10" t="s">
        <v>920</v>
      </c>
    </row>
    <row r="1626" spans="1:10" ht="15" hidden="1" customHeight="1">
      <c r="A1626" s="9">
        <v>1622</v>
      </c>
      <c r="B1626" s="10" t="s">
        <v>4171</v>
      </c>
      <c r="C1626" s="10" t="s">
        <v>4172</v>
      </c>
      <c r="D1626" s="10" t="s">
        <v>792</v>
      </c>
      <c r="E1626" s="10" t="s">
        <v>4161</v>
      </c>
      <c r="F1626" s="10" t="s">
        <v>794</v>
      </c>
      <c r="G1626" s="10" t="s">
        <v>880</v>
      </c>
      <c r="H1626" s="10" t="s">
        <v>802</v>
      </c>
      <c r="I1626" s="10" t="s">
        <v>794</v>
      </c>
      <c r="J1626" s="10" t="s">
        <v>920</v>
      </c>
    </row>
    <row r="1627" spans="1:10" ht="15" hidden="1" customHeight="1">
      <c r="A1627" s="9">
        <v>1623</v>
      </c>
      <c r="B1627" s="10" t="s">
        <v>4173</v>
      </c>
      <c r="C1627" s="10" t="s">
        <v>4174</v>
      </c>
      <c r="D1627" s="10" t="s">
        <v>792</v>
      </c>
      <c r="E1627" s="10" t="s">
        <v>4161</v>
      </c>
      <c r="F1627" s="10" t="s">
        <v>794</v>
      </c>
      <c r="G1627" s="10" t="s">
        <v>880</v>
      </c>
      <c r="H1627" s="10" t="s">
        <v>802</v>
      </c>
      <c r="I1627" s="10" t="s">
        <v>794</v>
      </c>
      <c r="J1627" s="10" t="s">
        <v>920</v>
      </c>
    </row>
    <row r="1628" spans="1:10" ht="15" hidden="1" customHeight="1">
      <c r="A1628" s="9">
        <v>1624</v>
      </c>
      <c r="B1628" s="10" t="s">
        <v>4175</v>
      </c>
      <c r="C1628" s="10" t="s">
        <v>4176</v>
      </c>
      <c r="D1628" s="10" t="s">
        <v>792</v>
      </c>
      <c r="E1628" s="10" t="s">
        <v>4162</v>
      </c>
      <c r="F1628" s="10" t="s">
        <v>793</v>
      </c>
      <c r="G1628" s="10" t="s">
        <v>880</v>
      </c>
      <c r="H1628" s="10" t="s">
        <v>802</v>
      </c>
      <c r="I1628" s="10" t="s">
        <v>794</v>
      </c>
      <c r="J1628" s="10" t="s">
        <v>920</v>
      </c>
    </row>
    <row r="1629" spans="1:10" ht="15" hidden="1" customHeight="1">
      <c r="A1629" s="9">
        <v>1625</v>
      </c>
      <c r="B1629" s="10" t="s">
        <v>4177</v>
      </c>
      <c r="C1629" s="10" t="s">
        <v>4178</v>
      </c>
      <c r="D1629" s="10" t="s">
        <v>792</v>
      </c>
      <c r="E1629" s="10" t="s">
        <v>4176</v>
      </c>
      <c r="F1629" s="10" t="s">
        <v>794</v>
      </c>
      <c r="G1629" s="10" t="s">
        <v>880</v>
      </c>
      <c r="H1629" s="10" t="s">
        <v>802</v>
      </c>
      <c r="I1629" s="10" t="s">
        <v>794</v>
      </c>
      <c r="J1629" s="10" t="s">
        <v>920</v>
      </c>
    </row>
    <row r="1630" spans="1:10" ht="15" hidden="1" customHeight="1">
      <c r="A1630" s="9">
        <v>1626</v>
      </c>
      <c r="B1630" s="10" t="s">
        <v>4179</v>
      </c>
      <c r="C1630" s="10" t="s">
        <v>4180</v>
      </c>
      <c r="D1630" s="10" t="s">
        <v>792</v>
      </c>
      <c r="E1630" s="10" t="s">
        <v>4176</v>
      </c>
      <c r="F1630" s="10" t="s">
        <v>794</v>
      </c>
      <c r="G1630" s="10" t="s">
        <v>880</v>
      </c>
      <c r="H1630" s="10" t="s">
        <v>802</v>
      </c>
      <c r="I1630" s="10" t="s">
        <v>794</v>
      </c>
      <c r="J1630" s="10" t="s">
        <v>920</v>
      </c>
    </row>
    <row r="1631" spans="1:10" ht="15" hidden="1" customHeight="1">
      <c r="A1631" s="9">
        <v>1627</v>
      </c>
      <c r="B1631" s="10" t="s">
        <v>4181</v>
      </c>
      <c r="C1631" s="10" t="s">
        <v>4182</v>
      </c>
      <c r="D1631" s="10" t="s">
        <v>792</v>
      </c>
      <c r="E1631" s="10" t="s">
        <v>4176</v>
      </c>
      <c r="F1631" s="10" t="s">
        <v>794</v>
      </c>
      <c r="G1631" s="10" t="s">
        <v>880</v>
      </c>
      <c r="H1631" s="10" t="s">
        <v>802</v>
      </c>
      <c r="I1631" s="10" t="s">
        <v>794</v>
      </c>
      <c r="J1631" s="10" t="s">
        <v>920</v>
      </c>
    </row>
    <row r="1632" spans="1:10" ht="15" hidden="1" customHeight="1">
      <c r="A1632" s="9">
        <v>1628</v>
      </c>
      <c r="B1632" s="10" t="s">
        <v>4183</v>
      </c>
      <c r="C1632" s="10" t="s">
        <v>4184</v>
      </c>
      <c r="D1632" s="10" t="s">
        <v>792</v>
      </c>
      <c r="E1632" s="10" t="s">
        <v>4176</v>
      </c>
      <c r="F1632" s="10" t="s">
        <v>794</v>
      </c>
      <c r="G1632" s="10" t="s">
        <v>880</v>
      </c>
      <c r="H1632" s="10" t="s">
        <v>802</v>
      </c>
      <c r="I1632" s="10" t="s">
        <v>794</v>
      </c>
      <c r="J1632" s="10" t="s">
        <v>920</v>
      </c>
    </row>
    <row r="1633" spans="1:10" ht="15" hidden="1" customHeight="1">
      <c r="A1633" s="9">
        <v>1629</v>
      </c>
      <c r="B1633" s="10" t="s">
        <v>4185</v>
      </c>
      <c r="C1633" s="10" t="s">
        <v>4186</v>
      </c>
      <c r="D1633" s="10" t="s">
        <v>792</v>
      </c>
      <c r="E1633" s="10" t="s">
        <v>4176</v>
      </c>
      <c r="F1633" s="10" t="s">
        <v>794</v>
      </c>
      <c r="G1633" s="10" t="s">
        <v>880</v>
      </c>
      <c r="H1633" s="10" t="s">
        <v>802</v>
      </c>
      <c r="I1633" s="10" t="s">
        <v>794</v>
      </c>
      <c r="J1633" s="10" t="s">
        <v>920</v>
      </c>
    </row>
    <row r="1634" spans="1:10" ht="15" hidden="1" customHeight="1">
      <c r="A1634" s="9">
        <v>1630</v>
      </c>
      <c r="B1634" s="10" t="s">
        <v>4187</v>
      </c>
      <c r="C1634" s="10" t="s">
        <v>4188</v>
      </c>
      <c r="D1634" s="10" t="s">
        <v>792</v>
      </c>
      <c r="E1634" s="10" t="s">
        <v>4176</v>
      </c>
      <c r="F1634" s="10" t="s">
        <v>794</v>
      </c>
      <c r="G1634" s="10" t="s">
        <v>880</v>
      </c>
      <c r="H1634" s="10" t="s">
        <v>802</v>
      </c>
      <c r="I1634" s="10" t="s">
        <v>794</v>
      </c>
      <c r="J1634" s="10" t="s">
        <v>920</v>
      </c>
    </row>
    <row r="1635" spans="1:10" ht="15" hidden="1" customHeight="1">
      <c r="A1635" s="9">
        <v>1631</v>
      </c>
      <c r="B1635" s="10" t="s">
        <v>4189</v>
      </c>
      <c r="C1635" s="10" t="s">
        <v>4190</v>
      </c>
      <c r="D1635" s="10" t="s">
        <v>792</v>
      </c>
      <c r="E1635" s="10" t="s">
        <v>4162</v>
      </c>
      <c r="F1635" s="10" t="s">
        <v>793</v>
      </c>
      <c r="G1635" s="10" t="s">
        <v>911</v>
      </c>
      <c r="H1635" s="10" t="s">
        <v>802</v>
      </c>
      <c r="I1635" s="10" t="s">
        <v>794</v>
      </c>
      <c r="J1635" s="10" t="s">
        <v>920</v>
      </c>
    </row>
    <row r="1636" spans="1:10" ht="15" hidden="1" customHeight="1">
      <c r="A1636" s="9">
        <v>1632</v>
      </c>
      <c r="B1636" s="10" t="s">
        <v>4191</v>
      </c>
      <c r="C1636" s="10" t="s">
        <v>4192</v>
      </c>
      <c r="D1636" s="10" t="s">
        <v>792</v>
      </c>
      <c r="E1636" s="10" t="s">
        <v>4190</v>
      </c>
      <c r="F1636" s="10" t="s">
        <v>794</v>
      </c>
      <c r="G1636" s="10" t="s">
        <v>911</v>
      </c>
      <c r="H1636" s="10" t="s">
        <v>802</v>
      </c>
      <c r="I1636" s="10" t="s">
        <v>794</v>
      </c>
      <c r="J1636" s="10" t="s">
        <v>920</v>
      </c>
    </row>
    <row r="1637" spans="1:10" ht="15" hidden="1" customHeight="1">
      <c r="A1637" s="9">
        <v>1633</v>
      </c>
      <c r="B1637" s="10" t="s">
        <v>4193</v>
      </c>
      <c r="C1637" s="10" t="s">
        <v>4194</v>
      </c>
      <c r="D1637" s="10" t="s">
        <v>792</v>
      </c>
      <c r="E1637" s="10" t="s">
        <v>4190</v>
      </c>
      <c r="F1637" s="10" t="s">
        <v>794</v>
      </c>
      <c r="G1637" s="10" t="s">
        <v>911</v>
      </c>
      <c r="H1637" s="10" t="s">
        <v>802</v>
      </c>
      <c r="I1637" s="10" t="s">
        <v>794</v>
      </c>
      <c r="J1637" s="10" t="s">
        <v>920</v>
      </c>
    </row>
    <row r="1638" spans="1:10" ht="15" hidden="1" customHeight="1">
      <c r="A1638" s="9">
        <v>1634</v>
      </c>
      <c r="B1638" s="10" t="s">
        <v>4195</v>
      </c>
      <c r="C1638" s="10" t="s">
        <v>4196</v>
      </c>
      <c r="D1638" s="10" t="s">
        <v>792</v>
      </c>
      <c r="E1638" s="10" t="s">
        <v>4190</v>
      </c>
      <c r="F1638" s="10" t="s">
        <v>794</v>
      </c>
      <c r="G1638" s="10" t="s">
        <v>911</v>
      </c>
      <c r="H1638" s="10" t="s">
        <v>802</v>
      </c>
      <c r="I1638" s="10" t="s">
        <v>794</v>
      </c>
      <c r="J1638" s="10" t="s">
        <v>920</v>
      </c>
    </row>
    <row r="1639" spans="1:10" ht="15" hidden="1" customHeight="1">
      <c r="A1639" s="9">
        <v>1635</v>
      </c>
      <c r="B1639" s="10" t="s">
        <v>4197</v>
      </c>
      <c r="C1639" s="10" t="s">
        <v>4198</v>
      </c>
      <c r="D1639" s="10" t="s">
        <v>792</v>
      </c>
      <c r="E1639" s="10" t="s">
        <v>4190</v>
      </c>
      <c r="F1639" s="10" t="s">
        <v>794</v>
      </c>
      <c r="G1639" s="10" t="s">
        <v>911</v>
      </c>
      <c r="H1639" s="10" t="s">
        <v>802</v>
      </c>
      <c r="I1639" s="10" t="s">
        <v>794</v>
      </c>
      <c r="J1639" s="10" t="s">
        <v>920</v>
      </c>
    </row>
    <row r="1640" spans="1:10" ht="15" hidden="1" customHeight="1">
      <c r="A1640" s="9">
        <v>1636</v>
      </c>
      <c r="B1640" s="10" t="s">
        <v>4199</v>
      </c>
      <c r="C1640" s="10" t="s">
        <v>4200</v>
      </c>
      <c r="D1640" s="10" t="s">
        <v>792</v>
      </c>
      <c r="E1640" s="10" t="s">
        <v>4162</v>
      </c>
      <c r="F1640" s="10" t="s">
        <v>793</v>
      </c>
      <c r="G1640" s="10" t="s">
        <v>892</v>
      </c>
      <c r="H1640" s="10" t="s">
        <v>802</v>
      </c>
      <c r="I1640" s="10" t="s">
        <v>794</v>
      </c>
      <c r="J1640" s="10" t="s">
        <v>920</v>
      </c>
    </row>
    <row r="1641" spans="1:10" ht="15" hidden="1" customHeight="1">
      <c r="A1641" s="9">
        <v>1637</v>
      </c>
      <c r="B1641" s="10" t="s">
        <v>4201</v>
      </c>
      <c r="C1641" s="10" t="s">
        <v>4202</v>
      </c>
      <c r="D1641" s="10" t="s">
        <v>792</v>
      </c>
      <c r="E1641" s="10" t="s">
        <v>4200</v>
      </c>
      <c r="F1641" s="10" t="s">
        <v>794</v>
      </c>
      <c r="G1641" s="10" t="s">
        <v>892</v>
      </c>
      <c r="H1641" s="10" t="s">
        <v>802</v>
      </c>
      <c r="I1641" s="10" t="s">
        <v>794</v>
      </c>
      <c r="J1641" s="10" t="s">
        <v>920</v>
      </c>
    </row>
    <row r="1642" spans="1:10" ht="15" hidden="1" customHeight="1">
      <c r="A1642" s="9">
        <v>1638</v>
      </c>
      <c r="B1642" s="10" t="s">
        <v>4203</v>
      </c>
      <c r="C1642" s="10" t="s">
        <v>4204</v>
      </c>
      <c r="D1642" s="10" t="s">
        <v>792</v>
      </c>
      <c r="E1642" s="10" t="s">
        <v>4200</v>
      </c>
      <c r="F1642" s="10" t="s">
        <v>794</v>
      </c>
      <c r="G1642" s="10" t="s">
        <v>892</v>
      </c>
      <c r="H1642" s="10" t="s">
        <v>802</v>
      </c>
      <c r="I1642" s="10" t="s">
        <v>794</v>
      </c>
      <c r="J1642" s="10" t="s">
        <v>920</v>
      </c>
    </row>
    <row r="1643" spans="1:10" ht="15" hidden="1" customHeight="1">
      <c r="A1643" s="9">
        <v>1639</v>
      </c>
      <c r="B1643" s="10" t="s">
        <v>4205</v>
      </c>
      <c r="C1643" s="10" t="s">
        <v>4206</v>
      </c>
      <c r="D1643" s="10" t="s">
        <v>792</v>
      </c>
      <c r="E1643" s="10" t="s">
        <v>4162</v>
      </c>
      <c r="F1643" s="10" t="s">
        <v>793</v>
      </c>
      <c r="G1643" s="10" t="s">
        <v>892</v>
      </c>
      <c r="H1643" s="10" t="s">
        <v>802</v>
      </c>
      <c r="I1643" s="10" t="s">
        <v>794</v>
      </c>
      <c r="J1643" s="10" t="s">
        <v>920</v>
      </c>
    </row>
    <row r="1644" spans="1:10" ht="15" hidden="1" customHeight="1">
      <c r="A1644" s="9">
        <v>1640</v>
      </c>
      <c r="B1644" s="10" t="s">
        <v>4207</v>
      </c>
      <c r="C1644" s="10" t="s">
        <v>4208</v>
      </c>
      <c r="D1644" s="10" t="s">
        <v>792</v>
      </c>
      <c r="E1644" s="10" t="s">
        <v>4206</v>
      </c>
      <c r="F1644" s="10" t="s">
        <v>794</v>
      </c>
      <c r="G1644" s="10" t="s">
        <v>892</v>
      </c>
      <c r="H1644" s="10" t="s">
        <v>802</v>
      </c>
      <c r="I1644" s="10" t="s">
        <v>794</v>
      </c>
      <c r="J1644" s="10" t="s">
        <v>920</v>
      </c>
    </row>
    <row r="1645" spans="1:10" ht="15" hidden="1" customHeight="1">
      <c r="A1645" s="9">
        <v>1641</v>
      </c>
      <c r="B1645" s="10" t="s">
        <v>4209</v>
      </c>
      <c r="C1645" s="10" t="s">
        <v>4210</v>
      </c>
      <c r="D1645" s="10" t="s">
        <v>792</v>
      </c>
      <c r="E1645" s="10" t="s">
        <v>4206</v>
      </c>
      <c r="F1645" s="10" t="s">
        <v>794</v>
      </c>
      <c r="G1645" s="10" t="s">
        <v>892</v>
      </c>
      <c r="H1645" s="10" t="s">
        <v>802</v>
      </c>
      <c r="I1645" s="10" t="s">
        <v>794</v>
      </c>
      <c r="J1645" s="10" t="s">
        <v>920</v>
      </c>
    </row>
    <row r="1646" spans="1:10" ht="15" hidden="1" customHeight="1">
      <c r="A1646" s="9">
        <v>1642</v>
      </c>
      <c r="B1646" s="10" t="s">
        <v>4211</v>
      </c>
      <c r="C1646" s="10" t="s">
        <v>4212</v>
      </c>
      <c r="D1646" s="10" t="s">
        <v>792</v>
      </c>
      <c r="E1646" s="10" t="s">
        <v>4206</v>
      </c>
      <c r="F1646" s="10" t="s">
        <v>794</v>
      </c>
      <c r="G1646" s="10" t="s">
        <v>892</v>
      </c>
      <c r="H1646" s="10" t="s">
        <v>802</v>
      </c>
      <c r="I1646" s="10" t="s">
        <v>794</v>
      </c>
      <c r="J1646" s="10" t="s">
        <v>920</v>
      </c>
    </row>
    <row r="1647" spans="1:10" ht="15" hidden="1" customHeight="1">
      <c r="A1647" s="9">
        <v>1643</v>
      </c>
      <c r="B1647" s="10" t="s">
        <v>4213</v>
      </c>
      <c r="C1647" s="10" t="s">
        <v>4214</v>
      </c>
      <c r="D1647" s="10" t="s">
        <v>792</v>
      </c>
      <c r="E1647" s="10" t="s">
        <v>4206</v>
      </c>
      <c r="F1647" s="10" t="s">
        <v>794</v>
      </c>
      <c r="G1647" s="10" t="s">
        <v>892</v>
      </c>
      <c r="H1647" s="10" t="s">
        <v>802</v>
      </c>
      <c r="I1647" s="10" t="s">
        <v>794</v>
      </c>
      <c r="J1647" s="10" t="s">
        <v>920</v>
      </c>
    </row>
    <row r="1648" spans="1:10" ht="15" hidden="1" customHeight="1">
      <c r="A1648" s="9">
        <v>1644</v>
      </c>
      <c r="B1648" s="10" t="s">
        <v>4215</v>
      </c>
      <c r="C1648" s="10" t="s">
        <v>4216</v>
      </c>
      <c r="D1648" s="10" t="s">
        <v>792</v>
      </c>
      <c r="E1648" s="10" t="s">
        <v>4206</v>
      </c>
      <c r="F1648" s="10" t="s">
        <v>794</v>
      </c>
      <c r="G1648" s="10" t="s">
        <v>892</v>
      </c>
      <c r="H1648" s="10" t="s">
        <v>802</v>
      </c>
      <c r="I1648" s="10" t="s">
        <v>794</v>
      </c>
      <c r="J1648" s="10" t="s">
        <v>920</v>
      </c>
    </row>
    <row r="1649" spans="1:10" ht="15" hidden="1" customHeight="1">
      <c r="A1649" s="9">
        <v>1645</v>
      </c>
      <c r="B1649" s="10" t="s">
        <v>4217</v>
      </c>
      <c r="C1649" s="10" t="s">
        <v>4218</v>
      </c>
      <c r="D1649" s="10" t="s">
        <v>792</v>
      </c>
      <c r="E1649" s="10" t="s">
        <v>4206</v>
      </c>
      <c r="F1649" s="10" t="s">
        <v>794</v>
      </c>
      <c r="G1649" s="10" t="s">
        <v>892</v>
      </c>
      <c r="H1649" s="10" t="s">
        <v>802</v>
      </c>
      <c r="I1649" s="10" t="s">
        <v>794</v>
      </c>
      <c r="J1649" s="10" t="s">
        <v>920</v>
      </c>
    </row>
    <row r="1650" spans="1:10" ht="15" hidden="1" customHeight="1">
      <c r="A1650" s="9">
        <v>1646</v>
      </c>
      <c r="B1650" s="10" t="s">
        <v>4219</v>
      </c>
      <c r="C1650" s="10" t="s">
        <v>4220</v>
      </c>
      <c r="D1650" s="10" t="s">
        <v>792</v>
      </c>
      <c r="E1650" s="10" t="s">
        <v>4162</v>
      </c>
      <c r="F1650" s="10" t="s">
        <v>793</v>
      </c>
      <c r="G1650" s="10" t="s">
        <v>892</v>
      </c>
      <c r="H1650" s="10" t="s">
        <v>802</v>
      </c>
      <c r="I1650" s="10" t="s">
        <v>794</v>
      </c>
      <c r="J1650" s="10" t="s">
        <v>920</v>
      </c>
    </row>
    <row r="1651" spans="1:10" ht="15" hidden="1" customHeight="1">
      <c r="A1651" s="9">
        <v>1647</v>
      </c>
      <c r="B1651" s="10" t="s">
        <v>4221</v>
      </c>
      <c r="C1651" s="10" t="s">
        <v>4222</v>
      </c>
      <c r="D1651" s="10" t="s">
        <v>792</v>
      </c>
      <c r="E1651" s="10" t="s">
        <v>4220</v>
      </c>
      <c r="F1651" s="10" t="s">
        <v>794</v>
      </c>
      <c r="G1651" s="10" t="s">
        <v>892</v>
      </c>
      <c r="H1651" s="10" t="s">
        <v>802</v>
      </c>
      <c r="I1651" s="10" t="s">
        <v>794</v>
      </c>
      <c r="J1651" s="10" t="s">
        <v>920</v>
      </c>
    </row>
    <row r="1652" spans="1:10" ht="15" hidden="1" customHeight="1">
      <c r="A1652" s="9">
        <v>1648</v>
      </c>
      <c r="B1652" s="10" t="s">
        <v>4223</v>
      </c>
      <c r="C1652" s="10" t="s">
        <v>4224</v>
      </c>
      <c r="D1652" s="10" t="s">
        <v>792</v>
      </c>
      <c r="E1652" s="10" t="s">
        <v>4162</v>
      </c>
      <c r="F1652" s="10" t="s">
        <v>793</v>
      </c>
      <c r="G1652" s="10" t="s">
        <v>892</v>
      </c>
      <c r="H1652" s="10" t="s">
        <v>802</v>
      </c>
      <c r="I1652" s="10" t="s">
        <v>794</v>
      </c>
      <c r="J1652" s="10" t="s">
        <v>920</v>
      </c>
    </row>
    <row r="1653" spans="1:10" ht="15" hidden="1" customHeight="1">
      <c r="A1653" s="9">
        <v>1649</v>
      </c>
      <c r="B1653" s="10" t="s">
        <v>4225</v>
      </c>
      <c r="C1653" s="10" t="s">
        <v>4226</v>
      </c>
      <c r="D1653" s="10" t="s">
        <v>792</v>
      </c>
      <c r="E1653" s="10" t="s">
        <v>4224</v>
      </c>
      <c r="F1653" s="10" t="s">
        <v>794</v>
      </c>
      <c r="G1653" s="10" t="s">
        <v>892</v>
      </c>
      <c r="H1653" s="10" t="s">
        <v>802</v>
      </c>
      <c r="I1653" s="10" t="s">
        <v>794</v>
      </c>
      <c r="J1653" s="10" t="s">
        <v>920</v>
      </c>
    </row>
    <row r="1654" spans="1:10" ht="15" hidden="1" customHeight="1">
      <c r="A1654" s="9">
        <v>1650</v>
      </c>
      <c r="B1654" s="10" t="s">
        <v>4227</v>
      </c>
      <c r="C1654" s="10" t="s">
        <v>4228</v>
      </c>
      <c r="D1654" s="10" t="s">
        <v>792</v>
      </c>
      <c r="E1654" s="10" t="s">
        <v>4224</v>
      </c>
      <c r="F1654" s="10" t="s">
        <v>794</v>
      </c>
      <c r="G1654" s="10" t="s">
        <v>892</v>
      </c>
      <c r="H1654" s="10" t="s">
        <v>802</v>
      </c>
      <c r="I1654" s="10" t="s">
        <v>794</v>
      </c>
      <c r="J1654" s="10" t="s">
        <v>920</v>
      </c>
    </row>
    <row r="1655" spans="1:10" ht="15" hidden="1" customHeight="1">
      <c r="A1655" s="9">
        <v>1651</v>
      </c>
      <c r="B1655" s="10" t="s">
        <v>4229</v>
      </c>
      <c r="C1655" s="10" t="s">
        <v>4230</v>
      </c>
      <c r="D1655" s="10" t="s">
        <v>792</v>
      </c>
      <c r="E1655" s="10" t="s">
        <v>4224</v>
      </c>
      <c r="F1655" s="10" t="s">
        <v>794</v>
      </c>
      <c r="G1655" s="10" t="s">
        <v>892</v>
      </c>
      <c r="H1655" s="10" t="s">
        <v>802</v>
      </c>
      <c r="I1655" s="10" t="s">
        <v>794</v>
      </c>
      <c r="J1655" s="10" t="s">
        <v>920</v>
      </c>
    </row>
    <row r="1656" spans="1:10" ht="15" hidden="1" customHeight="1">
      <c r="A1656" s="9">
        <v>1652</v>
      </c>
      <c r="B1656" s="10" t="s">
        <v>4231</v>
      </c>
      <c r="C1656" s="10" t="s">
        <v>4232</v>
      </c>
      <c r="D1656" s="10" t="s">
        <v>792</v>
      </c>
      <c r="E1656" s="10" t="s">
        <v>4224</v>
      </c>
      <c r="F1656" s="10" t="s">
        <v>794</v>
      </c>
      <c r="G1656" s="10" t="s">
        <v>892</v>
      </c>
      <c r="H1656" s="10" t="s">
        <v>802</v>
      </c>
      <c r="I1656" s="10" t="s">
        <v>794</v>
      </c>
      <c r="J1656" s="10" t="s">
        <v>920</v>
      </c>
    </row>
    <row r="1657" spans="1:10" ht="15" hidden="1" customHeight="1">
      <c r="A1657" s="9">
        <v>1653</v>
      </c>
      <c r="B1657" s="10" t="s">
        <v>4233</v>
      </c>
      <c r="C1657" s="10" t="s">
        <v>4234</v>
      </c>
      <c r="D1657" s="10" t="s">
        <v>792</v>
      </c>
      <c r="E1657" s="10" t="s">
        <v>4224</v>
      </c>
      <c r="F1657" s="10" t="s">
        <v>794</v>
      </c>
      <c r="G1657" s="10" t="s">
        <v>892</v>
      </c>
      <c r="H1657" s="10" t="s">
        <v>802</v>
      </c>
      <c r="I1657" s="10" t="s">
        <v>794</v>
      </c>
      <c r="J1657" s="10" t="s">
        <v>920</v>
      </c>
    </row>
    <row r="1658" spans="1:10" ht="15" hidden="1" customHeight="1">
      <c r="A1658" s="9">
        <v>1654</v>
      </c>
      <c r="B1658" s="10" t="s">
        <v>4235</v>
      </c>
      <c r="C1658" s="10" t="s">
        <v>4236</v>
      </c>
      <c r="D1658" s="10" t="s">
        <v>792</v>
      </c>
      <c r="E1658" s="10" t="s">
        <v>4224</v>
      </c>
      <c r="F1658" s="10" t="s">
        <v>794</v>
      </c>
      <c r="G1658" s="10" t="s">
        <v>892</v>
      </c>
      <c r="H1658" s="10" t="s">
        <v>802</v>
      </c>
      <c r="I1658" s="10" t="s">
        <v>794</v>
      </c>
      <c r="J1658" s="10" t="s">
        <v>920</v>
      </c>
    </row>
    <row r="1659" spans="1:10" ht="15" hidden="1" customHeight="1">
      <c r="A1659" s="9">
        <v>1655</v>
      </c>
      <c r="B1659" s="10" t="s">
        <v>4237</v>
      </c>
      <c r="C1659" s="10" t="s">
        <v>4238</v>
      </c>
      <c r="D1659" s="10" t="s">
        <v>792</v>
      </c>
      <c r="E1659" s="10" t="s">
        <v>4224</v>
      </c>
      <c r="F1659" s="10" t="s">
        <v>794</v>
      </c>
      <c r="G1659" s="10" t="s">
        <v>892</v>
      </c>
      <c r="H1659" s="10" t="s">
        <v>802</v>
      </c>
      <c r="I1659" s="10" t="s">
        <v>794</v>
      </c>
      <c r="J1659" s="10" t="s">
        <v>920</v>
      </c>
    </row>
    <row r="1660" spans="1:10" ht="15" hidden="1" customHeight="1">
      <c r="A1660" s="9">
        <v>1656</v>
      </c>
      <c r="B1660" s="10" t="s">
        <v>4239</v>
      </c>
      <c r="C1660" s="10" t="s">
        <v>4240</v>
      </c>
      <c r="D1660" s="10" t="s">
        <v>792</v>
      </c>
      <c r="E1660" s="10" t="s">
        <v>4224</v>
      </c>
      <c r="F1660" s="10" t="s">
        <v>794</v>
      </c>
      <c r="G1660" s="10" t="s">
        <v>892</v>
      </c>
      <c r="H1660" s="10" t="s">
        <v>802</v>
      </c>
      <c r="I1660" s="10" t="s">
        <v>794</v>
      </c>
      <c r="J1660" s="10" t="s">
        <v>920</v>
      </c>
    </row>
    <row r="1661" spans="1:10" ht="15" hidden="1" customHeight="1">
      <c r="A1661" s="9">
        <v>1657</v>
      </c>
      <c r="B1661" s="10" t="s">
        <v>4241</v>
      </c>
      <c r="C1661" s="10" t="s">
        <v>4242</v>
      </c>
      <c r="D1661" s="10" t="s">
        <v>792</v>
      </c>
      <c r="E1661" s="10" t="s">
        <v>4224</v>
      </c>
      <c r="F1661" s="10" t="s">
        <v>794</v>
      </c>
      <c r="G1661" s="10" t="s">
        <v>892</v>
      </c>
      <c r="H1661" s="10" t="s">
        <v>802</v>
      </c>
      <c r="I1661" s="10" t="s">
        <v>794</v>
      </c>
      <c r="J1661" s="10" t="s">
        <v>920</v>
      </c>
    </row>
    <row r="1662" spans="1:10" ht="15" hidden="1" customHeight="1">
      <c r="A1662" s="9">
        <v>1658</v>
      </c>
      <c r="B1662" s="10" t="s">
        <v>4243</v>
      </c>
      <c r="C1662" s="10" t="s">
        <v>4244</v>
      </c>
      <c r="D1662" s="10" t="s">
        <v>792</v>
      </c>
      <c r="E1662" s="10" t="s">
        <v>4224</v>
      </c>
      <c r="F1662" s="10" t="s">
        <v>794</v>
      </c>
      <c r="G1662" s="10" t="s">
        <v>892</v>
      </c>
      <c r="H1662" s="10" t="s">
        <v>802</v>
      </c>
      <c r="I1662" s="10" t="s">
        <v>794</v>
      </c>
      <c r="J1662" s="10" t="s">
        <v>920</v>
      </c>
    </row>
    <row r="1663" spans="1:10" ht="15" hidden="1" customHeight="1">
      <c r="A1663" s="9">
        <v>1659</v>
      </c>
      <c r="B1663" s="10" t="s">
        <v>4245</v>
      </c>
      <c r="C1663" s="10" t="s">
        <v>4246</v>
      </c>
      <c r="D1663" s="10" t="s">
        <v>792</v>
      </c>
      <c r="E1663" s="10" t="s">
        <v>4224</v>
      </c>
      <c r="F1663" s="10" t="s">
        <v>794</v>
      </c>
      <c r="G1663" s="10" t="s">
        <v>892</v>
      </c>
      <c r="H1663" s="10" t="s">
        <v>802</v>
      </c>
      <c r="I1663" s="10" t="s">
        <v>794</v>
      </c>
      <c r="J1663" s="10" t="s">
        <v>920</v>
      </c>
    </row>
    <row r="1664" spans="1:10" ht="15" hidden="1" customHeight="1">
      <c r="A1664" s="9">
        <v>1660</v>
      </c>
      <c r="B1664" s="10" t="s">
        <v>4247</v>
      </c>
      <c r="C1664" s="10" t="s">
        <v>4248</v>
      </c>
      <c r="D1664" s="10" t="s">
        <v>792</v>
      </c>
      <c r="E1664" s="10" t="s">
        <v>4224</v>
      </c>
      <c r="F1664" s="10" t="s">
        <v>794</v>
      </c>
      <c r="G1664" s="10" t="s">
        <v>892</v>
      </c>
      <c r="H1664" s="10" t="s">
        <v>802</v>
      </c>
      <c r="I1664" s="10" t="s">
        <v>794</v>
      </c>
      <c r="J1664" s="10" t="s">
        <v>920</v>
      </c>
    </row>
    <row r="1665" spans="1:10" ht="15" hidden="1" customHeight="1">
      <c r="A1665" s="9">
        <v>1661</v>
      </c>
      <c r="B1665" s="10" t="s">
        <v>4249</v>
      </c>
      <c r="C1665" s="10" t="s">
        <v>4250</v>
      </c>
      <c r="D1665" s="10" t="s">
        <v>792</v>
      </c>
      <c r="E1665" s="10" t="s">
        <v>4224</v>
      </c>
      <c r="F1665" s="10" t="s">
        <v>794</v>
      </c>
      <c r="G1665" s="10" t="s">
        <v>892</v>
      </c>
      <c r="H1665" s="10" t="s">
        <v>802</v>
      </c>
      <c r="I1665" s="10" t="s">
        <v>794</v>
      </c>
      <c r="J1665" s="10" t="s">
        <v>920</v>
      </c>
    </row>
    <row r="1666" spans="1:10" ht="15" hidden="1" customHeight="1">
      <c r="A1666" s="9">
        <v>1662</v>
      </c>
      <c r="B1666" s="10" t="s">
        <v>4251</v>
      </c>
      <c r="C1666" s="10" t="s">
        <v>4252</v>
      </c>
      <c r="D1666" s="10" t="s">
        <v>792</v>
      </c>
      <c r="E1666" s="10" t="s">
        <v>4224</v>
      </c>
      <c r="F1666" s="10" t="s">
        <v>794</v>
      </c>
      <c r="G1666" s="10" t="s">
        <v>977</v>
      </c>
      <c r="H1666" s="10" t="s">
        <v>978</v>
      </c>
      <c r="I1666" s="10" t="s">
        <v>794</v>
      </c>
      <c r="J1666" s="10" t="s">
        <v>920</v>
      </c>
    </row>
    <row r="1667" spans="1:10" ht="15" hidden="1" customHeight="1">
      <c r="A1667" s="9">
        <v>1663</v>
      </c>
      <c r="B1667" s="10" t="s">
        <v>4253</v>
      </c>
      <c r="C1667" s="10" t="s">
        <v>4254</v>
      </c>
      <c r="D1667" s="10" t="s">
        <v>792</v>
      </c>
      <c r="E1667" s="10" t="s">
        <v>4224</v>
      </c>
      <c r="F1667" s="10" t="s">
        <v>794</v>
      </c>
      <c r="G1667" s="10" t="s">
        <v>892</v>
      </c>
      <c r="H1667" s="10" t="s">
        <v>802</v>
      </c>
      <c r="I1667" s="10" t="s">
        <v>794</v>
      </c>
      <c r="J1667" s="10" t="s">
        <v>920</v>
      </c>
    </row>
    <row r="1668" spans="1:10" ht="15" hidden="1" customHeight="1">
      <c r="A1668" s="9">
        <v>1664</v>
      </c>
      <c r="B1668" s="10" t="s">
        <v>4255</v>
      </c>
      <c r="C1668" s="10" t="s">
        <v>4256</v>
      </c>
      <c r="D1668" s="10" t="s">
        <v>792</v>
      </c>
      <c r="E1668" s="10" t="s">
        <v>4162</v>
      </c>
      <c r="F1668" s="10" t="s">
        <v>793</v>
      </c>
      <c r="G1668" s="10" t="s">
        <v>892</v>
      </c>
      <c r="H1668" s="10" t="s">
        <v>802</v>
      </c>
      <c r="I1668" s="10" t="s">
        <v>794</v>
      </c>
      <c r="J1668" s="10" t="s">
        <v>920</v>
      </c>
    </row>
    <row r="1669" spans="1:10" ht="15" hidden="1" customHeight="1">
      <c r="A1669" s="9">
        <v>1665</v>
      </c>
      <c r="B1669" s="10" t="s">
        <v>4257</v>
      </c>
      <c r="C1669" s="10" t="s">
        <v>4258</v>
      </c>
      <c r="D1669" s="10" t="s">
        <v>792</v>
      </c>
      <c r="E1669" s="10" t="s">
        <v>4256</v>
      </c>
      <c r="F1669" s="10" t="s">
        <v>794</v>
      </c>
      <c r="G1669" s="10" t="s">
        <v>3197</v>
      </c>
      <c r="H1669" s="10" t="s">
        <v>802</v>
      </c>
      <c r="I1669" s="10" t="s">
        <v>794</v>
      </c>
      <c r="J1669" s="10" t="s">
        <v>920</v>
      </c>
    </row>
    <row r="1670" spans="1:10" ht="15" hidden="1" customHeight="1">
      <c r="A1670" s="9">
        <v>1666</v>
      </c>
      <c r="B1670" s="10" t="s">
        <v>4259</v>
      </c>
      <c r="C1670" s="10" t="s">
        <v>4260</v>
      </c>
      <c r="D1670" s="10" t="s">
        <v>792</v>
      </c>
      <c r="E1670" s="10" t="s">
        <v>4258</v>
      </c>
      <c r="F1670" s="10" t="s">
        <v>793</v>
      </c>
      <c r="G1670" s="10" t="s">
        <v>3197</v>
      </c>
      <c r="H1670" s="10" t="s">
        <v>802</v>
      </c>
      <c r="I1670" s="10" t="s">
        <v>794</v>
      </c>
      <c r="J1670" s="10" t="s">
        <v>920</v>
      </c>
    </row>
    <row r="1671" spans="1:10" ht="15" hidden="1" customHeight="1">
      <c r="A1671" s="9">
        <v>1667</v>
      </c>
      <c r="B1671" s="10" t="s">
        <v>4261</v>
      </c>
      <c r="C1671" s="10" t="s">
        <v>4262</v>
      </c>
      <c r="D1671" s="10" t="s">
        <v>792</v>
      </c>
      <c r="E1671" s="10" t="s">
        <v>4258</v>
      </c>
      <c r="F1671" s="10" t="s">
        <v>794</v>
      </c>
      <c r="G1671" s="10" t="s">
        <v>3197</v>
      </c>
      <c r="H1671" s="10" t="s">
        <v>802</v>
      </c>
      <c r="I1671" s="10" t="s">
        <v>794</v>
      </c>
      <c r="J1671" s="10" t="s">
        <v>920</v>
      </c>
    </row>
    <row r="1672" spans="1:10" ht="15" hidden="1" customHeight="1">
      <c r="A1672" s="9">
        <v>1668</v>
      </c>
      <c r="B1672" s="10" t="s">
        <v>4263</v>
      </c>
      <c r="C1672" s="10" t="s">
        <v>4264</v>
      </c>
      <c r="D1672" s="10" t="s">
        <v>792</v>
      </c>
      <c r="E1672" s="10" t="s">
        <v>4256</v>
      </c>
      <c r="F1672" s="10" t="s">
        <v>793</v>
      </c>
      <c r="G1672" s="10" t="s">
        <v>3197</v>
      </c>
      <c r="H1672" s="10" t="s">
        <v>802</v>
      </c>
      <c r="I1672" s="10" t="s">
        <v>794</v>
      </c>
      <c r="J1672" s="10" t="s">
        <v>920</v>
      </c>
    </row>
    <row r="1673" spans="1:10" ht="15" hidden="1" customHeight="1">
      <c r="A1673" s="9">
        <v>1669</v>
      </c>
      <c r="B1673" s="10" t="s">
        <v>4265</v>
      </c>
      <c r="C1673" s="10" t="s">
        <v>4266</v>
      </c>
      <c r="D1673" s="10" t="s">
        <v>792</v>
      </c>
      <c r="E1673" s="10" t="s">
        <v>4264</v>
      </c>
      <c r="F1673" s="10" t="s">
        <v>794</v>
      </c>
      <c r="G1673" s="10" t="s">
        <v>3197</v>
      </c>
      <c r="H1673" s="10" t="s">
        <v>802</v>
      </c>
      <c r="I1673" s="10" t="s">
        <v>794</v>
      </c>
      <c r="J1673" s="10" t="s">
        <v>920</v>
      </c>
    </row>
    <row r="1674" spans="1:10" ht="15" hidden="1" customHeight="1">
      <c r="A1674" s="9">
        <v>1670</v>
      </c>
      <c r="B1674" s="10" t="s">
        <v>4267</v>
      </c>
      <c r="C1674" s="10" t="s">
        <v>4268</v>
      </c>
      <c r="D1674" s="10" t="s">
        <v>792</v>
      </c>
      <c r="E1674" s="10" t="s">
        <v>4264</v>
      </c>
      <c r="F1674" s="10" t="s">
        <v>794</v>
      </c>
      <c r="G1674" s="10" t="s">
        <v>3197</v>
      </c>
      <c r="H1674" s="10" t="s">
        <v>802</v>
      </c>
      <c r="I1674" s="10" t="s">
        <v>794</v>
      </c>
      <c r="J1674" s="10" t="s">
        <v>920</v>
      </c>
    </row>
    <row r="1675" spans="1:10" ht="15" hidden="1" customHeight="1">
      <c r="A1675" s="9">
        <v>1671</v>
      </c>
      <c r="B1675" s="10" t="s">
        <v>4269</v>
      </c>
      <c r="C1675" s="10" t="s">
        <v>4270</v>
      </c>
      <c r="D1675" s="10" t="s">
        <v>792</v>
      </c>
      <c r="E1675" s="10" t="s">
        <v>4256</v>
      </c>
      <c r="F1675" s="10" t="s">
        <v>793</v>
      </c>
      <c r="G1675" s="10" t="s">
        <v>880</v>
      </c>
      <c r="H1675" s="10" t="s">
        <v>802</v>
      </c>
      <c r="I1675" s="10" t="s">
        <v>794</v>
      </c>
      <c r="J1675" s="10" t="s">
        <v>920</v>
      </c>
    </row>
    <row r="1676" spans="1:10" ht="15" hidden="1" customHeight="1">
      <c r="A1676" s="9">
        <v>1672</v>
      </c>
      <c r="B1676" s="10" t="s">
        <v>4271</v>
      </c>
      <c r="C1676" s="10" t="s">
        <v>4272</v>
      </c>
      <c r="D1676" s="10" t="s">
        <v>792</v>
      </c>
      <c r="E1676" s="10" t="s">
        <v>4270</v>
      </c>
      <c r="F1676" s="10" t="s">
        <v>794</v>
      </c>
      <c r="G1676" s="10" t="s">
        <v>880</v>
      </c>
      <c r="H1676" s="10" t="s">
        <v>802</v>
      </c>
      <c r="I1676" s="10" t="s">
        <v>794</v>
      </c>
      <c r="J1676" s="10" t="s">
        <v>920</v>
      </c>
    </row>
    <row r="1677" spans="1:10" ht="15" hidden="1" customHeight="1">
      <c r="A1677" s="9">
        <v>1673</v>
      </c>
      <c r="B1677" s="10" t="s">
        <v>4273</v>
      </c>
      <c r="C1677" s="10" t="s">
        <v>4274</v>
      </c>
      <c r="D1677" s="10" t="s">
        <v>792</v>
      </c>
      <c r="E1677" s="10" t="s">
        <v>4275</v>
      </c>
      <c r="F1677" s="10" t="s">
        <v>794</v>
      </c>
      <c r="G1677" s="10" t="s">
        <v>801</v>
      </c>
      <c r="H1677" s="10" t="s">
        <v>802</v>
      </c>
      <c r="I1677" s="10" t="s">
        <v>794</v>
      </c>
      <c r="J1677" s="10" t="s">
        <v>119</v>
      </c>
    </row>
    <row r="1678" spans="1:10" ht="15" hidden="1" customHeight="1">
      <c r="A1678" s="9">
        <v>1674</v>
      </c>
      <c r="B1678" s="10" t="s">
        <v>4276</v>
      </c>
      <c r="C1678" s="10" t="s">
        <v>4277</v>
      </c>
      <c r="D1678" s="10" t="s">
        <v>792</v>
      </c>
      <c r="E1678" s="10" t="s">
        <v>4275</v>
      </c>
      <c r="F1678" s="10" t="s">
        <v>794</v>
      </c>
      <c r="G1678" s="10" t="s">
        <v>801</v>
      </c>
      <c r="H1678" s="10" t="s">
        <v>802</v>
      </c>
      <c r="I1678" s="10" t="s">
        <v>794</v>
      </c>
      <c r="J1678" s="10" t="s">
        <v>119</v>
      </c>
    </row>
    <row r="1679" spans="1:10" ht="15" hidden="1" customHeight="1">
      <c r="A1679" s="9">
        <v>1675</v>
      </c>
      <c r="B1679" s="10" t="s">
        <v>4278</v>
      </c>
      <c r="C1679" s="10" t="s">
        <v>4279</v>
      </c>
      <c r="D1679" s="10" t="s">
        <v>792</v>
      </c>
      <c r="E1679" s="10" t="s">
        <v>4275</v>
      </c>
      <c r="F1679" s="10" t="s">
        <v>794</v>
      </c>
      <c r="G1679" s="10" t="s">
        <v>801</v>
      </c>
      <c r="H1679" s="10" t="s">
        <v>802</v>
      </c>
      <c r="I1679" s="10" t="s">
        <v>794</v>
      </c>
      <c r="J1679" s="10" t="s">
        <v>119</v>
      </c>
    </row>
    <row r="1680" spans="1:10" ht="15" hidden="1" customHeight="1">
      <c r="A1680" s="9">
        <v>1676</v>
      </c>
      <c r="B1680" s="10" t="s">
        <v>4280</v>
      </c>
      <c r="C1680" s="10" t="s">
        <v>4281</v>
      </c>
      <c r="D1680" s="10" t="s">
        <v>792</v>
      </c>
      <c r="E1680" s="10" t="s">
        <v>4275</v>
      </c>
      <c r="F1680" s="10" t="s">
        <v>794</v>
      </c>
      <c r="G1680" s="10" t="s">
        <v>801</v>
      </c>
      <c r="H1680" s="10" t="s">
        <v>802</v>
      </c>
      <c r="I1680" s="10" t="s">
        <v>794</v>
      </c>
      <c r="J1680" s="10" t="s">
        <v>795</v>
      </c>
    </row>
    <row r="1681" spans="1:10" ht="15" hidden="1" customHeight="1">
      <c r="A1681" s="9">
        <v>1677</v>
      </c>
      <c r="B1681" s="10" t="s">
        <v>4282</v>
      </c>
      <c r="C1681" s="10" t="s">
        <v>4283</v>
      </c>
      <c r="D1681" s="10" t="s">
        <v>792</v>
      </c>
      <c r="E1681" s="10" t="s">
        <v>4284</v>
      </c>
      <c r="F1681" s="10" t="s">
        <v>794</v>
      </c>
      <c r="G1681" s="10" t="s">
        <v>801</v>
      </c>
      <c r="H1681" s="10" t="s">
        <v>802</v>
      </c>
      <c r="I1681" s="10" t="s">
        <v>794</v>
      </c>
      <c r="J1681" s="10" t="s">
        <v>795</v>
      </c>
    </row>
    <row r="1682" spans="1:10" ht="15" hidden="1" customHeight="1">
      <c r="A1682" s="9">
        <v>1678</v>
      </c>
      <c r="B1682" s="10" t="s">
        <v>4285</v>
      </c>
      <c r="C1682" s="10" t="s">
        <v>4286</v>
      </c>
      <c r="D1682" s="10" t="s">
        <v>792</v>
      </c>
      <c r="E1682" s="10" t="s">
        <v>4159</v>
      </c>
      <c r="F1682" s="10" t="s">
        <v>794</v>
      </c>
      <c r="G1682" s="10"/>
      <c r="H1682" s="10"/>
      <c r="I1682" s="10" t="s">
        <v>794</v>
      </c>
      <c r="J1682" s="10" t="s">
        <v>795</v>
      </c>
    </row>
    <row r="1683" spans="1:10" ht="15" hidden="1" customHeight="1">
      <c r="A1683" s="9">
        <v>1679</v>
      </c>
      <c r="B1683" s="10" t="s">
        <v>4287</v>
      </c>
      <c r="C1683" s="10" t="s">
        <v>4162</v>
      </c>
      <c r="D1683" s="10" t="s">
        <v>792</v>
      </c>
      <c r="E1683" s="10" t="s">
        <v>4286</v>
      </c>
      <c r="F1683" s="10" t="s">
        <v>793</v>
      </c>
      <c r="G1683" s="10"/>
      <c r="H1683" s="10"/>
      <c r="I1683" s="10" t="s">
        <v>794</v>
      </c>
      <c r="J1683" s="10" t="s">
        <v>920</v>
      </c>
    </row>
    <row r="1684" spans="1:10" ht="15" hidden="1" customHeight="1">
      <c r="A1684" s="9">
        <v>1680</v>
      </c>
      <c r="B1684" s="10" t="s">
        <v>4288</v>
      </c>
      <c r="C1684" s="10" t="s">
        <v>4289</v>
      </c>
      <c r="D1684" s="10" t="s">
        <v>792</v>
      </c>
      <c r="E1684" s="10" t="s">
        <v>4159</v>
      </c>
      <c r="F1684" s="10" t="s">
        <v>793</v>
      </c>
      <c r="G1684" s="10" t="s">
        <v>801</v>
      </c>
      <c r="H1684" s="10" t="s">
        <v>802</v>
      </c>
      <c r="I1684" s="10" t="s">
        <v>794</v>
      </c>
      <c r="J1684" s="10" t="s">
        <v>795</v>
      </c>
    </row>
    <row r="1685" spans="1:10" ht="15" hidden="1" customHeight="1">
      <c r="A1685" s="9">
        <v>1681</v>
      </c>
      <c r="B1685" s="10" t="s">
        <v>4290</v>
      </c>
      <c r="C1685" s="10" t="s">
        <v>4275</v>
      </c>
      <c r="D1685" s="10" t="s">
        <v>792</v>
      </c>
      <c r="E1685" s="10" t="s">
        <v>4289</v>
      </c>
      <c r="F1685" s="10" t="s">
        <v>793</v>
      </c>
      <c r="G1685" s="10" t="s">
        <v>801</v>
      </c>
      <c r="H1685" s="10" t="s">
        <v>802</v>
      </c>
      <c r="I1685" s="10" t="s">
        <v>794</v>
      </c>
      <c r="J1685" s="10" t="s">
        <v>795</v>
      </c>
    </row>
    <row r="1686" spans="1:10" ht="15" hidden="1" customHeight="1">
      <c r="A1686" s="9">
        <v>1682</v>
      </c>
      <c r="B1686" s="10" t="s">
        <v>4291</v>
      </c>
      <c r="C1686" s="10" t="s">
        <v>4284</v>
      </c>
      <c r="D1686" s="10" t="s">
        <v>792</v>
      </c>
      <c r="E1686" s="10" t="s">
        <v>4289</v>
      </c>
      <c r="F1686" s="10" t="s">
        <v>793</v>
      </c>
      <c r="G1686" s="10" t="s">
        <v>801</v>
      </c>
      <c r="H1686" s="10" t="s">
        <v>802</v>
      </c>
      <c r="I1686" s="10" t="s">
        <v>794</v>
      </c>
      <c r="J1686" s="10" t="s">
        <v>795</v>
      </c>
    </row>
    <row r="1687" spans="1:10" ht="15" hidden="1" customHeight="1">
      <c r="A1687" s="9">
        <v>1683</v>
      </c>
      <c r="B1687" s="10" t="s">
        <v>4292</v>
      </c>
      <c r="C1687" s="10" t="s">
        <v>4293</v>
      </c>
      <c r="D1687" s="10" t="s">
        <v>792</v>
      </c>
      <c r="E1687" s="10" t="s">
        <v>4159</v>
      </c>
      <c r="F1687" s="10" t="s">
        <v>793</v>
      </c>
      <c r="G1687" s="10"/>
      <c r="H1687" s="10"/>
      <c r="I1687" s="10" t="s">
        <v>794</v>
      </c>
      <c r="J1687" s="10" t="s">
        <v>795</v>
      </c>
    </row>
    <row r="1688" spans="1:10" ht="15" hidden="1" customHeight="1">
      <c r="A1688" s="9">
        <v>1684</v>
      </c>
      <c r="B1688" s="10" t="s">
        <v>4294</v>
      </c>
      <c r="C1688" s="10" t="s">
        <v>4295</v>
      </c>
      <c r="D1688" s="10" t="s">
        <v>792</v>
      </c>
      <c r="E1688" s="10" t="s">
        <v>4159</v>
      </c>
      <c r="F1688" s="10" t="s">
        <v>793</v>
      </c>
      <c r="G1688" s="10"/>
      <c r="H1688" s="10"/>
      <c r="I1688" s="10" t="s">
        <v>794</v>
      </c>
      <c r="J1688" s="10" t="s">
        <v>795</v>
      </c>
    </row>
    <row r="1689" spans="1:10" ht="15" hidden="1" customHeight="1">
      <c r="A1689" s="9">
        <v>1685</v>
      </c>
      <c r="B1689" s="10" t="s">
        <v>4296</v>
      </c>
      <c r="C1689" s="10" t="s">
        <v>4297</v>
      </c>
      <c r="D1689" s="10" t="s">
        <v>792</v>
      </c>
      <c r="E1689" s="10" t="s">
        <v>4295</v>
      </c>
      <c r="F1689" s="10" t="s">
        <v>793</v>
      </c>
      <c r="G1689" s="10"/>
      <c r="H1689" s="10"/>
      <c r="I1689" s="10" t="s">
        <v>794</v>
      </c>
      <c r="J1689" s="10" t="s">
        <v>795</v>
      </c>
    </row>
    <row r="1690" spans="1:10" ht="15" hidden="1" customHeight="1">
      <c r="A1690" s="9">
        <v>1686</v>
      </c>
      <c r="B1690" s="10" t="s">
        <v>4298</v>
      </c>
      <c r="C1690" s="10" t="s">
        <v>4299</v>
      </c>
      <c r="D1690" s="10" t="s">
        <v>792</v>
      </c>
      <c r="E1690" s="10" t="s">
        <v>4295</v>
      </c>
      <c r="F1690" s="10" t="s">
        <v>793</v>
      </c>
      <c r="G1690" s="10"/>
      <c r="H1690" s="10"/>
      <c r="I1690" s="10" t="s">
        <v>794</v>
      </c>
      <c r="J1690" s="10" t="s">
        <v>795</v>
      </c>
    </row>
    <row r="1691" spans="1:10" ht="15" hidden="1" customHeight="1">
      <c r="A1691" s="9">
        <v>1687</v>
      </c>
      <c r="B1691" s="10" t="s">
        <v>4300</v>
      </c>
      <c r="C1691" s="10" t="s">
        <v>4301</v>
      </c>
      <c r="D1691" s="10" t="s">
        <v>792</v>
      </c>
      <c r="E1691" s="10" t="s">
        <v>4295</v>
      </c>
      <c r="F1691" s="10" t="s">
        <v>793</v>
      </c>
      <c r="G1691" s="10"/>
      <c r="H1691" s="10"/>
      <c r="I1691" s="10" t="s">
        <v>794</v>
      </c>
      <c r="J1691" s="10" t="s">
        <v>795</v>
      </c>
    </row>
    <row r="1692" spans="1:10" ht="15" hidden="1" customHeight="1">
      <c r="A1692" s="9">
        <v>1688</v>
      </c>
      <c r="B1692" s="10" t="s">
        <v>4302</v>
      </c>
      <c r="C1692" s="10" t="s">
        <v>4303</v>
      </c>
      <c r="D1692" s="10" t="s">
        <v>792</v>
      </c>
      <c r="E1692" s="10" t="s">
        <v>4295</v>
      </c>
      <c r="F1692" s="10" t="s">
        <v>793</v>
      </c>
      <c r="G1692" s="10"/>
      <c r="H1692" s="10"/>
      <c r="I1692" s="10" t="s">
        <v>794</v>
      </c>
      <c r="J1692" s="10" t="s">
        <v>795</v>
      </c>
    </row>
    <row r="1693" spans="1:10" ht="15" hidden="1" customHeight="1">
      <c r="A1693" s="9">
        <v>1689</v>
      </c>
      <c r="B1693" s="10" t="s">
        <v>4304</v>
      </c>
      <c r="C1693" s="10" t="s">
        <v>4305</v>
      </c>
      <c r="D1693" s="10" t="s">
        <v>792</v>
      </c>
      <c r="E1693" s="10" t="s">
        <v>4295</v>
      </c>
      <c r="F1693" s="10" t="s">
        <v>793</v>
      </c>
      <c r="G1693" s="10"/>
      <c r="H1693" s="10"/>
      <c r="I1693" s="10" t="s">
        <v>794</v>
      </c>
      <c r="J1693" s="10" t="s">
        <v>795</v>
      </c>
    </row>
    <row r="1694" spans="1:10" ht="15" hidden="1" customHeight="1">
      <c r="A1694" s="9">
        <v>1690</v>
      </c>
      <c r="B1694" s="10" t="s">
        <v>4306</v>
      </c>
      <c r="C1694" s="10" t="s">
        <v>4307</v>
      </c>
      <c r="D1694" s="10" t="s">
        <v>792</v>
      </c>
      <c r="E1694" s="10" t="s">
        <v>4295</v>
      </c>
      <c r="F1694" s="10" t="s">
        <v>793</v>
      </c>
      <c r="G1694" s="10"/>
      <c r="H1694" s="10"/>
      <c r="I1694" s="10" t="s">
        <v>794</v>
      </c>
      <c r="J1694" s="10" t="s">
        <v>795</v>
      </c>
    </row>
    <row r="1695" spans="1:10" ht="15" hidden="1" customHeight="1">
      <c r="A1695" s="9">
        <v>1691</v>
      </c>
      <c r="B1695" s="10" t="s">
        <v>4308</v>
      </c>
      <c r="C1695" s="10" t="s">
        <v>4309</v>
      </c>
      <c r="D1695" s="10" t="s">
        <v>792</v>
      </c>
      <c r="E1695" s="10" t="s">
        <v>4295</v>
      </c>
      <c r="F1695" s="10" t="s">
        <v>793</v>
      </c>
      <c r="G1695" s="10"/>
      <c r="H1695" s="10"/>
      <c r="I1695" s="10" t="s">
        <v>794</v>
      </c>
      <c r="J1695" s="10" t="s">
        <v>795</v>
      </c>
    </row>
    <row r="1696" spans="1:10" ht="15" hidden="1" customHeight="1">
      <c r="A1696" s="9">
        <v>1692</v>
      </c>
      <c r="B1696" s="10" t="s">
        <v>4310</v>
      </c>
      <c r="C1696" s="10" t="s">
        <v>4311</v>
      </c>
      <c r="D1696" s="10" t="s">
        <v>792</v>
      </c>
      <c r="E1696" s="10" t="s">
        <v>4295</v>
      </c>
      <c r="F1696" s="10" t="s">
        <v>793</v>
      </c>
      <c r="G1696" s="10"/>
      <c r="H1696" s="10"/>
      <c r="I1696" s="10" t="s">
        <v>794</v>
      </c>
      <c r="J1696" s="10" t="s">
        <v>795</v>
      </c>
    </row>
    <row r="1697" spans="1:10" ht="15" hidden="1" customHeight="1">
      <c r="A1697" s="9">
        <v>1693</v>
      </c>
      <c r="B1697" s="10" t="s">
        <v>4312</v>
      </c>
      <c r="C1697" s="10" t="s">
        <v>4313</v>
      </c>
      <c r="D1697" s="10" t="s">
        <v>792</v>
      </c>
      <c r="E1697" s="10" t="s">
        <v>4159</v>
      </c>
      <c r="F1697" s="10" t="s">
        <v>793</v>
      </c>
      <c r="G1697" s="10"/>
      <c r="H1697" s="10"/>
      <c r="I1697" s="10" t="s">
        <v>794</v>
      </c>
      <c r="J1697" s="10" t="s">
        <v>795</v>
      </c>
    </row>
    <row r="1698" spans="1:10" ht="15" hidden="1" customHeight="1">
      <c r="A1698" s="9">
        <v>1694</v>
      </c>
      <c r="B1698" s="10" t="s">
        <v>4314</v>
      </c>
      <c r="C1698" s="10" t="s">
        <v>4315</v>
      </c>
      <c r="D1698" s="10" t="s">
        <v>792</v>
      </c>
      <c r="E1698" s="10" t="s">
        <v>4313</v>
      </c>
      <c r="F1698" s="10" t="s">
        <v>793</v>
      </c>
      <c r="G1698" s="10"/>
      <c r="H1698" s="10"/>
      <c r="I1698" s="10" t="s">
        <v>794</v>
      </c>
      <c r="J1698" s="10" t="s">
        <v>795</v>
      </c>
    </row>
    <row r="1699" spans="1:10" ht="15" hidden="1" customHeight="1">
      <c r="A1699" s="9">
        <v>1695</v>
      </c>
      <c r="B1699" s="10" t="s">
        <v>4316</v>
      </c>
      <c r="C1699" s="10" t="s">
        <v>4317</v>
      </c>
      <c r="D1699" s="10" t="s">
        <v>792</v>
      </c>
      <c r="E1699" s="10" t="s">
        <v>4159</v>
      </c>
      <c r="F1699" s="10" t="s">
        <v>793</v>
      </c>
      <c r="G1699" s="10"/>
      <c r="H1699" s="10"/>
      <c r="I1699" s="10" t="s">
        <v>794</v>
      </c>
      <c r="J1699" s="10" t="s">
        <v>795</v>
      </c>
    </row>
    <row r="1700" spans="1:10" ht="15" hidden="1" customHeight="1">
      <c r="A1700" s="9">
        <v>1696</v>
      </c>
      <c r="B1700" s="10" t="s">
        <v>4318</v>
      </c>
      <c r="C1700" s="10" t="s">
        <v>4319</v>
      </c>
      <c r="D1700" s="10" t="s">
        <v>792</v>
      </c>
      <c r="E1700" s="10" t="s">
        <v>4317</v>
      </c>
      <c r="F1700" s="10" t="s">
        <v>793</v>
      </c>
      <c r="G1700" s="10"/>
      <c r="H1700" s="10"/>
      <c r="I1700" s="10" t="s">
        <v>794</v>
      </c>
      <c r="J1700" s="10" t="s">
        <v>795</v>
      </c>
    </row>
    <row r="1701" spans="1:10" ht="15" hidden="1" customHeight="1">
      <c r="A1701" s="9">
        <v>1697</v>
      </c>
      <c r="B1701" s="10" t="s">
        <v>4320</v>
      </c>
      <c r="C1701" s="10" t="s">
        <v>4321</v>
      </c>
      <c r="D1701" s="10" t="s">
        <v>792</v>
      </c>
      <c r="E1701" s="10" t="s">
        <v>4293</v>
      </c>
      <c r="F1701" s="10" t="s">
        <v>794</v>
      </c>
      <c r="G1701" s="10" t="s">
        <v>892</v>
      </c>
      <c r="H1701" s="10" t="s">
        <v>802</v>
      </c>
      <c r="I1701" s="10" t="s">
        <v>794</v>
      </c>
      <c r="J1701" s="10" t="s">
        <v>119</v>
      </c>
    </row>
    <row r="1702" spans="1:10" ht="15" hidden="1" customHeight="1">
      <c r="A1702" s="9">
        <v>1698</v>
      </c>
      <c r="B1702" s="10" t="s">
        <v>4322</v>
      </c>
      <c r="C1702" s="10" t="s">
        <v>4323</v>
      </c>
      <c r="D1702" s="10" t="s">
        <v>1193</v>
      </c>
      <c r="E1702" s="10"/>
      <c r="F1702" s="10" t="s">
        <v>793</v>
      </c>
      <c r="G1702" s="10"/>
      <c r="H1702" s="10"/>
      <c r="I1702" s="10" t="s">
        <v>794</v>
      </c>
      <c r="J1702" s="10" t="s">
        <v>795</v>
      </c>
    </row>
    <row r="1703" spans="1:10" ht="15" hidden="1" customHeight="1">
      <c r="A1703" s="9">
        <v>1699</v>
      </c>
      <c r="B1703" s="10" t="s">
        <v>4324</v>
      </c>
      <c r="C1703" s="10" t="s">
        <v>4325</v>
      </c>
      <c r="D1703" s="10" t="s">
        <v>1193</v>
      </c>
      <c r="E1703" s="10" t="s">
        <v>4323</v>
      </c>
      <c r="F1703" s="10" t="s">
        <v>793</v>
      </c>
      <c r="G1703" s="10"/>
      <c r="H1703" s="10"/>
      <c r="I1703" s="10" t="s">
        <v>794</v>
      </c>
      <c r="J1703" s="10" t="s">
        <v>795</v>
      </c>
    </row>
    <row r="1704" spans="1:10" ht="15" hidden="1" customHeight="1">
      <c r="A1704" s="9">
        <v>1700</v>
      </c>
      <c r="B1704" s="10" t="s">
        <v>4326</v>
      </c>
      <c r="C1704" s="10" t="s">
        <v>4327</v>
      </c>
      <c r="D1704" s="10" t="s">
        <v>1193</v>
      </c>
      <c r="E1704" s="10" t="s">
        <v>4325</v>
      </c>
      <c r="F1704" s="10" t="s">
        <v>793</v>
      </c>
      <c r="G1704" s="10"/>
      <c r="H1704" s="10"/>
      <c r="I1704" s="10" t="s">
        <v>794</v>
      </c>
      <c r="J1704" s="10" t="s">
        <v>795</v>
      </c>
    </row>
    <row r="1705" spans="1:10" ht="15" hidden="1" customHeight="1">
      <c r="A1705" s="9">
        <v>1701</v>
      </c>
      <c r="B1705" s="10" t="s">
        <v>4328</v>
      </c>
      <c r="C1705" s="10" t="s">
        <v>4329</v>
      </c>
      <c r="D1705" s="10" t="s">
        <v>1193</v>
      </c>
      <c r="E1705" s="10" t="s">
        <v>4325</v>
      </c>
      <c r="F1705" s="10" t="s">
        <v>793</v>
      </c>
      <c r="G1705" s="10"/>
      <c r="H1705" s="10"/>
      <c r="I1705" s="10" t="s">
        <v>794</v>
      </c>
      <c r="J1705" s="10" t="s">
        <v>795</v>
      </c>
    </row>
    <row r="1706" spans="1:10" ht="15" hidden="1" customHeight="1">
      <c r="A1706" s="9">
        <v>1702</v>
      </c>
      <c r="B1706" s="10" t="s">
        <v>4330</v>
      </c>
      <c r="C1706" s="10" t="s">
        <v>4331</v>
      </c>
      <c r="D1706" s="10" t="s">
        <v>1193</v>
      </c>
      <c r="E1706" s="10" t="s">
        <v>4325</v>
      </c>
      <c r="F1706" s="10" t="s">
        <v>793</v>
      </c>
      <c r="G1706" s="10"/>
      <c r="H1706" s="10"/>
      <c r="I1706" s="10" t="s">
        <v>794</v>
      </c>
      <c r="J1706" s="10" t="s">
        <v>795</v>
      </c>
    </row>
    <row r="1707" spans="1:10" ht="15" hidden="1" customHeight="1">
      <c r="A1707" s="9">
        <v>1703</v>
      </c>
      <c r="B1707" s="10" t="s">
        <v>4332</v>
      </c>
      <c r="C1707" s="10" t="s">
        <v>4333</v>
      </c>
      <c r="D1707" s="10" t="s">
        <v>792</v>
      </c>
      <c r="E1707" s="10" t="s">
        <v>4297</v>
      </c>
      <c r="F1707" s="10" t="s">
        <v>794</v>
      </c>
      <c r="G1707" s="10" t="s">
        <v>3228</v>
      </c>
      <c r="H1707" s="10" t="s">
        <v>802</v>
      </c>
      <c r="I1707" s="10" t="s">
        <v>794</v>
      </c>
      <c r="J1707" s="10" t="s">
        <v>119</v>
      </c>
    </row>
    <row r="1708" spans="1:10" ht="15" hidden="1" customHeight="1">
      <c r="A1708" s="9">
        <v>1704</v>
      </c>
      <c r="B1708" s="10" t="s">
        <v>4334</v>
      </c>
      <c r="C1708" s="10" t="s">
        <v>4335</v>
      </c>
      <c r="D1708" s="10" t="s">
        <v>792</v>
      </c>
      <c r="E1708" s="10" t="s">
        <v>4297</v>
      </c>
      <c r="F1708" s="10" t="s">
        <v>794</v>
      </c>
      <c r="G1708" s="10" t="s">
        <v>3228</v>
      </c>
      <c r="H1708" s="10" t="s">
        <v>802</v>
      </c>
      <c r="I1708" s="10" t="s">
        <v>794</v>
      </c>
      <c r="J1708" s="10" t="s">
        <v>119</v>
      </c>
    </row>
    <row r="1709" spans="1:10" ht="15" hidden="1" customHeight="1">
      <c r="A1709" s="9">
        <v>1705</v>
      </c>
      <c r="B1709" s="10" t="s">
        <v>4336</v>
      </c>
      <c r="C1709" s="10" t="s">
        <v>4337</v>
      </c>
      <c r="D1709" s="10" t="s">
        <v>792</v>
      </c>
      <c r="E1709" s="10" t="s">
        <v>4297</v>
      </c>
      <c r="F1709" s="10" t="s">
        <v>794</v>
      </c>
      <c r="G1709" s="10" t="s">
        <v>3228</v>
      </c>
      <c r="H1709" s="10" t="s">
        <v>802</v>
      </c>
      <c r="I1709" s="10" t="s">
        <v>794</v>
      </c>
      <c r="J1709" s="10" t="s">
        <v>795</v>
      </c>
    </row>
    <row r="1710" spans="1:10" ht="15" hidden="1" customHeight="1">
      <c r="A1710" s="9">
        <v>1706</v>
      </c>
      <c r="B1710" s="10" t="s">
        <v>4338</v>
      </c>
      <c r="C1710" s="10" t="s">
        <v>4339</v>
      </c>
      <c r="D1710" s="10" t="s">
        <v>792</v>
      </c>
      <c r="E1710" s="10" t="s">
        <v>4297</v>
      </c>
      <c r="F1710" s="10" t="s">
        <v>794</v>
      </c>
      <c r="G1710" s="10" t="s">
        <v>1222</v>
      </c>
      <c r="H1710" s="10" t="s">
        <v>802</v>
      </c>
      <c r="I1710" s="10" t="s">
        <v>794</v>
      </c>
      <c r="J1710" s="10" t="s">
        <v>119</v>
      </c>
    </row>
    <row r="1711" spans="1:10" ht="15" hidden="1" customHeight="1">
      <c r="A1711" s="9">
        <v>1707</v>
      </c>
      <c r="B1711" s="10" t="s">
        <v>4340</v>
      </c>
      <c r="C1711" s="10" t="s">
        <v>4341</v>
      </c>
      <c r="D1711" s="10" t="s">
        <v>792</v>
      </c>
      <c r="E1711" s="10" t="s">
        <v>4297</v>
      </c>
      <c r="F1711" s="10" t="s">
        <v>794</v>
      </c>
      <c r="G1711" s="10" t="s">
        <v>1222</v>
      </c>
      <c r="H1711" s="10" t="s">
        <v>802</v>
      </c>
      <c r="I1711" s="10" t="s">
        <v>794</v>
      </c>
      <c r="J1711" s="10" t="s">
        <v>795</v>
      </c>
    </row>
    <row r="1712" spans="1:10" ht="15" hidden="1" customHeight="1">
      <c r="A1712" s="9">
        <v>1708</v>
      </c>
      <c r="B1712" s="10" t="s">
        <v>4342</v>
      </c>
      <c r="C1712" s="10" t="s">
        <v>4343</v>
      </c>
      <c r="D1712" s="10" t="s">
        <v>792</v>
      </c>
      <c r="E1712" s="10" t="s">
        <v>4299</v>
      </c>
      <c r="F1712" s="10" t="s">
        <v>794</v>
      </c>
      <c r="G1712" s="10" t="s">
        <v>3239</v>
      </c>
      <c r="H1712" s="10" t="s">
        <v>802</v>
      </c>
      <c r="I1712" s="10" t="s">
        <v>794</v>
      </c>
      <c r="J1712" s="10" t="s">
        <v>119</v>
      </c>
    </row>
    <row r="1713" spans="1:10" ht="15" hidden="1" customHeight="1">
      <c r="A1713" s="9">
        <v>1709</v>
      </c>
      <c r="B1713" s="10" t="s">
        <v>4344</v>
      </c>
      <c r="C1713" s="10" t="s">
        <v>4345</v>
      </c>
      <c r="D1713" s="10" t="s">
        <v>792</v>
      </c>
      <c r="E1713" s="10" t="s">
        <v>4299</v>
      </c>
      <c r="F1713" s="10" t="s">
        <v>794</v>
      </c>
      <c r="G1713" s="10" t="s">
        <v>3239</v>
      </c>
      <c r="H1713" s="10" t="s">
        <v>802</v>
      </c>
      <c r="I1713" s="10" t="s">
        <v>794</v>
      </c>
      <c r="J1713" s="10" t="s">
        <v>795</v>
      </c>
    </row>
    <row r="1714" spans="1:10" ht="15" hidden="1" customHeight="1">
      <c r="A1714" s="9">
        <v>1710</v>
      </c>
      <c r="B1714" s="10" t="s">
        <v>4346</v>
      </c>
      <c r="C1714" s="10" t="s">
        <v>4347</v>
      </c>
      <c r="D1714" s="10" t="s">
        <v>792</v>
      </c>
      <c r="E1714" s="10" t="s">
        <v>4299</v>
      </c>
      <c r="F1714" s="10" t="s">
        <v>794</v>
      </c>
      <c r="G1714" s="10" t="s">
        <v>3239</v>
      </c>
      <c r="H1714" s="10" t="s">
        <v>802</v>
      </c>
      <c r="I1714" s="10" t="s">
        <v>794</v>
      </c>
      <c r="J1714" s="10" t="s">
        <v>119</v>
      </c>
    </row>
    <row r="1715" spans="1:10" ht="15" hidden="1" customHeight="1">
      <c r="A1715" s="9">
        <v>1711</v>
      </c>
      <c r="B1715" s="10" t="s">
        <v>4348</v>
      </c>
      <c r="C1715" s="10" t="s">
        <v>4349</v>
      </c>
      <c r="D1715" s="10" t="s">
        <v>792</v>
      </c>
      <c r="E1715" s="10" t="s">
        <v>4299</v>
      </c>
      <c r="F1715" s="10" t="s">
        <v>794</v>
      </c>
      <c r="G1715" s="10" t="s">
        <v>3239</v>
      </c>
      <c r="H1715" s="10" t="s">
        <v>802</v>
      </c>
      <c r="I1715" s="10" t="s">
        <v>794</v>
      </c>
      <c r="J1715" s="10" t="s">
        <v>795</v>
      </c>
    </row>
    <row r="1716" spans="1:10" ht="15" hidden="1" customHeight="1">
      <c r="A1716" s="9">
        <v>1712</v>
      </c>
      <c r="B1716" s="10" t="s">
        <v>4350</v>
      </c>
      <c r="C1716" s="10" t="s">
        <v>4351</v>
      </c>
      <c r="D1716" s="10" t="s">
        <v>792</v>
      </c>
      <c r="E1716" s="10" t="s">
        <v>4299</v>
      </c>
      <c r="F1716" s="10" t="s">
        <v>794</v>
      </c>
      <c r="G1716" s="10" t="s">
        <v>1227</v>
      </c>
      <c r="H1716" s="10" t="s">
        <v>802</v>
      </c>
      <c r="I1716" s="10" t="s">
        <v>794</v>
      </c>
      <c r="J1716" s="10" t="s">
        <v>795</v>
      </c>
    </row>
    <row r="1717" spans="1:10" ht="15" hidden="1" customHeight="1">
      <c r="A1717" s="9">
        <v>1713</v>
      </c>
      <c r="B1717" s="10" t="s">
        <v>4352</v>
      </c>
      <c r="C1717" s="10" t="s">
        <v>4353</v>
      </c>
      <c r="D1717" s="10" t="s">
        <v>792</v>
      </c>
      <c r="E1717" s="10" t="s">
        <v>4299</v>
      </c>
      <c r="F1717" s="10" t="s">
        <v>794</v>
      </c>
      <c r="G1717" s="10" t="s">
        <v>1227</v>
      </c>
      <c r="H1717" s="10" t="s">
        <v>802</v>
      </c>
      <c r="I1717" s="10" t="s">
        <v>794</v>
      </c>
      <c r="J1717" s="10" t="s">
        <v>795</v>
      </c>
    </row>
    <row r="1718" spans="1:10" ht="15" hidden="1" customHeight="1">
      <c r="A1718" s="9">
        <v>1714</v>
      </c>
      <c r="B1718" s="10" t="s">
        <v>4354</v>
      </c>
      <c r="C1718" s="10" t="s">
        <v>4355</v>
      </c>
      <c r="D1718" s="10" t="s">
        <v>792</v>
      </c>
      <c r="E1718" s="10" t="s">
        <v>4301</v>
      </c>
      <c r="F1718" s="10" t="s">
        <v>794</v>
      </c>
      <c r="G1718" s="10" t="s">
        <v>3252</v>
      </c>
      <c r="H1718" s="10" t="s">
        <v>802</v>
      </c>
      <c r="I1718" s="10" t="s">
        <v>794</v>
      </c>
      <c r="J1718" s="10" t="s">
        <v>119</v>
      </c>
    </row>
    <row r="1719" spans="1:10" ht="15" hidden="1" customHeight="1">
      <c r="A1719" s="9">
        <v>1715</v>
      </c>
      <c r="B1719" s="10" t="s">
        <v>4356</v>
      </c>
      <c r="C1719" s="10" t="s">
        <v>4357</v>
      </c>
      <c r="D1719" s="10" t="s">
        <v>792</v>
      </c>
      <c r="E1719" s="10" t="s">
        <v>4301</v>
      </c>
      <c r="F1719" s="10" t="s">
        <v>794</v>
      </c>
      <c r="G1719" s="10" t="s">
        <v>3252</v>
      </c>
      <c r="H1719" s="10" t="s">
        <v>802</v>
      </c>
      <c r="I1719" s="10" t="s">
        <v>794</v>
      </c>
      <c r="J1719" s="10" t="s">
        <v>795</v>
      </c>
    </row>
    <row r="1720" spans="1:10" ht="15" hidden="1" customHeight="1">
      <c r="A1720" s="9">
        <v>1716</v>
      </c>
      <c r="B1720" s="10" t="s">
        <v>4358</v>
      </c>
      <c r="C1720" s="10" t="s">
        <v>4359</v>
      </c>
      <c r="D1720" s="10" t="s">
        <v>792</v>
      </c>
      <c r="E1720" s="10" t="s">
        <v>4301</v>
      </c>
      <c r="F1720" s="10" t="s">
        <v>794</v>
      </c>
      <c r="G1720" s="10" t="s">
        <v>3252</v>
      </c>
      <c r="H1720" s="10" t="s">
        <v>802</v>
      </c>
      <c r="I1720" s="10" t="s">
        <v>794</v>
      </c>
      <c r="J1720" s="10" t="s">
        <v>119</v>
      </c>
    </row>
    <row r="1721" spans="1:10" ht="15" hidden="1" customHeight="1">
      <c r="A1721" s="9">
        <v>1717</v>
      </c>
      <c r="B1721" s="10" t="s">
        <v>4360</v>
      </c>
      <c r="C1721" s="10" t="s">
        <v>4361</v>
      </c>
      <c r="D1721" s="10" t="s">
        <v>792</v>
      </c>
      <c r="E1721" s="10" t="s">
        <v>4301</v>
      </c>
      <c r="F1721" s="10" t="s">
        <v>794</v>
      </c>
      <c r="G1721" s="10" t="s">
        <v>3252</v>
      </c>
      <c r="H1721" s="10" t="s">
        <v>802</v>
      </c>
      <c r="I1721" s="10" t="s">
        <v>794</v>
      </c>
      <c r="J1721" s="10" t="s">
        <v>795</v>
      </c>
    </row>
    <row r="1722" spans="1:10" ht="15" hidden="1" customHeight="1">
      <c r="A1722" s="9">
        <v>1718</v>
      </c>
      <c r="B1722" s="10" t="s">
        <v>4362</v>
      </c>
      <c r="C1722" s="10" t="s">
        <v>4363</v>
      </c>
      <c r="D1722" s="10" t="s">
        <v>792</v>
      </c>
      <c r="E1722" s="10" t="s">
        <v>4301</v>
      </c>
      <c r="F1722" s="10" t="s">
        <v>794</v>
      </c>
      <c r="G1722" s="10" t="s">
        <v>3252</v>
      </c>
      <c r="H1722" s="10" t="s">
        <v>802</v>
      </c>
      <c r="I1722" s="10" t="s">
        <v>794</v>
      </c>
      <c r="J1722" s="10" t="s">
        <v>119</v>
      </c>
    </row>
    <row r="1723" spans="1:10" ht="15" hidden="1" customHeight="1">
      <c r="A1723" s="9">
        <v>1719</v>
      </c>
      <c r="B1723" s="10" t="s">
        <v>4364</v>
      </c>
      <c r="C1723" s="10" t="s">
        <v>4365</v>
      </c>
      <c r="D1723" s="10" t="s">
        <v>792</v>
      </c>
      <c r="E1723" s="10" t="s">
        <v>4301</v>
      </c>
      <c r="F1723" s="10" t="s">
        <v>794</v>
      </c>
      <c r="G1723" s="10" t="s">
        <v>3252</v>
      </c>
      <c r="H1723" s="10" t="s">
        <v>802</v>
      </c>
      <c r="I1723" s="10" t="s">
        <v>794</v>
      </c>
      <c r="J1723" s="10" t="s">
        <v>795</v>
      </c>
    </row>
    <row r="1724" spans="1:10" ht="15" hidden="1" customHeight="1">
      <c r="A1724" s="9">
        <v>1720</v>
      </c>
      <c r="B1724" s="10" t="s">
        <v>4366</v>
      </c>
      <c r="C1724" s="10" t="s">
        <v>4367</v>
      </c>
      <c r="D1724" s="10" t="s">
        <v>792</v>
      </c>
      <c r="E1724" s="10" t="s">
        <v>4301</v>
      </c>
      <c r="F1724" s="10" t="s">
        <v>794</v>
      </c>
      <c r="G1724" s="10" t="s">
        <v>1246</v>
      </c>
      <c r="H1724" s="10" t="s">
        <v>802</v>
      </c>
      <c r="I1724" s="10" t="s">
        <v>794</v>
      </c>
      <c r="J1724" s="10" t="s">
        <v>795</v>
      </c>
    </row>
    <row r="1725" spans="1:10" ht="15" hidden="1" customHeight="1">
      <c r="A1725" s="9">
        <v>1721</v>
      </c>
      <c r="B1725" s="10" t="s">
        <v>4368</v>
      </c>
      <c r="C1725" s="10" t="s">
        <v>4369</v>
      </c>
      <c r="D1725" s="10" t="s">
        <v>792</v>
      </c>
      <c r="E1725" s="10" t="s">
        <v>4301</v>
      </c>
      <c r="F1725" s="10" t="s">
        <v>794</v>
      </c>
      <c r="G1725" s="10" t="s">
        <v>1246</v>
      </c>
      <c r="H1725" s="10" t="s">
        <v>802</v>
      </c>
      <c r="I1725" s="10" t="s">
        <v>794</v>
      </c>
      <c r="J1725" s="10" t="s">
        <v>795</v>
      </c>
    </row>
    <row r="1726" spans="1:10" ht="15" hidden="1" customHeight="1">
      <c r="A1726" s="9">
        <v>1722</v>
      </c>
      <c r="B1726" s="10" t="s">
        <v>4370</v>
      </c>
      <c r="C1726" s="10" t="s">
        <v>4371</v>
      </c>
      <c r="D1726" s="10" t="s">
        <v>792</v>
      </c>
      <c r="E1726" s="10" t="s">
        <v>4301</v>
      </c>
      <c r="F1726" s="10" t="s">
        <v>794</v>
      </c>
      <c r="G1726" s="10" t="s">
        <v>1246</v>
      </c>
      <c r="H1726" s="10" t="s">
        <v>802</v>
      </c>
      <c r="I1726" s="10" t="s">
        <v>794</v>
      </c>
      <c r="J1726" s="10" t="s">
        <v>795</v>
      </c>
    </row>
    <row r="1727" spans="1:10" ht="15" hidden="1" customHeight="1">
      <c r="A1727" s="9">
        <v>1723</v>
      </c>
      <c r="B1727" s="10" t="s">
        <v>4372</v>
      </c>
      <c r="C1727" s="10" t="s">
        <v>4373</v>
      </c>
      <c r="D1727" s="10" t="s">
        <v>792</v>
      </c>
      <c r="E1727" s="10" t="s">
        <v>4301</v>
      </c>
      <c r="F1727" s="10" t="s">
        <v>794</v>
      </c>
      <c r="G1727" s="10" t="s">
        <v>1246</v>
      </c>
      <c r="H1727" s="10" t="s">
        <v>802</v>
      </c>
      <c r="I1727" s="10" t="s">
        <v>794</v>
      </c>
      <c r="J1727" s="10" t="s">
        <v>795</v>
      </c>
    </row>
    <row r="1728" spans="1:10" ht="15" hidden="1" customHeight="1">
      <c r="A1728" s="9">
        <v>1724</v>
      </c>
      <c r="B1728" s="10" t="s">
        <v>4374</v>
      </c>
      <c r="C1728" s="10" t="s">
        <v>4375</v>
      </c>
      <c r="D1728" s="10" t="s">
        <v>792</v>
      </c>
      <c r="E1728" s="10" t="s">
        <v>4303</v>
      </c>
      <c r="F1728" s="10" t="s">
        <v>794</v>
      </c>
      <c r="G1728" s="10" t="s">
        <v>3273</v>
      </c>
      <c r="H1728" s="10" t="s">
        <v>802</v>
      </c>
      <c r="I1728" s="10" t="s">
        <v>794</v>
      </c>
      <c r="J1728" s="10" t="s">
        <v>119</v>
      </c>
    </row>
    <row r="1729" spans="1:10" ht="15" hidden="1" customHeight="1">
      <c r="A1729" s="9">
        <v>1725</v>
      </c>
      <c r="B1729" s="10" t="s">
        <v>4376</v>
      </c>
      <c r="C1729" s="10" t="s">
        <v>4377</v>
      </c>
      <c r="D1729" s="10" t="s">
        <v>792</v>
      </c>
      <c r="E1729" s="10" t="s">
        <v>4303</v>
      </c>
      <c r="F1729" s="10" t="s">
        <v>794</v>
      </c>
      <c r="G1729" s="10" t="s">
        <v>3273</v>
      </c>
      <c r="H1729" s="10" t="s">
        <v>802</v>
      </c>
      <c r="I1729" s="10" t="s">
        <v>794</v>
      </c>
      <c r="J1729" s="10" t="s">
        <v>795</v>
      </c>
    </row>
    <row r="1730" spans="1:10" ht="15" hidden="1" customHeight="1">
      <c r="A1730" s="9">
        <v>1726</v>
      </c>
      <c r="B1730" s="10" t="s">
        <v>4378</v>
      </c>
      <c r="C1730" s="10" t="s">
        <v>4379</v>
      </c>
      <c r="D1730" s="10" t="s">
        <v>792</v>
      </c>
      <c r="E1730" s="10" t="s">
        <v>4303</v>
      </c>
      <c r="F1730" s="10" t="s">
        <v>794</v>
      </c>
      <c r="G1730" s="10" t="s">
        <v>3273</v>
      </c>
      <c r="H1730" s="10" t="s">
        <v>802</v>
      </c>
      <c r="I1730" s="10" t="s">
        <v>794</v>
      </c>
      <c r="J1730" s="10" t="s">
        <v>119</v>
      </c>
    </row>
    <row r="1731" spans="1:10" ht="15" hidden="1" customHeight="1">
      <c r="A1731" s="9">
        <v>1727</v>
      </c>
      <c r="B1731" s="10" t="s">
        <v>4380</v>
      </c>
      <c r="C1731" s="10" t="s">
        <v>4381</v>
      </c>
      <c r="D1731" s="10" t="s">
        <v>792</v>
      </c>
      <c r="E1731" s="10" t="s">
        <v>4303</v>
      </c>
      <c r="F1731" s="10" t="s">
        <v>794</v>
      </c>
      <c r="G1731" s="10" t="s">
        <v>3273</v>
      </c>
      <c r="H1731" s="10" t="s">
        <v>802</v>
      </c>
      <c r="I1731" s="10" t="s">
        <v>794</v>
      </c>
      <c r="J1731" s="10" t="s">
        <v>795</v>
      </c>
    </row>
    <row r="1732" spans="1:10" ht="15" hidden="1" customHeight="1">
      <c r="A1732" s="9">
        <v>1728</v>
      </c>
      <c r="B1732" s="10" t="s">
        <v>4382</v>
      </c>
      <c r="C1732" s="10" t="s">
        <v>4383</v>
      </c>
      <c r="D1732" s="10" t="s">
        <v>792</v>
      </c>
      <c r="E1732" s="10" t="s">
        <v>4303</v>
      </c>
      <c r="F1732" s="10" t="s">
        <v>794</v>
      </c>
      <c r="G1732" s="10" t="s">
        <v>1267</v>
      </c>
      <c r="H1732" s="10" t="s">
        <v>802</v>
      </c>
      <c r="I1732" s="10" t="s">
        <v>794</v>
      </c>
      <c r="J1732" s="10" t="s">
        <v>795</v>
      </c>
    </row>
    <row r="1733" spans="1:10" ht="15" hidden="1" customHeight="1">
      <c r="A1733" s="9">
        <v>1729</v>
      </c>
      <c r="B1733" s="10" t="s">
        <v>4384</v>
      </c>
      <c r="C1733" s="10" t="s">
        <v>4385</v>
      </c>
      <c r="D1733" s="10" t="s">
        <v>792</v>
      </c>
      <c r="E1733" s="10" t="s">
        <v>4303</v>
      </c>
      <c r="F1733" s="10" t="s">
        <v>794</v>
      </c>
      <c r="G1733" s="10" t="s">
        <v>1267</v>
      </c>
      <c r="H1733" s="10" t="s">
        <v>802</v>
      </c>
      <c r="I1733" s="10" t="s">
        <v>794</v>
      </c>
      <c r="J1733" s="10" t="s">
        <v>795</v>
      </c>
    </row>
    <row r="1734" spans="1:10" ht="15" hidden="1" customHeight="1">
      <c r="A1734" s="9">
        <v>1730</v>
      </c>
      <c r="B1734" s="10" t="s">
        <v>4386</v>
      </c>
      <c r="C1734" s="10" t="s">
        <v>4387</v>
      </c>
      <c r="D1734" s="10" t="s">
        <v>792</v>
      </c>
      <c r="E1734" s="10" t="s">
        <v>4305</v>
      </c>
      <c r="F1734" s="10" t="s">
        <v>794</v>
      </c>
      <c r="G1734" s="10" t="s">
        <v>3273</v>
      </c>
      <c r="H1734" s="10" t="s">
        <v>802</v>
      </c>
      <c r="I1734" s="10" t="s">
        <v>794</v>
      </c>
      <c r="J1734" s="10" t="s">
        <v>119</v>
      </c>
    </row>
    <row r="1735" spans="1:10" ht="15" hidden="1" customHeight="1">
      <c r="A1735" s="9">
        <v>1731</v>
      </c>
      <c r="B1735" s="10" t="s">
        <v>4388</v>
      </c>
      <c r="C1735" s="10" t="s">
        <v>4389</v>
      </c>
      <c r="D1735" s="10" t="s">
        <v>792</v>
      </c>
      <c r="E1735" s="10" t="s">
        <v>4305</v>
      </c>
      <c r="F1735" s="10" t="s">
        <v>794</v>
      </c>
      <c r="G1735" s="10" t="s">
        <v>3273</v>
      </c>
      <c r="H1735" s="10" t="s">
        <v>802</v>
      </c>
      <c r="I1735" s="10" t="s">
        <v>794</v>
      </c>
      <c r="J1735" s="10" t="s">
        <v>795</v>
      </c>
    </row>
    <row r="1736" spans="1:10" ht="15" hidden="1" customHeight="1">
      <c r="A1736" s="9">
        <v>1732</v>
      </c>
      <c r="B1736" s="10" t="s">
        <v>4390</v>
      </c>
      <c r="C1736" s="10" t="s">
        <v>4391</v>
      </c>
      <c r="D1736" s="10" t="s">
        <v>792</v>
      </c>
      <c r="E1736" s="10" t="s">
        <v>4305</v>
      </c>
      <c r="F1736" s="10" t="s">
        <v>794</v>
      </c>
      <c r="G1736" s="10" t="s">
        <v>1267</v>
      </c>
      <c r="H1736" s="10" t="s">
        <v>802</v>
      </c>
      <c r="I1736" s="10" t="s">
        <v>794</v>
      </c>
      <c r="J1736" s="10" t="s">
        <v>795</v>
      </c>
    </row>
    <row r="1737" spans="1:10" ht="15" hidden="1" customHeight="1">
      <c r="A1737" s="9">
        <v>1733</v>
      </c>
      <c r="B1737" s="10" t="s">
        <v>4392</v>
      </c>
      <c r="C1737" s="10" t="s">
        <v>4393</v>
      </c>
      <c r="D1737" s="10" t="s">
        <v>792</v>
      </c>
      <c r="E1737" s="10" t="s">
        <v>4305</v>
      </c>
      <c r="F1737" s="10" t="s">
        <v>794</v>
      </c>
      <c r="G1737" s="10" t="s">
        <v>1267</v>
      </c>
      <c r="H1737" s="10" t="s">
        <v>802</v>
      </c>
      <c r="I1737" s="10" t="s">
        <v>794</v>
      </c>
      <c r="J1737" s="10" t="s">
        <v>795</v>
      </c>
    </row>
    <row r="1738" spans="1:10" ht="15" hidden="1" customHeight="1">
      <c r="A1738" s="9">
        <v>1734</v>
      </c>
      <c r="B1738" s="10" t="s">
        <v>4394</v>
      </c>
      <c r="C1738" s="10" t="s">
        <v>4395</v>
      </c>
      <c r="D1738" s="10" t="s">
        <v>792</v>
      </c>
      <c r="E1738" s="10" t="s">
        <v>4307</v>
      </c>
      <c r="F1738" s="10" t="s">
        <v>794</v>
      </c>
      <c r="G1738" s="10" t="s">
        <v>3294</v>
      </c>
      <c r="H1738" s="10" t="s">
        <v>802</v>
      </c>
      <c r="I1738" s="10" t="s">
        <v>794</v>
      </c>
      <c r="J1738" s="10" t="s">
        <v>119</v>
      </c>
    </row>
    <row r="1739" spans="1:10" ht="15" hidden="1" customHeight="1">
      <c r="A1739" s="9">
        <v>1735</v>
      </c>
      <c r="B1739" s="10" t="s">
        <v>4396</v>
      </c>
      <c r="C1739" s="10" t="s">
        <v>4397</v>
      </c>
      <c r="D1739" s="10" t="s">
        <v>792</v>
      </c>
      <c r="E1739" s="10" t="s">
        <v>4307</v>
      </c>
      <c r="F1739" s="10" t="s">
        <v>794</v>
      </c>
      <c r="G1739" s="10" t="s">
        <v>3294</v>
      </c>
      <c r="H1739" s="10" t="s">
        <v>802</v>
      </c>
      <c r="I1739" s="10" t="s">
        <v>794</v>
      </c>
      <c r="J1739" s="10" t="s">
        <v>795</v>
      </c>
    </row>
    <row r="1740" spans="1:10" ht="15" hidden="1" customHeight="1">
      <c r="A1740" s="9">
        <v>1736</v>
      </c>
      <c r="B1740" s="10" t="s">
        <v>4398</v>
      </c>
      <c r="C1740" s="10" t="s">
        <v>4399</v>
      </c>
      <c r="D1740" s="10" t="s">
        <v>792</v>
      </c>
      <c r="E1740" s="10" t="s">
        <v>4307</v>
      </c>
      <c r="F1740" s="10" t="s">
        <v>794</v>
      </c>
      <c r="G1740" s="10" t="s">
        <v>1284</v>
      </c>
      <c r="H1740" s="10" t="s">
        <v>802</v>
      </c>
      <c r="I1740" s="10" t="s">
        <v>794</v>
      </c>
      <c r="J1740" s="10" t="s">
        <v>795</v>
      </c>
    </row>
    <row r="1741" spans="1:10" ht="15" hidden="1" customHeight="1">
      <c r="A1741" s="9">
        <v>1737</v>
      </c>
      <c r="B1741" s="10" t="s">
        <v>4400</v>
      </c>
      <c r="C1741" s="10" t="s">
        <v>4401</v>
      </c>
      <c r="D1741" s="10" t="s">
        <v>792</v>
      </c>
      <c r="E1741" s="10" t="s">
        <v>4307</v>
      </c>
      <c r="F1741" s="10" t="s">
        <v>794</v>
      </c>
      <c r="G1741" s="10" t="s">
        <v>1284</v>
      </c>
      <c r="H1741" s="10" t="s">
        <v>802</v>
      </c>
      <c r="I1741" s="10" t="s">
        <v>794</v>
      </c>
      <c r="J1741" s="10" t="s">
        <v>795</v>
      </c>
    </row>
    <row r="1742" spans="1:10" ht="15" hidden="1" customHeight="1">
      <c r="A1742" s="9">
        <v>1738</v>
      </c>
      <c r="B1742" s="10" t="s">
        <v>4402</v>
      </c>
      <c r="C1742" s="10" t="s">
        <v>4403</v>
      </c>
      <c r="D1742" s="10" t="s">
        <v>792</v>
      </c>
      <c r="E1742" s="10" t="s">
        <v>4309</v>
      </c>
      <c r="F1742" s="10" t="s">
        <v>794</v>
      </c>
      <c r="G1742" s="10" t="s">
        <v>3273</v>
      </c>
      <c r="H1742" s="10" t="s">
        <v>802</v>
      </c>
      <c r="I1742" s="10" t="s">
        <v>794</v>
      </c>
      <c r="J1742" s="10" t="s">
        <v>119</v>
      </c>
    </row>
    <row r="1743" spans="1:10" ht="15" hidden="1" customHeight="1">
      <c r="A1743" s="9">
        <v>1739</v>
      </c>
      <c r="B1743" s="10" t="s">
        <v>4404</v>
      </c>
      <c r="C1743" s="10" t="s">
        <v>4405</v>
      </c>
      <c r="D1743" s="10" t="s">
        <v>792</v>
      </c>
      <c r="E1743" s="10" t="s">
        <v>4309</v>
      </c>
      <c r="F1743" s="10" t="s">
        <v>794</v>
      </c>
      <c r="G1743" s="10" t="s">
        <v>3273</v>
      </c>
      <c r="H1743" s="10" t="s">
        <v>802</v>
      </c>
      <c r="I1743" s="10" t="s">
        <v>794</v>
      </c>
      <c r="J1743" s="10" t="s">
        <v>119</v>
      </c>
    </row>
    <row r="1744" spans="1:10" ht="15" hidden="1" customHeight="1">
      <c r="A1744" s="9">
        <v>1740</v>
      </c>
      <c r="B1744" s="10" t="s">
        <v>4406</v>
      </c>
      <c r="C1744" s="10" t="s">
        <v>4407</v>
      </c>
      <c r="D1744" s="10" t="s">
        <v>792</v>
      </c>
      <c r="E1744" s="10" t="s">
        <v>4309</v>
      </c>
      <c r="F1744" s="10" t="s">
        <v>794</v>
      </c>
      <c r="G1744" s="10" t="s">
        <v>3273</v>
      </c>
      <c r="H1744" s="10" t="s">
        <v>802</v>
      </c>
      <c r="I1744" s="10" t="s">
        <v>794</v>
      </c>
      <c r="J1744" s="10" t="s">
        <v>119</v>
      </c>
    </row>
    <row r="1745" spans="1:10" ht="15" hidden="1" customHeight="1">
      <c r="A1745" s="9">
        <v>1741</v>
      </c>
      <c r="B1745" s="10" t="s">
        <v>4408</v>
      </c>
      <c r="C1745" s="10" t="s">
        <v>4409</v>
      </c>
      <c r="D1745" s="10" t="s">
        <v>792</v>
      </c>
      <c r="E1745" s="10" t="s">
        <v>4309</v>
      </c>
      <c r="F1745" s="10" t="s">
        <v>794</v>
      </c>
      <c r="G1745" s="10" t="s">
        <v>3273</v>
      </c>
      <c r="H1745" s="10" t="s">
        <v>802</v>
      </c>
      <c r="I1745" s="10" t="s">
        <v>794</v>
      </c>
      <c r="J1745" s="10" t="s">
        <v>119</v>
      </c>
    </row>
    <row r="1746" spans="1:10" ht="15" hidden="1" customHeight="1">
      <c r="A1746" s="9">
        <v>1742</v>
      </c>
      <c r="B1746" s="10" t="s">
        <v>4410</v>
      </c>
      <c r="C1746" s="10" t="s">
        <v>4411</v>
      </c>
      <c r="D1746" s="10" t="s">
        <v>792</v>
      </c>
      <c r="E1746" s="10" t="s">
        <v>4309</v>
      </c>
      <c r="F1746" s="10" t="s">
        <v>794</v>
      </c>
      <c r="G1746" s="10" t="s">
        <v>3273</v>
      </c>
      <c r="H1746" s="10" t="s">
        <v>802</v>
      </c>
      <c r="I1746" s="10" t="s">
        <v>794</v>
      </c>
      <c r="J1746" s="10" t="s">
        <v>119</v>
      </c>
    </row>
    <row r="1747" spans="1:10" ht="15" hidden="1" customHeight="1">
      <c r="A1747" s="9">
        <v>1743</v>
      </c>
      <c r="B1747" s="10" t="s">
        <v>4412</v>
      </c>
      <c r="C1747" s="10" t="s">
        <v>4413</v>
      </c>
      <c r="D1747" s="10" t="s">
        <v>792</v>
      </c>
      <c r="E1747" s="10" t="s">
        <v>4309</v>
      </c>
      <c r="F1747" s="10" t="s">
        <v>794</v>
      </c>
      <c r="G1747" s="10" t="s">
        <v>3273</v>
      </c>
      <c r="H1747" s="10" t="s">
        <v>802</v>
      </c>
      <c r="I1747" s="10" t="s">
        <v>794</v>
      </c>
      <c r="J1747" s="10" t="s">
        <v>119</v>
      </c>
    </row>
    <row r="1748" spans="1:10" ht="15" hidden="1" customHeight="1">
      <c r="A1748" s="9">
        <v>1744</v>
      </c>
      <c r="B1748" s="10" t="s">
        <v>4414</v>
      </c>
      <c r="C1748" s="10" t="s">
        <v>4415</v>
      </c>
      <c r="D1748" s="10" t="s">
        <v>792</v>
      </c>
      <c r="E1748" s="10" t="s">
        <v>4309</v>
      </c>
      <c r="F1748" s="10" t="s">
        <v>794</v>
      </c>
      <c r="G1748" s="10" t="s">
        <v>1267</v>
      </c>
      <c r="H1748" s="10" t="s">
        <v>802</v>
      </c>
      <c r="I1748" s="10" t="s">
        <v>794</v>
      </c>
      <c r="J1748" s="10" t="s">
        <v>795</v>
      </c>
    </row>
    <row r="1749" spans="1:10" ht="15" hidden="1" customHeight="1">
      <c r="A1749" s="9">
        <v>1745</v>
      </c>
      <c r="B1749" s="10" t="s">
        <v>4416</v>
      </c>
      <c r="C1749" s="10" t="s">
        <v>4417</v>
      </c>
      <c r="D1749" s="10" t="s">
        <v>792</v>
      </c>
      <c r="E1749" s="10" t="s">
        <v>4311</v>
      </c>
      <c r="F1749" s="10" t="s">
        <v>794</v>
      </c>
      <c r="G1749" s="10" t="s">
        <v>1362</v>
      </c>
      <c r="H1749" s="10" t="s">
        <v>802</v>
      </c>
      <c r="I1749" s="10" t="s">
        <v>794</v>
      </c>
      <c r="J1749" s="10" t="s">
        <v>119</v>
      </c>
    </row>
    <row r="1750" spans="1:10" ht="15" hidden="1" customHeight="1">
      <c r="A1750" s="9">
        <v>1746</v>
      </c>
      <c r="B1750" s="10" t="s">
        <v>4418</v>
      </c>
      <c r="C1750" s="10" t="s">
        <v>4419</v>
      </c>
      <c r="D1750" s="10" t="s">
        <v>792</v>
      </c>
      <c r="E1750" s="10" t="s">
        <v>4311</v>
      </c>
      <c r="F1750" s="10" t="s">
        <v>794</v>
      </c>
      <c r="G1750" s="10" t="s">
        <v>1362</v>
      </c>
      <c r="H1750" s="10" t="s">
        <v>802</v>
      </c>
      <c r="I1750" s="10" t="s">
        <v>794</v>
      </c>
      <c r="J1750" s="10" t="s">
        <v>119</v>
      </c>
    </row>
    <row r="1751" spans="1:10" ht="15" hidden="1" customHeight="1">
      <c r="A1751" s="9">
        <v>1747</v>
      </c>
      <c r="B1751" s="10" t="s">
        <v>4420</v>
      </c>
      <c r="C1751" s="10" t="s">
        <v>4421</v>
      </c>
      <c r="D1751" s="10" t="s">
        <v>792</v>
      </c>
      <c r="E1751" s="10" t="s">
        <v>4311</v>
      </c>
      <c r="F1751" s="10" t="s">
        <v>794</v>
      </c>
      <c r="G1751" s="10" t="s">
        <v>1362</v>
      </c>
      <c r="H1751" s="10" t="s">
        <v>802</v>
      </c>
      <c r="I1751" s="10" t="s">
        <v>794</v>
      </c>
      <c r="J1751" s="10" t="s">
        <v>119</v>
      </c>
    </row>
    <row r="1752" spans="1:10" ht="15" hidden="1" customHeight="1">
      <c r="A1752" s="9">
        <v>1748</v>
      </c>
      <c r="B1752" s="10" t="s">
        <v>4422</v>
      </c>
      <c r="C1752" s="10" t="s">
        <v>4423</v>
      </c>
      <c r="D1752" s="10" t="s">
        <v>792</v>
      </c>
      <c r="E1752" s="10" t="s">
        <v>4311</v>
      </c>
      <c r="F1752" s="10" t="s">
        <v>794</v>
      </c>
      <c r="G1752" s="10" t="s">
        <v>1362</v>
      </c>
      <c r="H1752" s="10" t="s">
        <v>802</v>
      </c>
      <c r="I1752" s="10" t="s">
        <v>794</v>
      </c>
      <c r="J1752" s="10" t="s">
        <v>795</v>
      </c>
    </row>
    <row r="1753" spans="1:10" ht="15" hidden="1" customHeight="1">
      <c r="A1753" s="9">
        <v>1749</v>
      </c>
      <c r="B1753" s="10" t="s">
        <v>4424</v>
      </c>
      <c r="C1753" s="10" t="s">
        <v>4425</v>
      </c>
      <c r="D1753" s="10" t="s">
        <v>792</v>
      </c>
      <c r="E1753" s="10" t="s">
        <v>4311</v>
      </c>
      <c r="F1753" s="10" t="s">
        <v>794</v>
      </c>
      <c r="G1753" s="10" t="s">
        <v>1362</v>
      </c>
      <c r="H1753" s="10" t="s">
        <v>802</v>
      </c>
      <c r="I1753" s="10" t="s">
        <v>794</v>
      </c>
      <c r="J1753" s="10" t="s">
        <v>119</v>
      </c>
    </row>
    <row r="1754" spans="1:10" ht="15" hidden="1" customHeight="1">
      <c r="A1754" s="9">
        <v>1750</v>
      </c>
      <c r="B1754" s="10" t="s">
        <v>4426</v>
      </c>
      <c r="C1754" s="10" t="s">
        <v>4427</v>
      </c>
      <c r="D1754" s="10" t="s">
        <v>792</v>
      </c>
      <c r="E1754" s="10" t="s">
        <v>4311</v>
      </c>
      <c r="F1754" s="10" t="s">
        <v>794</v>
      </c>
      <c r="G1754" s="10" t="s">
        <v>1362</v>
      </c>
      <c r="H1754" s="10" t="s">
        <v>802</v>
      </c>
      <c r="I1754" s="10" t="s">
        <v>794</v>
      </c>
      <c r="J1754" s="10" t="s">
        <v>795</v>
      </c>
    </row>
    <row r="1755" spans="1:10" ht="15" hidden="1" customHeight="1">
      <c r="A1755" s="9">
        <v>1751</v>
      </c>
      <c r="B1755" s="10" t="s">
        <v>4428</v>
      </c>
      <c r="C1755" s="10" t="s">
        <v>4429</v>
      </c>
      <c r="D1755" s="10" t="s">
        <v>792</v>
      </c>
      <c r="E1755" s="10" t="s">
        <v>4311</v>
      </c>
      <c r="F1755" s="10" t="s">
        <v>794</v>
      </c>
      <c r="G1755" s="10" t="s">
        <v>1362</v>
      </c>
      <c r="H1755" s="10" t="s">
        <v>802</v>
      </c>
      <c r="I1755" s="10" t="s">
        <v>794</v>
      </c>
      <c r="J1755" s="10" t="s">
        <v>795</v>
      </c>
    </row>
    <row r="1756" spans="1:10" ht="15" hidden="1" customHeight="1">
      <c r="A1756" s="9">
        <v>1752</v>
      </c>
      <c r="B1756" s="10" t="s">
        <v>4430</v>
      </c>
      <c r="C1756" s="10" t="s">
        <v>4431</v>
      </c>
      <c r="D1756" s="10" t="s">
        <v>792</v>
      </c>
      <c r="E1756" s="10" t="s">
        <v>4311</v>
      </c>
      <c r="F1756" s="10" t="s">
        <v>794</v>
      </c>
      <c r="G1756" s="10" t="s">
        <v>1362</v>
      </c>
      <c r="H1756" s="10" t="s">
        <v>802</v>
      </c>
      <c r="I1756" s="10" t="s">
        <v>794</v>
      </c>
      <c r="J1756" s="10" t="s">
        <v>795</v>
      </c>
    </row>
    <row r="1757" spans="1:10" ht="15" hidden="1" customHeight="1">
      <c r="A1757" s="9">
        <v>1753</v>
      </c>
      <c r="B1757" s="10" t="s">
        <v>4432</v>
      </c>
      <c r="C1757" s="10" t="s">
        <v>4433</v>
      </c>
      <c r="D1757" s="10" t="s">
        <v>792</v>
      </c>
      <c r="E1757" s="10" t="s">
        <v>4315</v>
      </c>
      <c r="F1757" s="10" t="s">
        <v>794</v>
      </c>
      <c r="G1757" s="10" t="s">
        <v>801</v>
      </c>
      <c r="H1757" s="10" t="s">
        <v>802</v>
      </c>
      <c r="I1757" s="10" t="s">
        <v>794</v>
      </c>
      <c r="J1757" s="10" t="s">
        <v>119</v>
      </c>
    </row>
    <row r="1758" spans="1:10" ht="15" hidden="1" customHeight="1">
      <c r="A1758" s="9">
        <v>1754</v>
      </c>
      <c r="B1758" s="10" t="s">
        <v>4434</v>
      </c>
      <c r="C1758" s="10" t="s">
        <v>4435</v>
      </c>
      <c r="D1758" s="10" t="s">
        <v>792</v>
      </c>
      <c r="E1758" s="10" t="s">
        <v>4319</v>
      </c>
      <c r="F1758" s="10" t="s">
        <v>794</v>
      </c>
      <c r="G1758" s="10" t="s">
        <v>1024</v>
      </c>
      <c r="H1758" s="10" t="s">
        <v>802</v>
      </c>
      <c r="I1758" s="10" t="s">
        <v>794</v>
      </c>
      <c r="J1758" s="10" t="s">
        <v>795</v>
      </c>
    </row>
    <row r="1759" spans="1:10" ht="15" hidden="1" customHeight="1">
      <c r="A1759" s="9">
        <v>1755</v>
      </c>
      <c r="B1759" s="10" t="s">
        <v>4436</v>
      </c>
      <c r="C1759" s="10" t="s">
        <v>4437</v>
      </c>
      <c r="D1759" s="10" t="s">
        <v>792</v>
      </c>
      <c r="E1759" s="10" t="s">
        <v>4319</v>
      </c>
      <c r="F1759" s="10" t="s">
        <v>794</v>
      </c>
      <c r="G1759" s="10" t="s">
        <v>1024</v>
      </c>
      <c r="H1759" s="10" t="s">
        <v>802</v>
      </c>
      <c r="I1759" s="10" t="s">
        <v>794</v>
      </c>
      <c r="J1759" s="10" t="s">
        <v>795</v>
      </c>
    </row>
    <row r="1760" spans="1:10" ht="15" hidden="1" customHeight="1">
      <c r="A1760" s="9">
        <v>1756</v>
      </c>
      <c r="B1760" s="10" t="s">
        <v>4438</v>
      </c>
      <c r="C1760" s="10" t="s">
        <v>4439</v>
      </c>
      <c r="D1760" s="10" t="s">
        <v>792</v>
      </c>
      <c r="E1760" s="10" t="s">
        <v>4319</v>
      </c>
      <c r="F1760" s="10" t="s">
        <v>794</v>
      </c>
      <c r="G1760" s="10" t="s">
        <v>1024</v>
      </c>
      <c r="H1760" s="10" t="s">
        <v>802</v>
      </c>
      <c r="I1760" s="10" t="s">
        <v>794</v>
      </c>
      <c r="J1760" s="10" t="s">
        <v>795</v>
      </c>
    </row>
    <row r="1761" spans="1:10" ht="15" hidden="1" customHeight="1">
      <c r="A1761" s="9">
        <v>1757</v>
      </c>
      <c r="B1761" s="10" t="s">
        <v>4440</v>
      </c>
      <c r="C1761" s="10" t="s">
        <v>4441</v>
      </c>
      <c r="D1761" s="10" t="s">
        <v>1193</v>
      </c>
      <c r="E1761" s="10" t="s">
        <v>4327</v>
      </c>
      <c r="F1761" s="10" t="s">
        <v>794</v>
      </c>
      <c r="G1761" s="10" t="s">
        <v>1441</v>
      </c>
      <c r="H1761" s="10" t="s">
        <v>802</v>
      </c>
      <c r="I1761" s="10" t="s">
        <v>794</v>
      </c>
      <c r="J1761" s="10" t="s">
        <v>795</v>
      </c>
    </row>
    <row r="1762" spans="1:10" ht="15" hidden="1" customHeight="1">
      <c r="A1762" s="9">
        <v>1758</v>
      </c>
      <c r="B1762" s="10" t="s">
        <v>4442</v>
      </c>
      <c r="C1762" s="10" t="s">
        <v>4443</v>
      </c>
      <c r="D1762" s="10" t="s">
        <v>1193</v>
      </c>
      <c r="E1762" s="10" t="s">
        <v>4327</v>
      </c>
      <c r="F1762" s="10" t="s">
        <v>794</v>
      </c>
      <c r="G1762" s="10" t="s">
        <v>1441</v>
      </c>
      <c r="H1762" s="10" t="s">
        <v>802</v>
      </c>
      <c r="I1762" s="10" t="s">
        <v>794</v>
      </c>
      <c r="J1762" s="10" t="s">
        <v>795</v>
      </c>
    </row>
    <row r="1763" spans="1:10" ht="15" hidden="1" customHeight="1">
      <c r="A1763" s="9">
        <v>1759</v>
      </c>
      <c r="B1763" s="10" t="s">
        <v>4444</v>
      </c>
      <c r="C1763" s="10" t="s">
        <v>4445</v>
      </c>
      <c r="D1763" s="10" t="s">
        <v>1460</v>
      </c>
      <c r="E1763" s="10" t="s">
        <v>1459</v>
      </c>
      <c r="F1763" s="10" t="s">
        <v>793</v>
      </c>
      <c r="G1763" s="10" t="s">
        <v>1493</v>
      </c>
      <c r="H1763" s="10" t="s">
        <v>1479</v>
      </c>
      <c r="I1763" s="10" t="s">
        <v>794</v>
      </c>
      <c r="J1763" s="10" t="s">
        <v>1475</v>
      </c>
    </row>
    <row r="1764" spans="1:10" ht="15" hidden="1" customHeight="1">
      <c r="A1764" s="9">
        <v>1760</v>
      </c>
      <c r="B1764" s="10" t="s">
        <v>4446</v>
      </c>
      <c r="C1764" s="10" t="s">
        <v>4447</v>
      </c>
      <c r="D1764" s="10" t="s">
        <v>1460</v>
      </c>
      <c r="E1764" s="10" t="s">
        <v>1459</v>
      </c>
      <c r="F1764" s="10" t="s">
        <v>793</v>
      </c>
      <c r="G1764" s="10"/>
      <c r="H1764" s="10"/>
      <c r="I1764" s="10" t="s">
        <v>794</v>
      </c>
      <c r="J1764" s="10" t="s">
        <v>1475</v>
      </c>
    </row>
    <row r="1765" spans="1:10" ht="15" hidden="1" customHeight="1">
      <c r="A1765" s="9">
        <v>1761</v>
      </c>
      <c r="B1765" s="10" t="s">
        <v>4448</v>
      </c>
      <c r="C1765" s="10" t="s">
        <v>4449</v>
      </c>
      <c r="D1765" s="10" t="s">
        <v>1460</v>
      </c>
      <c r="E1765" s="10" t="s">
        <v>1459</v>
      </c>
      <c r="F1765" s="10" t="s">
        <v>793</v>
      </c>
      <c r="G1765" s="10"/>
      <c r="H1765" s="10"/>
      <c r="I1765" s="10" t="s">
        <v>794</v>
      </c>
      <c r="J1765" s="10" t="s">
        <v>2052</v>
      </c>
    </row>
    <row r="1766" spans="1:10" ht="15" hidden="1" customHeight="1">
      <c r="A1766" s="9">
        <v>1762</v>
      </c>
      <c r="B1766" s="10" t="s">
        <v>4450</v>
      </c>
      <c r="C1766" s="10" t="s">
        <v>4451</v>
      </c>
      <c r="D1766" s="10" t="s">
        <v>1460</v>
      </c>
      <c r="E1766" s="10" t="s">
        <v>1532</v>
      </c>
      <c r="F1766" s="10" t="s">
        <v>794</v>
      </c>
      <c r="G1766" s="10"/>
      <c r="H1766" s="10"/>
      <c r="I1766" s="10" t="s">
        <v>794</v>
      </c>
      <c r="J1766" s="10" t="s">
        <v>2052</v>
      </c>
    </row>
    <row r="1767" spans="1:10" ht="15" hidden="1" customHeight="1">
      <c r="A1767" s="9">
        <v>1763</v>
      </c>
      <c r="B1767" s="10" t="s">
        <v>4452</v>
      </c>
      <c r="C1767" s="10" t="s">
        <v>4453</v>
      </c>
      <c r="D1767" s="10" t="s">
        <v>1460</v>
      </c>
      <c r="E1767" s="10" t="s">
        <v>1459</v>
      </c>
      <c r="F1767" s="10" t="s">
        <v>794</v>
      </c>
      <c r="G1767" s="10"/>
      <c r="H1767" s="10"/>
      <c r="I1767" s="10" t="s">
        <v>794</v>
      </c>
      <c r="J1767" s="10" t="s">
        <v>2052</v>
      </c>
    </row>
    <row r="1768" spans="1:10" ht="15" hidden="1" customHeight="1">
      <c r="A1768" s="9">
        <v>1764</v>
      </c>
      <c r="B1768" s="10" t="s">
        <v>4454</v>
      </c>
      <c r="C1768" s="10" t="s">
        <v>4455</v>
      </c>
      <c r="D1768" s="10" t="s">
        <v>1193</v>
      </c>
      <c r="E1768" s="10" t="s">
        <v>4331</v>
      </c>
      <c r="F1768" s="10" t="s">
        <v>794</v>
      </c>
      <c r="G1768" s="10" t="s">
        <v>871</v>
      </c>
      <c r="H1768" s="10" t="s">
        <v>802</v>
      </c>
      <c r="I1768" s="10" t="s">
        <v>794</v>
      </c>
      <c r="J1768" s="10" t="s">
        <v>795</v>
      </c>
    </row>
    <row r="1769" spans="1:10" ht="15" hidden="1" customHeight="1">
      <c r="A1769" s="9">
        <v>1765</v>
      </c>
      <c r="B1769" s="10" t="s">
        <v>4456</v>
      </c>
      <c r="C1769" s="10" t="s">
        <v>4457</v>
      </c>
      <c r="D1769" s="10" t="s">
        <v>1193</v>
      </c>
      <c r="E1769" s="10" t="s">
        <v>4329</v>
      </c>
      <c r="F1769" s="10" t="s">
        <v>794</v>
      </c>
      <c r="G1769" s="10" t="s">
        <v>871</v>
      </c>
      <c r="H1769" s="10" t="s">
        <v>802</v>
      </c>
      <c r="I1769" s="10" t="s">
        <v>794</v>
      </c>
      <c r="J1769" s="10" t="s">
        <v>795</v>
      </c>
    </row>
    <row r="1770" spans="1:10" ht="15" hidden="1" customHeight="1">
      <c r="A1770" s="9">
        <v>1766</v>
      </c>
      <c r="B1770" s="10" t="s">
        <v>4458</v>
      </c>
      <c r="C1770" s="10" t="s">
        <v>4459</v>
      </c>
      <c r="D1770" s="10" t="s">
        <v>1193</v>
      </c>
      <c r="E1770" s="10" t="s">
        <v>4331</v>
      </c>
      <c r="F1770" s="10" t="s">
        <v>794</v>
      </c>
      <c r="G1770" s="10" t="s">
        <v>1562</v>
      </c>
      <c r="H1770" s="10" t="s">
        <v>802</v>
      </c>
      <c r="I1770" s="10" t="s">
        <v>794</v>
      </c>
      <c r="J1770" s="10" t="s">
        <v>795</v>
      </c>
    </row>
    <row r="1771" spans="1:10" ht="15" hidden="1" customHeight="1">
      <c r="A1771" s="9">
        <v>1767</v>
      </c>
      <c r="B1771" s="10" t="s">
        <v>4460</v>
      </c>
      <c r="C1771" s="10" t="s">
        <v>4461</v>
      </c>
      <c r="D1771" s="10" t="s">
        <v>1193</v>
      </c>
      <c r="E1771" s="10" t="s">
        <v>4331</v>
      </c>
      <c r="F1771" s="10" t="s">
        <v>794</v>
      </c>
      <c r="G1771" s="10" t="s">
        <v>1019</v>
      </c>
      <c r="H1771" s="10" t="s">
        <v>802</v>
      </c>
      <c r="I1771" s="10" t="s">
        <v>794</v>
      </c>
      <c r="J1771" s="10" t="s">
        <v>795</v>
      </c>
    </row>
    <row r="1772" spans="1:10" ht="15" hidden="1" customHeight="1">
      <c r="A1772" s="9">
        <v>1768</v>
      </c>
      <c r="B1772" s="10" t="s">
        <v>4462</v>
      </c>
      <c r="C1772" s="10" t="s">
        <v>4463</v>
      </c>
      <c r="D1772" s="10" t="s">
        <v>1193</v>
      </c>
      <c r="E1772" s="10" t="s">
        <v>4331</v>
      </c>
      <c r="F1772" s="10" t="s">
        <v>794</v>
      </c>
      <c r="G1772" s="10" t="s">
        <v>1562</v>
      </c>
      <c r="H1772" s="10" t="s">
        <v>802</v>
      </c>
      <c r="I1772" s="10" t="s">
        <v>794</v>
      </c>
      <c r="J1772" s="10" t="s">
        <v>795</v>
      </c>
    </row>
    <row r="1773" spans="1:10" ht="15" hidden="1" customHeight="1">
      <c r="A1773" s="9">
        <v>1769</v>
      </c>
      <c r="B1773" s="10" t="s">
        <v>4464</v>
      </c>
      <c r="C1773" s="10" t="s">
        <v>4465</v>
      </c>
      <c r="D1773" s="10" t="s">
        <v>1193</v>
      </c>
      <c r="E1773" s="10" t="s">
        <v>4329</v>
      </c>
      <c r="F1773" s="10" t="s">
        <v>794</v>
      </c>
      <c r="G1773" s="10" t="s">
        <v>1562</v>
      </c>
      <c r="H1773" s="10" t="s">
        <v>802</v>
      </c>
      <c r="I1773" s="10" t="s">
        <v>794</v>
      </c>
      <c r="J1773" s="10" t="s">
        <v>795</v>
      </c>
    </row>
    <row r="1774" spans="1:10" ht="15" hidden="1" customHeight="1">
      <c r="A1774" s="9">
        <v>1770</v>
      </c>
      <c r="B1774" s="10" t="s">
        <v>4466</v>
      </c>
      <c r="C1774" s="10" t="s">
        <v>4467</v>
      </c>
      <c r="D1774" s="10" t="s">
        <v>1193</v>
      </c>
      <c r="E1774" s="10" t="s">
        <v>4329</v>
      </c>
      <c r="F1774" s="10" t="s">
        <v>794</v>
      </c>
      <c r="G1774" s="10" t="s">
        <v>1019</v>
      </c>
      <c r="H1774" s="10" t="s">
        <v>802</v>
      </c>
      <c r="I1774" s="10" t="s">
        <v>794</v>
      </c>
      <c r="J1774" s="10" t="s">
        <v>795</v>
      </c>
    </row>
    <row r="1775" spans="1:10" ht="15" hidden="1" customHeight="1">
      <c r="A1775" s="9">
        <v>1771</v>
      </c>
      <c r="B1775" s="10" t="s">
        <v>4468</v>
      </c>
      <c r="C1775" s="10" t="s">
        <v>4469</v>
      </c>
      <c r="D1775" s="10" t="s">
        <v>1193</v>
      </c>
      <c r="E1775" s="10" t="s">
        <v>4331</v>
      </c>
      <c r="F1775" s="10" t="s">
        <v>794</v>
      </c>
      <c r="G1775" s="10" t="s">
        <v>1562</v>
      </c>
      <c r="H1775" s="10" t="s">
        <v>802</v>
      </c>
      <c r="I1775" s="10" t="s">
        <v>794</v>
      </c>
      <c r="J1775" s="10" t="s">
        <v>795</v>
      </c>
    </row>
    <row r="1776" spans="1:10" ht="15" hidden="1" customHeight="1">
      <c r="A1776" s="9">
        <v>1772</v>
      </c>
      <c r="B1776" s="10" t="s">
        <v>4470</v>
      </c>
      <c r="C1776" s="10" t="s">
        <v>4471</v>
      </c>
      <c r="D1776" s="10" t="s">
        <v>1193</v>
      </c>
      <c r="E1776" s="10" t="s">
        <v>4331</v>
      </c>
      <c r="F1776" s="10" t="s">
        <v>794</v>
      </c>
      <c r="G1776" s="10" t="s">
        <v>1562</v>
      </c>
      <c r="H1776" s="10" t="s">
        <v>802</v>
      </c>
      <c r="I1776" s="10" t="s">
        <v>794</v>
      </c>
      <c r="J1776" s="10" t="s">
        <v>795</v>
      </c>
    </row>
    <row r="1777" spans="1:10" ht="15" hidden="1" customHeight="1">
      <c r="A1777" s="9">
        <v>1773</v>
      </c>
      <c r="B1777" s="10" t="s">
        <v>4472</v>
      </c>
      <c r="C1777" s="10" t="s">
        <v>4473</v>
      </c>
      <c r="D1777" s="10" t="s">
        <v>1193</v>
      </c>
      <c r="E1777" s="10" t="s">
        <v>4331</v>
      </c>
      <c r="F1777" s="10" t="s">
        <v>794</v>
      </c>
      <c r="G1777" s="10" t="s">
        <v>1562</v>
      </c>
      <c r="H1777" s="10" t="s">
        <v>802</v>
      </c>
      <c r="I1777" s="10" t="s">
        <v>794</v>
      </c>
      <c r="J1777" s="10" t="s">
        <v>795</v>
      </c>
    </row>
    <row r="1778" spans="1:10" ht="15" hidden="1" customHeight="1">
      <c r="A1778" s="9">
        <v>1774</v>
      </c>
      <c r="B1778" s="10" t="s">
        <v>4474</v>
      </c>
      <c r="C1778" s="10" t="s">
        <v>4475</v>
      </c>
      <c r="D1778" s="10" t="s">
        <v>1193</v>
      </c>
      <c r="E1778" s="10" t="s">
        <v>4331</v>
      </c>
      <c r="F1778" s="10" t="s">
        <v>794</v>
      </c>
      <c r="G1778" s="10" t="s">
        <v>1562</v>
      </c>
      <c r="H1778" s="10" t="s">
        <v>802</v>
      </c>
      <c r="I1778" s="10" t="s">
        <v>794</v>
      </c>
      <c r="J1778" s="10" t="s">
        <v>795</v>
      </c>
    </row>
    <row r="1779" spans="1:10" ht="15" hidden="1" customHeight="1">
      <c r="A1779" s="9">
        <v>1775</v>
      </c>
      <c r="B1779" s="10" t="s">
        <v>4476</v>
      </c>
      <c r="C1779" s="10" t="s">
        <v>4477</v>
      </c>
      <c r="D1779" s="10" t="s">
        <v>1193</v>
      </c>
      <c r="E1779" s="10" t="s">
        <v>4331</v>
      </c>
      <c r="F1779" s="10" t="s">
        <v>794</v>
      </c>
      <c r="G1779" s="10" t="s">
        <v>1577</v>
      </c>
      <c r="H1779" s="10" t="s">
        <v>802</v>
      </c>
      <c r="I1779" s="10" t="s">
        <v>794</v>
      </c>
      <c r="J1779" s="10" t="s">
        <v>795</v>
      </c>
    </row>
    <row r="1780" spans="1:10" ht="15" hidden="1" customHeight="1">
      <c r="A1780" s="9">
        <v>1776</v>
      </c>
      <c r="B1780" s="10" t="s">
        <v>4478</v>
      </c>
      <c r="C1780" s="10" t="s">
        <v>4479</v>
      </c>
      <c r="D1780" s="10" t="s">
        <v>1193</v>
      </c>
      <c r="E1780" s="10" t="s">
        <v>4331</v>
      </c>
      <c r="F1780" s="10" t="s">
        <v>794</v>
      </c>
      <c r="G1780" s="10" t="s">
        <v>1577</v>
      </c>
      <c r="H1780" s="10" t="s">
        <v>802</v>
      </c>
      <c r="I1780" s="10" t="s">
        <v>794</v>
      </c>
      <c r="J1780" s="10" t="s">
        <v>795</v>
      </c>
    </row>
    <row r="1781" spans="1:10" ht="15" hidden="1" customHeight="1">
      <c r="A1781" s="9">
        <v>1777</v>
      </c>
      <c r="B1781" s="10" t="s">
        <v>4480</v>
      </c>
      <c r="C1781" s="10" t="s">
        <v>4481</v>
      </c>
      <c r="D1781" s="10" t="s">
        <v>1193</v>
      </c>
      <c r="E1781" s="10" t="s">
        <v>4331</v>
      </c>
      <c r="F1781" s="10" t="s">
        <v>794</v>
      </c>
      <c r="G1781" s="10" t="s">
        <v>1577</v>
      </c>
      <c r="H1781" s="10" t="s">
        <v>802</v>
      </c>
      <c r="I1781" s="10" t="s">
        <v>794</v>
      </c>
      <c r="J1781" s="10" t="s">
        <v>795</v>
      </c>
    </row>
    <row r="1782" spans="1:10" ht="15" hidden="1" customHeight="1">
      <c r="A1782" s="9">
        <v>1778</v>
      </c>
      <c r="B1782" s="10" t="s">
        <v>4482</v>
      </c>
      <c r="C1782" s="10" t="s">
        <v>4483</v>
      </c>
      <c r="D1782" s="10" t="s">
        <v>1193</v>
      </c>
      <c r="E1782" s="10" t="s">
        <v>4331</v>
      </c>
      <c r="F1782" s="10" t="s">
        <v>794</v>
      </c>
      <c r="G1782" s="10" t="s">
        <v>1577</v>
      </c>
      <c r="H1782" s="10" t="s">
        <v>802</v>
      </c>
      <c r="I1782" s="10" t="s">
        <v>794</v>
      </c>
      <c r="J1782" s="10" t="s">
        <v>795</v>
      </c>
    </row>
    <row r="1783" spans="1:10" ht="15" hidden="1" customHeight="1">
      <c r="A1783" s="9">
        <v>1779</v>
      </c>
      <c r="B1783" s="10" t="s">
        <v>4484</v>
      </c>
      <c r="C1783" s="10" t="s">
        <v>4485</v>
      </c>
      <c r="D1783" s="10" t="s">
        <v>1193</v>
      </c>
      <c r="E1783" s="10" t="s">
        <v>4331</v>
      </c>
      <c r="F1783" s="10" t="s">
        <v>794</v>
      </c>
      <c r="G1783" s="10" t="s">
        <v>1577</v>
      </c>
      <c r="H1783" s="10" t="s">
        <v>802</v>
      </c>
      <c r="I1783" s="10" t="s">
        <v>794</v>
      </c>
      <c r="J1783" s="10" t="s">
        <v>795</v>
      </c>
    </row>
    <row r="1784" spans="1:10" ht="15" hidden="1" customHeight="1">
      <c r="A1784" s="9">
        <v>1780</v>
      </c>
      <c r="B1784" s="10" t="s">
        <v>4486</v>
      </c>
      <c r="C1784" s="10" t="s">
        <v>4487</v>
      </c>
      <c r="D1784" s="10" t="s">
        <v>1460</v>
      </c>
      <c r="E1784" s="10" t="s">
        <v>1718</v>
      </c>
      <c r="F1784" s="10" t="s">
        <v>793</v>
      </c>
      <c r="G1784" s="10"/>
      <c r="H1784" s="10"/>
      <c r="I1784" s="10" t="s">
        <v>794</v>
      </c>
      <c r="J1784" s="10" t="s">
        <v>795</v>
      </c>
    </row>
    <row r="1785" spans="1:10" ht="15" hidden="1" customHeight="1">
      <c r="A1785" s="9">
        <v>1781</v>
      </c>
      <c r="B1785" s="10" t="s">
        <v>4488</v>
      </c>
      <c r="C1785" s="10" t="s">
        <v>4489</v>
      </c>
      <c r="D1785" s="10" t="s">
        <v>1004</v>
      </c>
      <c r="E1785" s="10" t="s">
        <v>4487</v>
      </c>
      <c r="F1785" s="10" t="s">
        <v>793</v>
      </c>
      <c r="G1785" s="10"/>
      <c r="H1785" s="10"/>
      <c r="I1785" s="10" t="s">
        <v>794</v>
      </c>
      <c r="J1785" s="10" t="s">
        <v>795</v>
      </c>
    </row>
    <row r="1786" spans="1:10" ht="15" hidden="1" customHeight="1">
      <c r="A1786" s="9">
        <v>1782</v>
      </c>
      <c r="B1786" s="10" t="s">
        <v>4490</v>
      </c>
      <c r="C1786" s="10" t="s">
        <v>4491</v>
      </c>
      <c r="D1786" s="10" t="s">
        <v>1004</v>
      </c>
      <c r="E1786" s="10" t="s">
        <v>4487</v>
      </c>
      <c r="F1786" s="10" t="s">
        <v>794</v>
      </c>
      <c r="G1786" s="10"/>
      <c r="H1786" s="10"/>
      <c r="I1786" s="10" t="s">
        <v>794</v>
      </c>
      <c r="J1786" s="10" t="s">
        <v>795</v>
      </c>
    </row>
    <row r="1787" spans="1:10" ht="15" hidden="1" customHeight="1">
      <c r="A1787" s="9">
        <v>1783</v>
      </c>
      <c r="B1787" s="10" t="s">
        <v>4492</v>
      </c>
      <c r="C1787" s="10" t="s">
        <v>4493</v>
      </c>
      <c r="D1787" s="10" t="s">
        <v>1460</v>
      </c>
      <c r="E1787" s="10" t="s">
        <v>4487</v>
      </c>
      <c r="F1787" s="10" t="s">
        <v>793</v>
      </c>
      <c r="G1787" s="10" t="s">
        <v>1808</v>
      </c>
      <c r="H1787" s="10" t="s">
        <v>1479</v>
      </c>
      <c r="I1787" s="10" t="s">
        <v>794</v>
      </c>
      <c r="J1787" s="10" t="s">
        <v>795</v>
      </c>
    </row>
    <row r="1788" spans="1:10" ht="15" hidden="1" customHeight="1">
      <c r="A1788" s="9">
        <v>1784</v>
      </c>
      <c r="B1788" s="10" t="s">
        <v>4494</v>
      </c>
      <c r="C1788" s="10" t="s">
        <v>4495</v>
      </c>
      <c r="D1788" s="10" t="s">
        <v>1460</v>
      </c>
      <c r="E1788" s="10" t="s">
        <v>4445</v>
      </c>
      <c r="F1788" s="10" t="s">
        <v>794</v>
      </c>
      <c r="G1788" s="10" t="s">
        <v>1493</v>
      </c>
      <c r="H1788" s="10" t="s">
        <v>1479</v>
      </c>
      <c r="I1788" s="10" t="s">
        <v>794</v>
      </c>
      <c r="J1788" s="10" t="s">
        <v>1475</v>
      </c>
    </row>
    <row r="1789" spans="1:10" ht="15" hidden="1" customHeight="1">
      <c r="A1789" s="9">
        <v>1785</v>
      </c>
      <c r="B1789" s="10" t="s">
        <v>4496</v>
      </c>
      <c r="C1789" s="10" t="s">
        <v>4497</v>
      </c>
      <c r="D1789" s="10" t="s">
        <v>1460</v>
      </c>
      <c r="E1789" s="10" t="s">
        <v>4445</v>
      </c>
      <c r="F1789" s="10" t="s">
        <v>794</v>
      </c>
      <c r="G1789" s="10" t="s">
        <v>1493</v>
      </c>
      <c r="H1789" s="10" t="s">
        <v>1479</v>
      </c>
      <c r="I1789" s="10" t="s">
        <v>794</v>
      </c>
      <c r="J1789" s="10" t="s">
        <v>1475</v>
      </c>
    </row>
    <row r="1790" spans="1:10" ht="15" hidden="1" customHeight="1">
      <c r="A1790" s="9">
        <v>1786</v>
      </c>
      <c r="B1790" s="10" t="s">
        <v>4498</v>
      </c>
      <c r="C1790" s="10" t="s">
        <v>4499</v>
      </c>
      <c r="D1790" s="10" t="s">
        <v>1460</v>
      </c>
      <c r="E1790" s="10" t="s">
        <v>4445</v>
      </c>
      <c r="F1790" s="10" t="s">
        <v>794</v>
      </c>
      <c r="G1790" s="10" t="s">
        <v>1493</v>
      </c>
      <c r="H1790" s="10" t="s">
        <v>1479</v>
      </c>
      <c r="I1790" s="10" t="s">
        <v>794</v>
      </c>
      <c r="J1790" s="10" t="s">
        <v>1475</v>
      </c>
    </row>
    <row r="1791" spans="1:10" ht="15" hidden="1" customHeight="1">
      <c r="A1791" s="9">
        <v>1787</v>
      </c>
      <c r="B1791" s="10" t="s">
        <v>4500</v>
      </c>
      <c r="C1791" s="10" t="s">
        <v>4501</v>
      </c>
      <c r="D1791" s="10" t="s">
        <v>1460</v>
      </c>
      <c r="E1791" s="10" t="s">
        <v>4445</v>
      </c>
      <c r="F1791" s="10" t="s">
        <v>794</v>
      </c>
      <c r="G1791" s="10" t="s">
        <v>1493</v>
      </c>
      <c r="H1791" s="10" t="s">
        <v>1479</v>
      </c>
      <c r="I1791" s="10" t="s">
        <v>794</v>
      </c>
      <c r="J1791" s="10" t="s">
        <v>1475</v>
      </c>
    </row>
    <row r="1792" spans="1:10" ht="15" hidden="1" customHeight="1">
      <c r="A1792" s="9">
        <v>1788</v>
      </c>
      <c r="B1792" s="10" t="s">
        <v>4502</v>
      </c>
      <c r="C1792" s="10" t="s">
        <v>4503</v>
      </c>
      <c r="D1792" s="10" t="s">
        <v>1004</v>
      </c>
      <c r="E1792" s="10" t="s">
        <v>4487</v>
      </c>
      <c r="F1792" s="10" t="s">
        <v>793</v>
      </c>
      <c r="G1792" s="10" t="s">
        <v>1813</v>
      </c>
      <c r="H1792" s="10" t="s">
        <v>1479</v>
      </c>
      <c r="I1792" s="10" t="s">
        <v>794</v>
      </c>
      <c r="J1792" s="10" t="s">
        <v>795</v>
      </c>
    </row>
    <row r="1793" spans="1:10" ht="15" hidden="1" customHeight="1">
      <c r="A1793" s="9">
        <v>1789</v>
      </c>
      <c r="B1793" s="10" t="s">
        <v>4504</v>
      </c>
      <c r="C1793" s="10" t="s">
        <v>4505</v>
      </c>
      <c r="D1793" s="10" t="s">
        <v>1004</v>
      </c>
      <c r="E1793" s="10" t="s">
        <v>4503</v>
      </c>
      <c r="F1793" s="10" t="s">
        <v>793</v>
      </c>
      <c r="G1793" s="10" t="s">
        <v>1823</v>
      </c>
      <c r="H1793" s="10" t="s">
        <v>978</v>
      </c>
      <c r="I1793" s="10" t="s">
        <v>794</v>
      </c>
      <c r="J1793" s="10" t="s">
        <v>1004</v>
      </c>
    </row>
    <row r="1794" spans="1:10" ht="15" hidden="1" customHeight="1">
      <c r="A1794" s="9">
        <v>1790</v>
      </c>
      <c r="B1794" s="10" t="s">
        <v>4506</v>
      </c>
      <c r="C1794" s="10" t="s">
        <v>4507</v>
      </c>
      <c r="D1794" s="10" t="s">
        <v>1004</v>
      </c>
      <c r="E1794" s="10" t="s">
        <v>4505</v>
      </c>
      <c r="F1794" s="10" t="s">
        <v>793</v>
      </c>
      <c r="G1794" s="10" t="s">
        <v>1833</v>
      </c>
      <c r="H1794" s="10" t="s">
        <v>978</v>
      </c>
      <c r="I1794" s="10" t="s">
        <v>794</v>
      </c>
      <c r="J1794" s="10" t="s">
        <v>1004</v>
      </c>
    </row>
    <row r="1795" spans="1:10" ht="15" hidden="1" customHeight="1">
      <c r="A1795" s="9">
        <v>1791</v>
      </c>
      <c r="B1795" s="10" t="s">
        <v>4508</v>
      </c>
      <c r="C1795" s="10" t="s">
        <v>4509</v>
      </c>
      <c r="D1795" s="10" t="s">
        <v>1004</v>
      </c>
      <c r="E1795" s="10" t="s">
        <v>4505</v>
      </c>
      <c r="F1795" s="10" t="s">
        <v>793</v>
      </c>
      <c r="G1795" s="10" t="s">
        <v>1836</v>
      </c>
      <c r="H1795" s="10" t="s">
        <v>978</v>
      </c>
      <c r="I1795" s="10" t="s">
        <v>793</v>
      </c>
      <c r="J1795" s="10" t="s">
        <v>1004</v>
      </c>
    </row>
    <row r="1796" spans="1:10" ht="15" hidden="1" customHeight="1">
      <c r="A1796" s="9">
        <v>1792</v>
      </c>
      <c r="B1796" s="10" t="s">
        <v>4510</v>
      </c>
      <c r="C1796" s="10" t="s">
        <v>4511</v>
      </c>
      <c r="D1796" s="10" t="s">
        <v>1004</v>
      </c>
      <c r="E1796" s="10" t="s">
        <v>4505</v>
      </c>
      <c r="F1796" s="10" t="s">
        <v>793</v>
      </c>
      <c r="G1796" s="10" t="s">
        <v>1839</v>
      </c>
      <c r="H1796" s="10" t="s">
        <v>978</v>
      </c>
      <c r="I1796" s="10" t="s">
        <v>793</v>
      </c>
      <c r="J1796" s="10" t="s">
        <v>1004</v>
      </c>
    </row>
    <row r="1797" spans="1:10" ht="15" hidden="1" customHeight="1">
      <c r="A1797" s="9">
        <v>1793</v>
      </c>
      <c r="B1797" s="10" t="s">
        <v>4512</v>
      </c>
      <c r="C1797" s="10" t="s">
        <v>4513</v>
      </c>
      <c r="D1797" s="10" t="s">
        <v>1004</v>
      </c>
      <c r="E1797" s="10" t="s">
        <v>4505</v>
      </c>
      <c r="F1797" s="10" t="s">
        <v>793</v>
      </c>
      <c r="G1797" s="10" t="s">
        <v>1842</v>
      </c>
      <c r="H1797" s="10" t="s">
        <v>978</v>
      </c>
      <c r="I1797" s="10" t="s">
        <v>793</v>
      </c>
      <c r="J1797" s="10" t="s">
        <v>1004</v>
      </c>
    </row>
    <row r="1798" spans="1:10" ht="15" hidden="1" customHeight="1">
      <c r="A1798" s="9">
        <v>1794</v>
      </c>
      <c r="B1798" s="10" t="s">
        <v>4514</v>
      </c>
      <c r="C1798" s="10" t="s">
        <v>4515</v>
      </c>
      <c r="D1798" s="10" t="s">
        <v>1004</v>
      </c>
      <c r="E1798" s="10" t="s">
        <v>4505</v>
      </c>
      <c r="F1798" s="10" t="s">
        <v>793</v>
      </c>
      <c r="G1798" s="10" t="s">
        <v>1845</v>
      </c>
      <c r="H1798" s="10" t="s">
        <v>978</v>
      </c>
      <c r="I1798" s="10" t="s">
        <v>793</v>
      </c>
      <c r="J1798" s="10" t="s">
        <v>1004</v>
      </c>
    </row>
    <row r="1799" spans="1:10" ht="15" hidden="1" customHeight="1">
      <c r="A1799" s="9">
        <v>1795</v>
      </c>
      <c r="B1799" s="10" t="s">
        <v>4516</v>
      </c>
      <c r="C1799" s="10" t="s">
        <v>4517</v>
      </c>
      <c r="D1799" s="10" t="s">
        <v>1004</v>
      </c>
      <c r="E1799" s="10" t="s">
        <v>4505</v>
      </c>
      <c r="F1799" s="10" t="s">
        <v>793</v>
      </c>
      <c r="G1799" s="10" t="s">
        <v>1848</v>
      </c>
      <c r="H1799" s="10" t="s">
        <v>978</v>
      </c>
      <c r="I1799" s="10" t="s">
        <v>793</v>
      </c>
      <c r="J1799" s="10" t="s">
        <v>1004</v>
      </c>
    </row>
    <row r="1800" spans="1:10" ht="15" hidden="1" customHeight="1">
      <c r="A1800" s="9">
        <v>1796</v>
      </c>
      <c r="B1800" s="10" t="s">
        <v>4518</v>
      </c>
      <c r="C1800" s="10" t="s">
        <v>4519</v>
      </c>
      <c r="D1800" s="10" t="s">
        <v>1004</v>
      </c>
      <c r="E1800" s="10" t="s">
        <v>4505</v>
      </c>
      <c r="F1800" s="10" t="s">
        <v>793</v>
      </c>
      <c r="G1800" s="10" t="s">
        <v>1851</v>
      </c>
      <c r="H1800" s="10" t="s">
        <v>978</v>
      </c>
      <c r="I1800" s="10" t="s">
        <v>793</v>
      </c>
      <c r="J1800" s="10" t="s">
        <v>1004</v>
      </c>
    </row>
    <row r="1801" spans="1:10" ht="15" hidden="1" customHeight="1">
      <c r="A1801" s="9">
        <v>1797</v>
      </c>
      <c r="B1801" s="10" t="s">
        <v>4520</v>
      </c>
      <c r="C1801" s="10" t="s">
        <v>4521</v>
      </c>
      <c r="D1801" s="10" t="s">
        <v>1004</v>
      </c>
      <c r="E1801" s="10" t="s">
        <v>4505</v>
      </c>
      <c r="F1801" s="10" t="s">
        <v>793</v>
      </c>
      <c r="G1801" s="10" t="s">
        <v>1854</v>
      </c>
      <c r="H1801" s="10" t="s">
        <v>978</v>
      </c>
      <c r="I1801" s="10" t="s">
        <v>793</v>
      </c>
      <c r="J1801" s="10" t="s">
        <v>1004</v>
      </c>
    </row>
    <row r="1802" spans="1:10" ht="15" hidden="1" customHeight="1">
      <c r="A1802" s="9">
        <v>1798</v>
      </c>
      <c r="B1802" s="10" t="s">
        <v>4522</v>
      </c>
      <c r="C1802" s="10" t="s">
        <v>4523</v>
      </c>
      <c r="D1802" s="10" t="s">
        <v>1004</v>
      </c>
      <c r="E1802" s="10" t="s">
        <v>4524</v>
      </c>
      <c r="F1802" s="10" t="s">
        <v>793</v>
      </c>
      <c r="G1802" s="10" t="s">
        <v>1813</v>
      </c>
      <c r="H1802" s="10" t="s">
        <v>1479</v>
      </c>
      <c r="I1802" s="10" t="s">
        <v>793</v>
      </c>
      <c r="J1802" s="10" t="s">
        <v>795</v>
      </c>
    </row>
    <row r="1803" spans="1:10" ht="15" hidden="1" customHeight="1">
      <c r="A1803" s="9">
        <v>1799</v>
      </c>
      <c r="B1803" s="10" t="s">
        <v>4525</v>
      </c>
      <c r="C1803" s="10" t="s">
        <v>4524</v>
      </c>
      <c r="D1803" s="10" t="s">
        <v>1004</v>
      </c>
      <c r="E1803" s="10" t="s">
        <v>4503</v>
      </c>
      <c r="F1803" s="10" t="s">
        <v>793</v>
      </c>
      <c r="G1803" s="10" t="s">
        <v>1813</v>
      </c>
      <c r="H1803" s="10" t="s">
        <v>1479</v>
      </c>
      <c r="I1803" s="10" t="s">
        <v>794</v>
      </c>
      <c r="J1803" s="10" t="s">
        <v>795</v>
      </c>
    </row>
    <row r="1804" spans="1:10" ht="15" hidden="1" customHeight="1">
      <c r="A1804" s="9">
        <v>1800</v>
      </c>
      <c r="B1804" s="10" t="s">
        <v>4526</v>
      </c>
      <c r="C1804" s="10" t="s">
        <v>4527</v>
      </c>
      <c r="D1804" s="10" t="s">
        <v>1004</v>
      </c>
      <c r="E1804" s="10" t="s">
        <v>4524</v>
      </c>
      <c r="F1804" s="10" t="s">
        <v>793</v>
      </c>
      <c r="G1804" s="10" t="s">
        <v>1813</v>
      </c>
      <c r="H1804" s="10" t="s">
        <v>1479</v>
      </c>
      <c r="I1804" s="10" t="s">
        <v>794</v>
      </c>
      <c r="J1804" s="10" t="s">
        <v>795</v>
      </c>
    </row>
    <row r="1805" spans="1:10" ht="15" hidden="1" customHeight="1">
      <c r="A1805" s="9">
        <v>1801</v>
      </c>
      <c r="B1805" s="10" t="s">
        <v>4528</v>
      </c>
      <c r="C1805" s="10" t="s">
        <v>4529</v>
      </c>
      <c r="D1805" s="10" t="s">
        <v>1004</v>
      </c>
      <c r="E1805" s="10" t="s">
        <v>4503</v>
      </c>
      <c r="F1805" s="10" t="s">
        <v>793</v>
      </c>
      <c r="G1805" s="10" t="s">
        <v>1885</v>
      </c>
      <c r="H1805" s="10" t="s">
        <v>978</v>
      </c>
      <c r="I1805" s="10" t="s">
        <v>794</v>
      </c>
      <c r="J1805" s="10" t="s">
        <v>795</v>
      </c>
    </row>
    <row r="1806" spans="1:10" ht="15" hidden="1" customHeight="1">
      <c r="A1806" s="9">
        <v>1802</v>
      </c>
      <c r="B1806" s="10" t="s">
        <v>4530</v>
      </c>
      <c r="C1806" s="10" t="s">
        <v>4531</v>
      </c>
      <c r="D1806" s="10" t="s">
        <v>1004</v>
      </c>
      <c r="E1806" s="10" t="s">
        <v>4503</v>
      </c>
      <c r="F1806" s="10" t="s">
        <v>793</v>
      </c>
      <c r="G1806" s="10" t="s">
        <v>1890</v>
      </c>
      <c r="H1806" s="10" t="s">
        <v>978</v>
      </c>
      <c r="I1806" s="10" t="s">
        <v>794</v>
      </c>
      <c r="J1806" s="10" t="s">
        <v>795</v>
      </c>
    </row>
    <row r="1807" spans="1:10" ht="15" hidden="1" customHeight="1">
      <c r="A1807" s="9">
        <v>1803</v>
      </c>
      <c r="B1807" s="10" t="s">
        <v>4532</v>
      </c>
      <c r="C1807" s="10" t="s">
        <v>4533</v>
      </c>
      <c r="D1807" s="10" t="s">
        <v>1004</v>
      </c>
      <c r="E1807" s="10" t="s">
        <v>4503</v>
      </c>
      <c r="F1807" s="10" t="s">
        <v>793</v>
      </c>
      <c r="G1807" s="10" t="s">
        <v>1899</v>
      </c>
      <c r="H1807" s="10" t="s">
        <v>978</v>
      </c>
      <c r="I1807" s="10" t="s">
        <v>793</v>
      </c>
      <c r="J1807" s="10" t="s">
        <v>795</v>
      </c>
    </row>
    <row r="1808" spans="1:10" ht="15" hidden="1" customHeight="1">
      <c r="A1808" s="9">
        <v>1804</v>
      </c>
      <c r="B1808" s="10" t="s">
        <v>4534</v>
      </c>
      <c r="C1808" s="10" t="s">
        <v>4535</v>
      </c>
      <c r="D1808" s="10" t="s">
        <v>1004</v>
      </c>
      <c r="E1808" s="10" t="s">
        <v>4503</v>
      </c>
      <c r="F1808" s="10" t="s">
        <v>793</v>
      </c>
      <c r="G1808" s="10" t="s">
        <v>977</v>
      </c>
      <c r="H1808" s="10" t="s">
        <v>978</v>
      </c>
      <c r="I1808" s="10" t="s">
        <v>793</v>
      </c>
      <c r="J1808" s="10" t="s">
        <v>795</v>
      </c>
    </row>
    <row r="1809" spans="1:10" ht="15" hidden="1" customHeight="1">
      <c r="A1809" s="9">
        <v>1805</v>
      </c>
      <c r="B1809" s="10" t="s">
        <v>4536</v>
      </c>
      <c r="C1809" s="10" t="s">
        <v>4537</v>
      </c>
      <c r="D1809" s="10" t="s">
        <v>1004</v>
      </c>
      <c r="E1809" s="10" t="s">
        <v>4503</v>
      </c>
      <c r="F1809" s="10" t="s">
        <v>793</v>
      </c>
      <c r="G1809" s="10" t="s">
        <v>1908</v>
      </c>
      <c r="H1809" s="10" t="s">
        <v>978</v>
      </c>
      <c r="I1809" s="10" t="s">
        <v>793</v>
      </c>
      <c r="J1809" s="10" t="s">
        <v>1004</v>
      </c>
    </row>
    <row r="1810" spans="1:10" ht="15" hidden="1" customHeight="1">
      <c r="A1810" s="9">
        <v>1806</v>
      </c>
      <c r="B1810" s="10" t="s">
        <v>4538</v>
      </c>
      <c r="C1810" s="10" t="s">
        <v>4539</v>
      </c>
      <c r="D1810" s="10" t="s">
        <v>1004</v>
      </c>
      <c r="E1810" s="10" t="s">
        <v>4503</v>
      </c>
      <c r="F1810" s="10" t="s">
        <v>793</v>
      </c>
      <c r="G1810" s="10" t="s">
        <v>1913</v>
      </c>
      <c r="H1810" s="10" t="s">
        <v>978</v>
      </c>
      <c r="I1810" s="10" t="s">
        <v>793</v>
      </c>
      <c r="J1810" s="10" t="s">
        <v>795</v>
      </c>
    </row>
    <row r="1811" spans="1:10" ht="15" hidden="1" customHeight="1">
      <c r="A1811" s="9">
        <v>1807</v>
      </c>
      <c r="B1811" s="10" t="s">
        <v>4540</v>
      </c>
      <c r="C1811" s="10" t="s">
        <v>4541</v>
      </c>
      <c r="D1811" s="10" t="s">
        <v>1004</v>
      </c>
      <c r="E1811" s="10" t="s">
        <v>4503</v>
      </c>
      <c r="F1811" s="10" t="s">
        <v>793</v>
      </c>
      <c r="G1811" s="10" t="s">
        <v>1920</v>
      </c>
      <c r="H1811" s="10" t="s">
        <v>978</v>
      </c>
      <c r="I1811" s="10" t="s">
        <v>794</v>
      </c>
      <c r="J1811" s="10" t="s">
        <v>795</v>
      </c>
    </row>
    <row r="1812" spans="1:10" ht="15" hidden="1" customHeight="1">
      <c r="A1812" s="9">
        <v>1808</v>
      </c>
      <c r="B1812" s="10" t="s">
        <v>4542</v>
      </c>
      <c r="C1812" s="10" t="s">
        <v>4543</v>
      </c>
      <c r="D1812" s="10" t="s">
        <v>1004</v>
      </c>
      <c r="E1812" s="10" t="s">
        <v>4503</v>
      </c>
      <c r="F1812" s="10" t="s">
        <v>793</v>
      </c>
      <c r="G1812" s="10" t="s">
        <v>1925</v>
      </c>
      <c r="H1812" s="10" t="s">
        <v>978</v>
      </c>
      <c r="I1812" s="10" t="s">
        <v>793</v>
      </c>
      <c r="J1812" s="10" t="s">
        <v>795</v>
      </c>
    </row>
    <row r="1813" spans="1:10" ht="15" hidden="1" customHeight="1">
      <c r="A1813" s="9">
        <v>1809</v>
      </c>
      <c r="B1813" s="10" t="s">
        <v>4544</v>
      </c>
      <c r="C1813" s="10" t="s">
        <v>4545</v>
      </c>
      <c r="D1813" s="10" t="s">
        <v>1004</v>
      </c>
      <c r="E1813" s="10" t="s">
        <v>4503</v>
      </c>
      <c r="F1813" s="10" t="s">
        <v>793</v>
      </c>
      <c r="G1813" s="10" t="s">
        <v>1932</v>
      </c>
      <c r="H1813" s="10" t="s">
        <v>978</v>
      </c>
      <c r="I1813" s="10" t="s">
        <v>794</v>
      </c>
      <c r="J1813" s="10" t="s">
        <v>4546</v>
      </c>
    </row>
    <row r="1814" spans="1:10" ht="15" hidden="1" customHeight="1">
      <c r="A1814" s="9">
        <v>1810</v>
      </c>
      <c r="B1814" s="10" t="s">
        <v>4547</v>
      </c>
      <c r="C1814" s="10" t="s">
        <v>4548</v>
      </c>
      <c r="D1814" s="10" t="s">
        <v>1460</v>
      </c>
      <c r="E1814" s="10" t="s">
        <v>4447</v>
      </c>
      <c r="F1814" s="10" t="s">
        <v>794</v>
      </c>
      <c r="G1814" s="10" t="s">
        <v>1957</v>
      </c>
      <c r="H1814" s="10" t="s">
        <v>1479</v>
      </c>
      <c r="I1814" s="10" t="s">
        <v>794</v>
      </c>
      <c r="J1814" s="10" t="s">
        <v>1475</v>
      </c>
    </row>
    <row r="1815" spans="1:10" ht="15" hidden="1" customHeight="1">
      <c r="A1815" s="9">
        <v>1811</v>
      </c>
      <c r="B1815" s="10" t="s">
        <v>4549</v>
      </c>
      <c r="C1815" s="10" t="s">
        <v>4550</v>
      </c>
      <c r="D1815" s="10" t="s">
        <v>1460</v>
      </c>
      <c r="E1815" s="10" t="s">
        <v>4447</v>
      </c>
      <c r="F1815" s="10" t="s">
        <v>794</v>
      </c>
      <c r="G1815" s="10" t="s">
        <v>1957</v>
      </c>
      <c r="H1815" s="10" t="s">
        <v>1479</v>
      </c>
      <c r="I1815" s="10" t="s">
        <v>794</v>
      </c>
      <c r="J1815" s="10" t="s">
        <v>1475</v>
      </c>
    </row>
    <row r="1816" spans="1:10" ht="15" hidden="1" customHeight="1">
      <c r="A1816" s="9">
        <v>1812</v>
      </c>
      <c r="B1816" s="10" t="s">
        <v>4551</v>
      </c>
      <c r="C1816" s="10" t="s">
        <v>4552</v>
      </c>
      <c r="D1816" s="10" t="s">
        <v>1460</v>
      </c>
      <c r="E1816" s="10" t="s">
        <v>4447</v>
      </c>
      <c r="F1816" s="10" t="s">
        <v>794</v>
      </c>
      <c r="G1816" s="10" t="s">
        <v>1957</v>
      </c>
      <c r="H1816" s="10" t="s">
        <v>1479</v>
      </c>
      <c r="I1816" s="10" t="s">
        <v>794</v>
      </c>
      <c r="J1816" s="10" t="s">
        <v>1475</v>
      </c>
    </row>
    <row r="1817" spans="1:10" ht="15" hidden="1" customHeight="1">
      <c r="A1817" s="9">
        <v>1813</v>
      </c>
      <c r="B1817" s="10" t="s">
        <v>4553</v>
      </c>
      <c r="C1817" s="10" t="s">
        <v>4554</v>
      </c>
      <c r="D1817" s="10" t="s">
        <v>1460</v>
      </c>
      <c r="E1817" s="10" t="s">
        <v>4449</v>
      </c>
      <c r="F1817" s="10" t="s">
        <v>794</v>
      </c>
      <c r="G1817" s="10" t="s">
        <v>1525</v>
      </c>
      <c r="H1817" s="10" t="s">
        <v>1479</v>
      </c>
      <c r="I1817" s="10" t="s">
        <v>794</v>
      </c>
      <c r="J1817" s="10" t="s">
        <v>2052</v>
      </c>
    </row>
    <row r="1818" spans="1:10" ht="15" hidden="1" customHeight="1">
      <c r="A1818" s="9">
        <v>1814</v>
      </c>
      <c r="B1818" s="10" t="s">
        <v>4555</v>
      </c>
      <c r="C1818" s="10" t="s">
        <v>4556</v>
      </c>
      <c r="D1818" s="10" t="s">
        <v>1460</v>
      </c>
      <c r="E1818" s="10" t="s">
        <v>4449</v>
      </c>
      <c r="F1818" s="10" t="s">
        <v>794</v>
      </c>
      <c r="G1818" s="10" t="s">
        <v>1525</v>
      </c>
      <c r="H1818" s="10" t="s">
        <v>1479</v>
      </c>
      <c r="I1818" s="10" t="s">
        <v>794</v>
      </c>
      <c r="J1818" s="10" t="s">
        <v>2052</v>
      </c>
    </row>
    <row r="1819" spans="1:10" ht="15" hidden="1" customHeight="1">
      <c r="A1819" s="9">
        <v>1815</v>
      </c>
      <c r="B1819" s="10" t="s">
        <v>4557</v>
      </c>
      <c r="C1819" s="10" t="s">
        <v>4558</v>
      </c>
      <c r="D1819" s="10" t="s">
        <v>1460</v>
      </c>
      <c r="E1819" s="10" t="s">
        <v>4449</v>
      </c>
      <c r="F1819" s="10" t="s">
        <v>794</v>
      </c>
      <c r="G1819" s="10" t="s">
        <v>1525</v>
      </c>
      <c r="H1819" s="10" t="s">
        <v>1479</v>
      </c>
      <c r="I1819" s="10" t="s">
        <v>794</v>
      </c>
      <c r="J1819" s="10" t="s">
        <v>2052</v>
      </c>
    </row>
    <row r="1820" spans="1:10" ht="15" hidden="1" customHeight="1">
      <c r="A1820" s="9">
        <v>1816</v>
      </c>
      <c r="B1820" s="10" t="s">
        <v>4559</v>
      </c>
      <c r="C1820" s="10" t="s">
        <v>4560</v>
      </c>
      <c r="D1820" s="10" t="s">
        <v>1460</v>
      </c>
      <c r="E1820" s="10" t="s">
        <v>4449</v>
      </c>
      <c r="F1820" s="10" t="s">
        <v>794</v>
      </c>
      <c r="G1820" s="10" t="s">
        <v>1528</v>
      </c>
      <c r="H1820" s="10" t="s">
        <v>1479</v>
      </c>
      <c r="I1820" s="10" t="s">
        <v>794</v>
      </c>
      <c r="J1820" s="10" t="s">
        <v>2052</v>
      </c>
    </row>
    <row r="1821" spans="1:10" ht="15" hidden="1" customHeight="1">
      <c r="A1821" s="9">
        <v>1817</v>
      </c>
      <c r="B1821" s="10" t="s">
        <v>4561</v>
      </c>
      <c r="C1821" s="10" t="s">
        <v>4562</v>
      </c>
      <c r="D1821" s="10" t="s">
        <v>1460</v>
      </c>
      <c r="E1821" s="10" t="s">
        <v>4449</v>
      </c>
      <c r="F1821" s="10" t="s">
        <v>794</v>
      </c>
      <c r="G1821" s="10" t="s">
        <v>1528</v>
      </c>
      <c r="H1821" s="10" t="s">
        <v>1479</v>
      </c>
      <c r="I1821" s="10" t="s">
        <v>794</v>
      </c>
      <c r="J1821" s="10" t="s">
        <v>2052</v>
      </c>
    </row>
    <row r="1822" spans="1:10" ht="15" hidden="1" customHeight="1">
      <c r="A1822" s="9">
        <v>1818</v>
      </c>
      <c r="B1822" s="10" t="s">
        <v>4563</v>
      </c>
      <c r="C1822" s="10" t="s">
        <v>4564</v>
      </c>
      <c r="D1822" s="10" t="s">
        <v>1004</v>
      </c>
      <c r="E1822" s="10" t="s">
        <v>4489</v>
      </c>
      <c r="F1822" s="10" t="s">
        <v>794</v>
      </c>
      <c r="G1822" s="10" t="s">
        <v>1747</v>
      </c>
      <c r="H1822" s="10" t="s">
        <v>1479</v>
      </c>
      <c r="I1822" s="10" t="s">
        <v>794</v>
      </c>
      <c r="J1822" s="10" t="s">
        <v>920</v>
      </c>
    </row>
    <row r="1823" spans="1:10" ht="15" hidden="1" customHeight="1">
      <c r="A1823" s="9">
        <v>1819</v>
      </c>
      <c r="B1823" s="10" t="s">
        <v>4565</v>
      </c>
      <c r="C1823" s="10" t="s">
        <v>4566</v>
      </c>
      <c r="D1823" s="10" t="s">
        <v>1004</v>
      </c>
      <c r="E1823" s="10" t="s">
        <v>4489</v>
      </c>
      <c r="F1823" s="10" t="s">
        <v>794</v>
      </c>
      <c r="G1823" s="10" t="s">
        <v>1750</v>
      </c>
      <c r="H1823" s="10" t="s">
        <v>1479</v>
      </c>
      <c r="I1823" s="10" t="s">
        <v>794</v>
      </c>
      <c r="J1823" s="10" t="s">
        <v>920</v>
      </c>
    </row>
    <row r="1824" spans="1:10" ht="15" hidden="1" customHeight="1">
      <c r="A1824" s="9">
        <v>1820</v>
      </c>
      <c r="B1824" s="10" t="s">
        <v>4567</v>
      </c>
      <c r="C1824" s="10" t="s">
        <v>4568</v>
      </c>
      <c r="D1824" s="10" t="s">
        <v>1004</v>
      </c>
      <c r="E1824" s="10" t="s">
        <v>4491</v>
      </c>
      <c r="F1824" s="10" t="s">
        <v>794</v>
      </c>
      <c r="G1824" s="10" t="s">
        <v>1747</v>
      </c>
      <c r="H1824" s="10" t="s">
        <v>1479</v>
      </c>
      <c r="I1824" s="10" t="s">
        <v>794</v>
      </c>
      <c r="J1824" s="10" t="s">
        <v>920</v>
      </c>
    </row>
    <row r="1825" spans="1:10" ht="15" hidden="1" customHeight="1">
      <c r="A1825" s="9">
        <v>1821</v>
      </c>
      <c r="B1825" s="10" t="s">
        <v>4569</v>
      </c>
      <c r="C1825" s="10" t="s">
        <v>4570</v>
      </c>
      <c r="D1825" s="10" t="s">
        <v>1004</v>
      </c>
      <c r="E1825" s="10" t="s">
        <v>4491</v>
      </c>
      <c r="F1825" s="10" t="s">
        <v>794</v>
      </c>
      <c r="G1825" s="10" t="s">
        <v>1750</v>
      </c>
      <c r="H1825" s="10" t="s">
        <v>1479</v>
      </c>
      <c r="I1825" s="10" t="s">
        <v>794</v>
      </c>
      <c r="J1825" s="10" t="s">
        <v>920</v>
      </c>
    </row>
    <row r="1826" spans="1:10" ht="15" hidden="1" customHeight="1">
      <c r="A1826" s="9">
        <v>1822</v>
      </c>
      <c r="B1826" s="10" t="s">
        <v>4571</v>
      </c>
      <c r="C1826" s="10" t="s">
        <v>4572</v>
      </c>
      <c r="D1826" s="10" t="s">
        <v>1460</v>
      </c>
      <c r="E1826" s="10" t="s">
        <v>4493</v>
      </c>
      <c r="F1826" s="10" t="s">
        <v>794</v>
      </c>
      <c r="G1826" s="10" t="s">
        <v>1808</v>
      </c>
      <c r="H1826" s="10" t="s">
        <v>1479</v>
      </c>
      <c r="I1826" s="10" t="s">
        <v>794</v>
      </c>
      <c r="J1826" s="10" t="s">
        <v>795</v>
      </c>
    </row>
    <row r="1827" spans="1:10" ht="15" hidden="1" customHeight="1">
      <c r="A1827" s="9">
        <v>1823</v>
      </c>
      <c r="B1827" s="10" t="s">
        <v>4573</v>
      </c>
      <c r="C1827" s="10" t="s">
        <v>4574</v>
      </c>
      <c r="D1827" s="10" t="s">
        <v>1004</v>
      </c>
      <c r="E1827" s="10" t="s">
        <v>4523</v>
      </c>
      <c r="F1827" s="10" t="s">
        <v>794</v>
      </c>
      <c r="G1827" s="10" t="s">
        <v>1823</v>
      </c>
      <c r="H1827" s="10" t="s">
        <v>978</v>
      </c>
      <c r="I1827" s="10" t="s">
        <v>793</v>
      </c>
      <c r="J1827" s="10" t="s">
        <v>920</v>
      </c>
    </row>
    <row r="1828" spans="1:10" ht="15" hidden="1" customHeight="1">
      <c r="A1828" s="9">
        <v>1824</v>
      </c>
      <c r="B1828" s="10" t="s">
        <v>4575</v>
      </c>
      <c r="C1828" s="10" t="s">
        <v>4576</v>
      </c>
      <c r="D1828" s="10" t="s">
        <v>1004</v>
      </c>
      <c r="E1828" s="10" t="s">
        <v>4523</v>
      </c>
      <c r="F1828" s="10" t="s">
        <v>794</v>
      </c>
      <c r="G1828" s="10" t="s">
        <v>1823</v>
      </c>
      <c r="H1828" s="10" t="s">
        <v>978</v>
      </c>
      <c r="I1828" s="10" t="s">
        <v>793</v>
      </c>
      <c r="J1828" s="10" t="s">
        <v>881</v>
      </c>
    </row>
    <row r="1829" spans="1:10" ht="15" hidden="1" customHeight="1">
      <c r="A1829" s="9">
        <v>1825</v>
      </c>
      <c r="B1829" s="10" t="s">
        <v>4577</v>
      </c>
      <c r="C1829" s="10" t="s">
        <v>4578</v>
      </c>
      <c r="D1829" s="10" t="s">
        <v>1004</v>
      </c>
      <c r="E1829" s="10" t="s">
        <v>4523</v>
      </c>
      <c r="F1829" s="10" t="s">
        <v>794</v>
      </c>
      <c r="G1829" s="10" t="s">
        <v>1823</v>
      </c>
      <c r="H1829" s="10" t="s">
        <v>978</v>
      </c>
      <c r="I1829" s="10" t="s">
        <v>793</v>
      </c>
      <c r="J1829" s="10" t="s">
        <v>119</v>
      </c>
    </row>
    <row r="1830" spans="1:10" ht="15" hidden="1" customHeight="1">
      <c r="A1830" s="9">
        <v>1826</v>
      </c>
      <c r="B1830" s="10" t="s">
        <v>4579</v>
      </c>
      <c r="C1830" s="10" t="s">
        <v>4580</v>
      </c>
      <c r="D1830" s="10" t="s">
        <v>1004</v>
      </c>
      <c r="E1830" s="10" t="s">
        <v>4523</v>
      </c>
      <c r="F1830" s="10" t="s">
        <v>794</v>
      </c>
      <c r="G1830" s="10" t="s">
        <v>1823</v>
      </c>
      <c r="H1830" s="10" t="s">
        <v>978</v>
      </c>
      <c r="I1830" s="10" t="s">
        <v>793</v>
      </c>
      <c r="J1830" s="10" t="s">
        <v>2070</v>
      </c>
    </row>
    <row r="1831" spans="1:10" ht="15" hidden="1" customHeight="1">
      <c r="A1831" s="9">
        <v>1827</v>
      </c>
      <c r="B1831" s="10" t="s">
        <v>4581</v>
      </c>
      <c r="C1831" s="10" t="s">
        <v>4582</v>
      </c>
      <c r="D1831" s="10" t="s">
        <v>1004</v>
      </c>
      <c r="E1831" s="10" t="s">
        <v>4523</v>
      </c>
      <c r="F1831" s="10" t="s">
        <v>794</v>
      </c>
      <c r="G1831" s="10" t="s">
        <v>1823</v>
      </c>
      <c r="H1831" s="10" t="s">
        <v>978</v>
      </c>
      <c r="I1831" s="10" t="s">
        <v>793</v>
      </c>
      <c r="J1831" s="10" t="s">
        <v>920</v>
      </c>
    </row>
    <row r="1832" spans="1:10" ht="15" hidden="1" customHeight="1">
      <c r="A1832" s="9">
        <v>1828</v>
      </c>
      <c r="B1832" s="10" t="s">
        <v>4583</v>
      </c>
      <c r="C1832" s="10" t="s">
        <v>4584</v>
      </c>
      <c r="D1832" s="10" t="s">
        <v>1004</v>
      </c>
      <c r="E1832" s="10" t="s">
        <v>4527</v>
      </c>
      <c r="F1832" s="10" t="s">
        <v>794</v>
      </c>
      <c r="G1832" s="10" t="s">
        <v>1830</v>
      </c>
      <c r="H1832" s="10" t="s">
        <v>978</v>
      </c>
      <c r="I1832" s="10" t="s">
        <v>793</v>
      </c>
      <c r="J1832" s="10" t="s">
        <v>920</v>
      </c>
    </row>
    <row r="1833" spans="1:10" ht="15" hidden="1" customHeight="1">
      <c r="A1833" s="9">
        <v>1829</v>
      </c>
      <c r="B1833" s="10" t="s">
        <v>4585</v>
      </c>
      <c r="C1833" s="10" t="s">
        <v>4586</v>
      </c>
      <c r="D1833" s="10" t="s">
        <v>1004</v>
      </c>
      <c r="E1833" s="10" t="s">
        <v>4527</v>
      </c>
      <c r="F1833" s="10" t="s">
        <v>794</v>
      </c>
      <c r="G1833" s="10" t="s">
        <v>1830</v>
      </c>
      <c r="H1833" s="10" t="s">
        <v>978</v>
      </c>
      <c r="I1833" s="10" t="s">
        <v>793</v>
      </c>
      <c r="J1833" s="10" t="s">
        <v>881</v>
      </c>
    </row>
    <row r="1834" spans="1:10" ht="15" hidden="1" customHeight="1">
      <c r="A1834" s="9">
        <v>1830</v>
      </c>
      <c r="B1834" s="10" t="s">
        <v>4587</v>
      </c>
      <c r="C1834" s="10" t="s">
        <v>4588</v>
      </c>
      <c r="D1834" s="10" t="s">
        <v>1004</v>
      </c>
      <c r="E1834" s="10" t="s">
        <v>4527</v>
      </c>
      <c r="F1834" s="10" t="s">
        <v>794</v>
      </c>
      <c r="G1834" s="10" t="s">
        <v>1830</v>
      </c>
      <c r="H1834" s="10" t="s">
        <v>978</v>
      </c>
      <c r="I1834" s="10" t="s">
        <v>793</v>
      </c>
      <c r="J1834" s="10" t="s">
        <v>119</v>
      </c>
    </row>
    <row r="1835" spans="1:10" ht="15" hidden="1" customHeight="1">
      <c r="A1835" s="9">
        <v>1831</v>
      </c>
      <c r="B1835" s="10" t="s">
        <v>4589</v>
      </c>
      <c r="C1835" s="10" t="s">
        <v>4590</v>
      </c>
      <c r="D1835" s="10" t="s">
        <v>1004</v>
      </c>
      <c r="E1835" s="10" t="s">
        <v>4527</v>
      </c>
      <c r="F1835" s="10" t="s">
        <v>794</v>
      </c>
      <c r="G1835" s="10" t="s">
        <v>1830</v>
      </c>
      <c r="H1835" s="10" t="s">
        <v>978</v>
      </c>
      <c r="I1835" s="10" t="s">
        <v>793</v>
      </c>
      <c r="J1835" s="10" t="s">
        <v>2070</v>
      </c>
    </row>
    <row r="1836" spans="1:10" ht="15" hidden="1" customHeight="1">
      <c r="A1836" s="9">
        <v>1832</v>
      </c>
      <c r="B1836" s="10" t="s">
        <v>4591</v>
      </c>
      <c r="C1836" s="10" t="s">
        <v>4592</v>
      </c>
      <c r="D1836" s="10" t="s">
        <v>1004</v>
      </c>
      <c r="E1836" s="10" t="s">
        <v>4527</v>
      </c>
      <c r="F1836" s="10" t="s">
        <v>794</v>
      </c>
      <c r="G1836" s="10" t="s">
        <v>1830</v>
      </c>
      <c r="H1836" s="10" t="s">
        <v>978</v>
      </c>
      <c r="I1836" s="10" t="s">
        <v>793</v>
      </c>
      <c r="J1836" s="10" t="s">
        <v>920</v>
      </c>
    </row>
    <row r="1837" spans="1:10" ht="15" hidden="1" customHeight="1">
      <c r="A1837" s="9">
        <v>1833</v>
      </c>
      <c r="B1837" s="10" t="s">
        <v>4593</v>
      </c>
      <c r="C1837" s="10" t="s">
        <v>4594</v>
      </c>
      <c r="D1837" s="10" t="s">
        <v>1004</v>
      </c>
      <c r="E1837" s="10" t="s">
        <v>4507</v>
      </c>
      <c r="F1837" s="10" t="s">
        <v>794</v>
      </c>
      <c r="G1837" s="10" t="s">
        <v>1833</v>
      </c>
      <c r="H1837" s="10" t="s">
        <v>978</v>
      </c>
      <c r="I1837" s="10" t="s">
        <v>793</v>
      </c>
      <c r="J1837" s="10" t="s">
        <v>1004</v>
      </c>
    </row>
    <row r="1838" spans="1:10" ht="15" hidden="1" customHeight="1">
      <c r="A1838" s="9">
        <v>1834</v>
      </c>
      <c r="B1838" s="10" t="s">
        <v>4595</v>
      </c>
      <c r="C1838" s="10" t="s">
        <v>4596</v>
      </c>
      <c r="D1838" s="10" t="s">
        <v>1004</v>
      </c>
      <c r="E1838" s="10" t="s">
        <v>4507</v>
      </c>
      <c r="F1838" s="10" t="s">
        <v>794</v>
      </c>
      <c r="G1838" s="10" t="s">
        <v>1833</v>
      </c>
      <c r="H1838" s="10" t="s">
        <v>978</v>
      </c>
      <c r="I1838" s="10" t="s">
        <v>793</v>
      </c>
      <c r="J1838" s="10" t="s">
        <v>1004</v>
      </c>
    </row>
    <row r="1839" spans="1:10" ht="15" hidden="1" customHeight="1">
      <c r="A1839" s="9">
        <v>1835</v>
      </c>
      <c r="B1839" s="10" t="s">
        <v>4597</v>
      </c>
      <c r="C1839" s="10" t="s">
        <v>4598</v>
      </c>
      <c r="D1839" s="10" t="s">
        <v>1004</v>
      </c>
      <c r="E1839" s="10" t="s">
        <v>4507</v>
      </c>
      <c r="F1839" s="10" t="s">
        <v>794</v>
      </c>
      <c r="G1839" s="10" t="s">
        <v>1833</v>
      </c>
      <c r="H1839" s="10" t="s">
        <v>978</v>
      </c>
      <c r="I1839" s="10" t="s">
        <v>793</v>
      </c>
      <c r="J1839" s="10" t="s">
        <v>1004</v>
      </c>
    </row>
    <row r="1840" spans="1:10" ht="15" hidden="1" customHeight="1">
      <c r="A1840" s="9">
        <v>1836</v>
      </c>
      <c r="B1840" s="10" t="s">
        <v>4599</v>
      </c>
      <c r="C1840" s="10" t="s">
        <v>4600</v>
      </c>
      <c r="D1840" s="10" t="s">
        <v>1004</v>
      </c>
      <c r="E1840" s="10" t="s">
        <v>4507</v>
      </c>
      <c r="F1840" s="10" t="s">
        <v>794</v>
      </c>
      <c r="G1840" s="10" t="s">
        <v>1833</v>
      </c>
      <c r="H1840" s="10" t="s">
        <v>978</v>
      </c>
      <c r="I1840" s="10" t="s">
        <v>793</v>
      </c>
      <c r="J1840" s="10" t="s">
        <v>1004</v>
      </c>
    </row>
    <row r="1841" spans="1:10" ht="15" hidden="1" customHeight="1">
      <c r="A1841" s="9">
        <v>1837</v>
      </c>
      <c r="B1841" s="10" t="s">
        <v>4601</v>
      </c>
      <c r="C1841" s="10" t="s">
        <v>4602</v>
      </c>
      <c r="D1841" s="10" t="s">
        <v>1004</v>
      </c>
      <c r="E1841" s="10" t="s">
        <v>4507</v>
      </c>
      <c r="F1841" s="10" t="s">
        <v>794</v>
      </c>
      <c r="G1841" s="10" t="s">
        <v>1833</v>
      </c>
      <c r="H1841" s="10" t="s">
        <v>978</v>
      </c>
      <c r="I1841" s="10" t="s">
        <v>793</v>
      </c>
      <c r="J1841" s="10" t="s">
        <v>1004</v>
      </c>
    </row>
    <row r="1842" spans="1:10" ht="15" hidden="1" customHeight="1">
      <c r="A1842" s="9">
        <v>1838</v>
      </c>
      <c r="B1842" s="10" t="s">
        <v>4603</v>
      </c>
      <c r="C1842" s="10" t="s">
        <v>4604</v>
      </c>
      <c r="D1842" s="10" t="s">
        <v>1004</v>
      </c>
      <c r="E1842" s="10" t="s">
        <v>4509</v>
      </c>
      <c r="F1842" s="10" t="s">
        <v>794</v>
      </c>
      <c r="G1842" s="10" t="s">
        <v>1836</v>
      </c>
      <c r="H1842" s="10" t="s">
        <v>978</v>
      </c>
      <c r="I1842" s="10" t="s">
        <v>793</v>
      </c>
      <c r="J1842" s="10" t="s">
        <v>1004</v>
      </c>
    </row>
    <row r="1843" spans="1:10" ht="15" hidden="1" customHeight="1">
      <c r="A1843" s="9">
        <v>1839</v>
      </c>
      <c r="B1843" s="10" t="s">
        <v>4605</v>
      </c>
      <c r="C1843" s="10" t="s">
        <v>4606</v>
      </c>
      <c r="D1843" s="10" t="s">
        <v>1004</v>
      </c>
      <c r="E1843" s="10" t="s">
        <v>4509</v>
      </c>
      <c r="F1843" s="10" t="s">
        <v>794</v>
      </c>
      <c r="G1843" s="10" t="s">
        <v>1836</v>
      </c>
      <c r="H1843" s="10" t="s">
        <v>978</v>
      </c>
      <c r="I1843" s="10" t="s">
        <v>793</v>
      </c>
      <c r="J1843" s="10" t="s">
        <v>1004</v>
      </c>
    </row>
    <row r="1844" spans="1:10" ht="15" hidden="1" customHeight="1">
      <c r="A1844" s="9">
        <v>1840</v>
      </c>
      <c r="B1844" s="10" t="s">
        <v>4607</v>
      </c>
      <c r="C1844" s="10" t="s">
        <v>4608</v>
      </c>
      <c r="D1844" s="10" t="s">
        <v>1004</v>
      </c>
      <c r="E1844" s="10" t="s">
        <v>4509</v>
      </c>
      <c r="F1844" s="10" t="s">
        <v>794</v>
      </c>
      <c r="G1844" s="10" t="s">
        <v>1836</v>
      </c>
      <c r="H1844" s="10" t="s">
        <v>978</v>
      </c>
      <c r="I1844" s="10" t="s">
        <v>793</v>
      </c>
      <c r="J1844" s="10" t="s">
        <v>1004</v>
      </c>
    </row>
    <row r="1845" spans="1:10" ht="15" hidden="1" customHeight="1">
      <c r="A1845" s="9">
        <v>1841</v>
      </c>
      <c r="B1845" s="10" t="s">
        <v>4609</v>
      </c>
      <c r="C1845" s="10" t="s">
        <v>4610</v>
      </c>
      <c r="D1845" s="10" t="s">
        <v>1004</v>
      </c>
      <c r="E1845" s="10" t="s">
        <v>4509</v>
      </c>
      <c r="F1845" s="10" t="s">
        <v>794</v>
      </c>
      <c r="G1845" s="10" t="s">
        <v>1836</v>
      </c>
      <c r="H1845" s="10" t="s">
        <v>978</v>
      </c>
      <c r="I1845" s="10" t="s">
        <v>793</v>
      </c>
      <c r="J1845" s="10" t="s">
        <v>1004</v>
      </c>
    </row>
    <row r="1846" spans="1:10" ht="15" hidden="1" customHeight="1">
      <c r="A1846" s="9">
        <v>1842</v>
      </c>
      <c r="B1846" s="10" t="s">
        <v>4611</v>
      </c>
      <c r="C1846" s="10" t="s">
        <v>4612</v>
      </c>
      <c r="D1846" s="10" t="s">
        <v>1004</v>
      </c>
      <c r="E1846" s="10" t="s">
        <v>4509</v>
      </c>
      <c r="F1846" s="10" t="s">
        <v>794</v>
      </c>
      <c r="G1846" s="10" t="s">
        <v>1836</v>
      </c>
      <c r="H1846" s="10" t="s">
        <v>978</v>
      </c>
      <c r="I1846" s="10" t="s">
        <v>793</v>
      </c>
      <c r="J1846" s="10" t="s">
        <v>1004</v>
      </c>
    </row>
    <row r="1847" spans="1:10" ht="15" hidden="1" customHeight="1">
      <c r="A1847" s="9">
        <v>1843</v>
      </c>
      <c r="B1847" s="10" t="s">
        <v>4613</v>
      </c>
      <c r="C1847" s="10" t="s">
        <v>4614</v>
      </c>
      <c r="D1847" s="10" t="s">
        <v>1004</v>
      </c>
      <c r="E1847" s="10" t="s">
        <v>4511</v>
      </c>
      <c r="F1847" s="10" t="s">
        <v>794</v>
      </c>
      <c r="G1847" s="10" t="s">
        <v>1839</v>
      </c>
      <c r="H1847" s="10" t="s">
        <v>978</v>
      </c>
      <c r="I1847" s="10" t="s">
        <v>793</v>
      </c>
      <c r="J1847" s="10" t="s">
        <v>1004</v>
      </c>
    </row>
    <row r="1848" spans="1:10" ht="15" hidden="1" customHeight="1">
      <c r="A1848" s="9">
        <v>1844</v>
      </c>
      <c r="B1848" s="10" t="s">
        <v>4615</v>
      </c>
      <c r="C1848" s="10" t="s">
        <v>4616</v>
      </c>
      <c r="D1848" s="10" t="s">
        <v>1004</v>
      </c>
      <c r="E1848" s="10" t="s">
        <v>4511</v>
      </c>
      <c r="F1848" s="10" t="s">
        <v>794</v>
      </c>
      <c r="G1848" s="10" t="s">
        <v>1839</v>
      </c>
      <c r="H1848" s="10" t="s">
        <v>978</v>
      </c>
      <c r="I1848" s="10" t="s">
        <v>793</v>
      </c>
      <c r="J1848" s="10" t="s">
        <v>1004</v>
      </c>
    </row>
    <row r="1849" spans="1:10" ht="15" hidden="1" customHeight="1">
      <c r="A1849" s="9">
        <v>1845</v>
      </c>
      <c r="B1849" s="10" t="s">
        <v>4617</v>
      </c>
      <c r="C1849" s="10" t="s">
        <v>4618</v>
      </c>
      <c r="D1849" s="10" t="s">
        <v>1004</v>
      </c>
      <c r="E1849" s="10" t="s">
        <v>4511</v>
      </c>
      <c r="F1849" s="10" t="s">
        <v>794</v>
      </c>
      <c r="G1849" s="10" t="s">
        <v>1839</v>
      </c>
      <c r="H1849" s="10" t="s">
        <v>978</v>
      </c>
      <c r="I1849" s="10" t="s">
        <v>793</v>
      </c>
      <c r="J1849" s="10" t="s">
        <v>1004</v>
      </c>
    </row>
    <row r="1850" spans="1:10" ht="15" hidden="1" customHeight="1">
      <c r="A1850" s="9">
        <v>1846</v>
      </c>
      <c r="B1850" s="10" t="s">
        <v>4619</v>
      </c>
      <c r="C1850" s="10" t="s">
        <v>4620</v>
      </c>
      <c r="D1850" s="10" t="s">
        <v>1004</v>
      </c>
      <c r="E1850" s="10" t="s">
        <v>4511</v>
      </c>
      <c r="F1850" s="10" t="s">
        <v>794</v>
      </c>
      <c r="G1850" s="10" t="s">
        <v>1839</v>
      </c>
      <c r="H1850" s="10" t="s">
        <v>978</v>
      </c>
      <c r="I1850" s="10" t="s">
        <v>793</v>
      </c>
      <c r="J1850" s="10" t="s">
        <v>1004</v>
      </c>
    </row>
    <row r="1851" spans="1:10" ht="15" hidden="1" customHeight="1">
      <c r="A1851" s="9">
        <v>1847</v>
      </c>
      <c r="B1851" s="10" t="s">
        <v>4621</v>
      </c>
      <c r="C1851" s="10" t="s">
        <v>4622</v>
      </c>
      <c r="D1851" s="10" t="s">
        <v>1004</v>
      </c>
      <c r="E1851" s="10" t="s">
        <v>4513</v>
      </c>
      <c r="F1851" s="10" t="s">
        <v>794</v>
      </c>
      <c r="G1851" s="10" t="s">
        <v>1842</v>
      </c>
      <c r="H1851" s="10" t="s">
        <v>978</v>
      </c>
      <c r="I1851" s="10" t="s">
        <v>793</v>
      </c>
      <c r="J1851" s="10" t="s">
        <v>1004</v>
      </c>
    </row>
    <row r="1852" spans="1:10" ht="15" hidden="1" customHeight="1">
      <c r="A1852" s="9">
        <v>1848</v>
      </c>
      <c r="B1852" s="10" t="s">
        <v>4623</v>
      </c>
      <c r="C1852" s="10" t="s">
        <v>4624</v>
      </c>
      <c r="D1852" s="10" t="s">
        <v>1004</v>
      </c>
      <c r="E1852" s="10" t="s">
        <v>4513</v>
      </c>
      <c r="F1852" s="10" t="s">
        <v>794</v>
      </c>
      <c r="G1852" s="10" t="s">
        <v>1842</v>
      </c>
      <c r="H1852" s="10" t="s">
        <v>978</v>
      </c>
      <c r="I1852" s="10" t="s">
        <v>793</v>
      </c>
      <c r="J1852" s="10" t="s">
        <v>1004</v>
      </c>
    </row>
    <row r="1853" spans="1:10" ht="15" hidden="1" customHeight="1">
      <c r="A1853" s="9">
        <v>1849</v>
      </c>
      <c r="B1853" s="10" t="s">
        <v>4625</v>
      </c>
      <c r="C1853" s="10" t="s">
        <v>4626</v>
      </c>
      <c r="D1853" s="10" t="s">
        <v>1004</v>
      </c>
      <c r="E1853" s="10" t="s">
        <v>4513</v>
      </c>
      <c r="F1853" s="10" t="s">
        <v>794</v>
      </c>
      <c r="G1853" s="10" t="s">
        <v>1842</v>
      </c>
      <c r="H1853" s="10" t="s">
        <v>978</v>
      </c>
      <c r="I1853" s="10" t="s">
        <v>793</v>
      </c>
      <c r="J1853" s="10" t="s">
        <v>1004</v>
      </c>
    </row>
    <row r="1854" spans="1:10" ht="15" hidden="1" customHeight="1">
      <c r="A1854" s="9">
        <v>1850</v>
      </c>
      <c r="B1854" s="10" t="s">
        <v>4627</v>
      </c>
      <c r="C1854" s="10" t="s">
        <v>4628</v>
      </c>
      <c r="D1854" s="10" t="s">
        <v>1004</v>
      </c>
      <c r="E1854" s="10" t="s">
        <v>4513</v>
      </c>
      <c r="F1854" s="10" t="s">
        <v>794</v>
      </c>
      <c r="G1854" s="10" t="s">
        <v>1842</v>
      </c>
      <c r="H1854" s="10" t="s">
        <v>978</v>
      </c>
      <c r="I1854" s="10" t="s">
        <v>793</v>
      </c>
      <c r="J1854" s="10" t="s">
        <v>1004</v>
      </c>
    </row>
    <row r="1855" spans="1:10" ht="15" hidden="1" customHeight="1">
      <c r="A1855" s="9">
        <v>1851</v>
      </c>
      <c r="B1855" s="10" t="s">
        <v>4629</v>
      </c>
      <c r="C1855" s="10" t="s">
        <v>4630</v>
      </c>
      <c r="D1855" s="10" t="s">
        <v>1004</v>
      </c>
      <c r="E1855" s="10" t="s">
        <v>4513</v>
      </c>
      <c r="F1855" s="10" t="s">
        <v>794</v>
      </c>
      <c r="G1855" s="10" t="s">
        <v>1842</v>
      </c>
      <c r="H1855" s="10" t="s">
        <v>978</v>
      </c>
      <c r="I1855" s="10" t="s">
        <v>793</v>
      </c>
      <c r="J1855" s="10" t="s">
        <v>1004</v>
      </c>
    </row>
    <row r="1856" spans="1:10" ht="15" hidden="1" customHeight="1">
      <c r="A1856" s="9">
        <v>1852</v>
      </c>
      <c r="B1856" s="10" t="s">
        <v>4631</v>
      </c>
      <c r="C1856" s="10" t="s">
        <v>4632</v>
      </c>
      <c r="D1856" s="10" t="s">
        <v>1004</v>
      </c>
      <c r="E1856" s="10" t="s">
        <v>4513</v>
      </c>
      <c r="F1856" s="10" t="s">
        <v>794</v>
      </c>
      <c r="G1856" s="10" t="s">
        <v>1842</v>
      </c>
      <c r="H1856" s="10" t="s">
        <v>978</v>
      </c>
      <c r="I1856" s="10" t="s">
        <v>793</v>
      </c>
      <c r="J1856" s="10" t="s">
        <v>1004</v>
      </c>
    </row>
    <row r="1857" spans="1:10" ht="15" hidden="1" customHeight="1">
      <c r="A1857" s="9">
        <v>1853</v>
      </c>
      <c r="B1857" s="10" t="s">
        <v>4633</v>
      </c>
      <c r="C1857" s="10" t="s">
        <v>4634</v>
      </c>
      <c r="D1857" s="10" t="s">
        <v>1004</v>
      </c>
      <c r="E1857" s="10" t="s">
        <v>4513</v>
      </c>
      <c r="F1857" s="10" t="s">
        <v>794</v>
      </c>
      <c r="G1857" s="10" t="s">
        <v>1842</v>
      </c>
      <c r="H1857" s="10" t="s">
        <v>978</v>
      </c>
      <c r="I1857" s="10" t="s">
        <v>793</v>
      </c>
      <c r="J1857" s="10" t="s">
        <v>1004</v>
      </c>
    </row>
    <row r="1858" spans="1:10" ht="15" hidden="1" customHeight="1">
      <c r="A1858" s="9">
        <v>1854</v>
      </c>
      <c r="B1858" s="10" t="s">
        <v>4635</v>
      </c>
      <c r="C1858" s="10" t="s">
        <v>4636</v>
      </c>
      <c r="D1858" s="10" t="s">
        <v>1004</v>
      </c>
      <c r="E1858" s="10" t="s">
        <v>4515</v>
      </c>
      <c r="F1858" s="10" t="s">
        <v>794</v>
      </c>
      <c r="G1858" s="10" t="s">
        <v>1845</v>
      </c>
      <c r="H1858" s="10" t="s">
        <v>978</v>
      </c>
      <c r="I1858" s="10" t="s">
        <v>793</v>
      </c>
      <c r="J1858" s="10" t="s">
        <v>1004</v>
      </c>
    </row>
    <row r="1859" spans="1:10" ht="15" hidden="1" customHeight="1">
      <c r="A1859" s="9">
        <v>1855</v>
      </c>
      <c r="B1859" s="10" t="s">
        <v>4637</v>
      </c>
      <c r="C1859" s="10" t="s">
        <v>4638</v>
      </c>
      <c r="D1859" s="10" t="s">
        <v>1004</v>
      </c>
      <c r="E1859" s="10" t="s">
        <v>4515</v>
      </c>
      <c r="F1859" s="10" t="s">
        <v>794</v>
      </c>
      <c r="G1859" s="10" t="s">
        <v>1845</v>
      </c>
      <c r="H1859" s="10" t="s">
        <v>978</v>
      </c>
      <c r="I1859" s="10" t="s">
        <v>793</v>
      </c>
      <c r="J1859" s="10" t="s">
        <v>1004</v>
      </c>
    </row>
    <row r="1860" spans="1:10" ht="15" hidden="1" customHeight="1">
      <c r="A1860" s="9">
        <v>1856</v>
      </c>
      <c r="B1860" s="10" t="s">
        <v>4639</v>
      </c>
      <c r="C1860" s="10" t="s">
        <v>4640</v>
      </c>
      <c r="D1860" s="10" t="s">
        <v>1004</v>
      </c>
      <c r="E1860" s="10" t="s">
        <v>4515</v>
      </c>
      <c r="F1860" s="10" t="s">
        <v>794</v>
      </c>
      <c r="G1860" s="10" t="s">
        <v>1845</v>
      </c>
      <c r="H1860" s="10" t="s">
        <v>978</v>
      </c>
      <c r="I1860" s="10" t="s">
        <v>793</v>
      </c>
      <c r="J1860" s="10" t="s">
        <v>1004</v>
      </c>
    </row>
    <row r="1861" spans="1:10" ht="15" hidden="1" customHeight="1">
      <c r="A1861" s="9">
        <v>1857</v>
      </c>
      <c r="B1861" s="10" t="s">
        <v>4641</v>
      </c>
      <c r="C1861" s="10" t="s">
        <v>4642</v>
      </c>
      <c r="D1861" s="10" t="s">
        <v>1004</v>
      </c>
      <c r="E1861" s="10" t="s">
        <v>4515</v>
      </c>
      <c r="F1861" s="10" t="s">
        <v>794</v>
      </c>
      <c r="G1861" s="10" t="s">
        <v>1845</v>
      </c>
      <c r="H1861" s="10" t="s">
        <v>978</v>
      </c>
      <c r="I1861" s="10" t="s">
        <v>793</v>
      </c>
      <c r="J1861" s="10" t="s">
        <v>1004</v>
      </c>
    </row>
    <row r="1862" spans="1:10" ht="15" hidden="1" customHeight="1">
      <c r="A1862" s="9">
        <v>1858</v>
      </c>
      <c r="B1862" s="10" t="s">
        <v>4643</v>
      </c>
      <c r="C1862" s="10" t="s">
        <v>4644</v>
      </c>
      <c r="D1862" s="10" t="s">
        <v>1004</v>
      </c>
      <c r="E1862" s="10" t="s">
        <v>4515</v>
      </c>
      <c r="F1862" s="10" t="s">
        <v>794</v>
      </c>
      <c r="G1862" s="10" t="s">
        <v>1845</v>
      </c>
      <c r="H1862" s="10" t="s">
        <v>978</v>
      </c>
      <c r="I1862" s="10" t="s">
        <v>793</v>
      </c>
      <c r="J1862" s="10" t="s">
        <v>1004</v>
      </c>
    </row>
    <row r="1863" spans="1:10" ht="15" hidden="1" customHeight="1">
      <c r="A1863" s="9">
        <v>1859</v>
      </c>
      <c r="B1863" s="10" t="s">
        <v>4645</v>
      </c>
      <c r="C1863" s="10" t="s">
        <v>4646</v>
      </c>
      <c r="D1863" s="10" t="s">
        <v>1004</v>
      </c>
      <c r="E1863" s="10" t="s">
        <v>4517</v>
      </c>
      <c r="F1863" s="10" t="s">
        <v>794</v>
      </c>
      <c r="G1863" s="10" t="s">
        <v>1848</v>
      </c>
      <c r="H1863" s="10" t="s">
        <v>978</v>
      </c>
      <c r="I1863" s="10" t="s">
        <v>793</v>
      </c>
      <c r="J1863" s="10" t="s">
        <v>1004</v>
      </c>
    </row>
    <row r="1864" spans="1:10" ht="15" hidden="1" customHeight="1">
      <c r="A1864" s="9">
        <v>1860</v>
      </c>
      <c r="B1864" s="10" t="s">
        <v>4647</v>
      </c>
      <c r="C1864" s="10" t="s">
        <v>4648</v>
      </c>
      <c r="D1864" s="10" t="s">
        <v>1004</v>
      </c>
      <c r="E1864" s="10" t="s">
        <v>4517</v>
      </c>
      <c r="F1864" s="10" t="s">
        <v>794</v>
      </c>
      <c r="G1864" s="10" t="s">
        <v>1848</v>
      </c>
      <c r="H1864" s="10" t="s">
        <v>978</v>
      </c>
      <c r="I1864" s="10" t="s">
        <v>793</v>
      </c>
      <c r="J1864" s="10" t="s">
        <v>1004</v>
      </c>
    </row>
    <row r="1865" spans="1:10" ht="15" hidden="1" customHeight="1">
      <c r="A1865" s="9">
        <v>1861</v>
      </c>
      <c r="B1865" s="10" t="s">
        <v>4649</v>
      </c>
      <c r="C1865" s="10" t="s">
        <v>4650</v>
      </c>
      <c r="D1865" s="10" t="s">
        <v>1004</v>
      </c>
      <c r="E1865" s="10" t="s">
        <v>4517</v>
      </c>
      <c r="F1865" s="10" t="s">
        <v>794</v>
      </c>
      <c r="G1865" s="10" t="s">
        <v>1848</v>
      </c>
      <c r="H1865" s="10" t="s">
        <v>978</v>
      </c>
      <c r="I1865" s="10" t="s">
        <v>793</v>
      </c>
      <c r="J1865" s="10" t="s">
        <v>1004</v>
      </c>
    </row>
    <row r="1866" spans="1:10" ht="15" hidden="1" customHeight="1">
      <c r="A1866" s="9">
        <v>1862</v>
      </c>
      <c r="B1866" s="10" t="s">
        <v>4651</v>
      </c>
      <c r="C1866" s="10" t="s">
        <v>4652</v>
      </c>
      <c r="D1866" s="10" t="s">
        <v>1004</v>
      </c>
      <c r="E1866" s="10" t="s">
        <v>4517</v>
      </c>
      <c r="F1866" s="10" t="s">
        <v>794</v>
      </c>
      <c r="G1866" s="10" t="s">
        <v>1848</v>
      </c>
      <c r="H1866" s="10" t="s">
        <v>978</v>
      </c>
      <c r="I1866" s="10" t="s">
        <v>793</v>
      </c>
      <c r="J1866" s="10" t="s">
        <v>1004</v>
      </c>
    </row>
    <row r="1867" spans="1:10" ht="15" hidden="1" customHeight="1">
      <c r="A1867" s="9">
        <v>1863</v>
      </c>
      <c r="B1867" s="10" t="s">
        <v>4653</v>
      </c>
      <c r="C1867" s="10" t="s">
        <v>4654</v>
      </c>
      <c r="D1867" s="10" t="s">
        <v>1004</v>
      </c>
      <c r="E1867" s="10" t="s">
        <v>4517</v>
      </c>
      <c r="F1867" s="10" t="s">
        <v>794</v>
      </c>
      <c r="G1867" s="10" t="s">
        <v>1848</v>
      </c>
      <c r="H1867" s="10" t="s">
        <v>978</v>
      </c>
      <c r="I1867" s="10" t="s">
        <v>793</v>
      </c>
      <c r="J1867" s="10" t="s">
        <v>1004</v>
      </c>
    </row>
    <row r="1868" spans="1:10" ht="15" hidden="1" customHeight="1">
      <c r="A1868" s="9">
        <v>1864</v>
      </c>
      <c r="B1868" s="10" t="s">
        <v>4655</v>
      </c>
      <c r="C1868" s="10" t="s">
        <v>4656</v>
      </c>
      <c r="D1868" s="10" t="s">
        <v>1004</v>
      </c>
      <c r="E1868" s="10" t="s">
        <v>4519</v>
      </c>
      <c r="F1868" s="10" t="s">
        <v>794</v>
      </c>
      <c r="G1868" s="10" t="s">
        <v>1851</v>
      </c>
      <c r="H1868" s="10" t="s">
        <v>978</v>
      </c>
      <c r="I1868" s="10" t="s">
        <v>793</v>
      </c>
      <c r="J1868" s="10" t="s">
        <v>1004</v>
      </c>
    </row>
    <row r="1869" spans="1:10" ht="15" hidden="1" customHeight="1">
      <c r="A1869" s="9">
        <v>1865</v>
      </c>
      <c r="B1869" s="10" t="s">
        <v>4657</v>
      </c>
      <c r="C1869" s="10" t="s">
        <v>4658</v>
      </c>
      <c r="D1869" s="10" t="s">
        <v>1004</v>
      </c>
      <c r="E1869" s="10" t="s">
        <v>4519</v>
      </c>
      <c r="F1869" s="10" t="s">
        <v>794</v>
      </c>
      <c r="G1869" s="10" t="s">
        <v>1851</v>
      </c>
      <c r="H1869" s="10" t="s">
        <v>978</v>
      </c>
      <c r="I1869" s="10" t="s">
        <v>793</v>
      </c>
      <c r="J1869" s="10" t="s">
        <v>1004</v>
      </c>
    </row>
    <row r="1870" spans="1:10" ht="15" hidden="1" customHeight="1">
      <c r="A1870" s="9">
        <v>1866</v>
      </c>
      <c r="B1870" s="10" t="s">
        <v>4659</v>
      </c>
      <c r="C1870" s="10" t="s">
        <v>4660</v>
      </c>
      <c r="D1870" s="10" t="s">
        <v>1004</v>
      </c>
      <c r="E1870" s="10" t="s">
        <v>4519</v>
      </c>
      <c r="F1870" s="10" t="s">
        <v>794</v>
      </c>
      <c r="G1870" s="10" t="s">
        <v>1851</v>
      </c>
      <c r="H1870" s="10" t="s">
        <v>978</v>
      </c>
      <c r="I1870" s="10" t="s">
        <v>793</v>
      </c>
      <c r="J1870" s="10" t="s">
        <v>1004</v>
      </c>
    </row>
    <row r="1871" spans="1:10" ht="15" hidden="1" customHeight="1">
      <c r="A1871" s="9">
        <v>1867</v>
      </c>
      <c r="B1871" s="10" t="s">
        <v>4661</v>
      </c>
      <c r="C1871" s="10" t="s">
        <v>4662</v>
      </c>
      <c r="D1871" s="10" t="s">
        <v>1004</v>
      </c>
      <c r="E1871" s="10" t="s">
        <v>4519</v>
      </c>
      <c r="F1871" s="10" t="s">
        <v>794</v>
      </c>
      <c r="G1871" s="10" t="s">
        <v>1851</v>
      </c>
      <c r="H1871" s="10" t="s">
        <v>978</v>
      </c>
      <c r="I1871" s="10" t="s">
        <v>793</v>
      </c>
      <c r="J1871" s="10" t="s">
        <v>1004</v>
      </c>
    </row>
    <row r="1872" spans="1:10" ht="15" hidden="1" customHeight="1">
      <c r="A1872" s="9">
        <v>1868</v>
      </c>
      <c r="B1872" s="10" t="s">
        <v>4663</v>
      </c>
      <c r="C1872" s="10" t="s">
        <v>4664</v>
      </c>
      <c r="D1872" s="10" t="s">
        <v>1004</v>
      </c>
      <c r="E1872" s="10" t="s">
        <v>4519</v>
      </c>
      <c r="F1872" s="10" t="s">
        <v>794</v>
      </c>
      <c r="G1872" s="10" t="s">
        <v>1851</v>
      </c>
      <c r="H1872" s="10" t="s">
        <v>978</v>
      </c>
      <c r="I1872" s="10" t="s">
        <v>793</v>
      </c>
      <c r="J1872" s="10" t="s">
        <v>1004</v>
      </c>
    </row>
    <row r="1873" spans="1:10" ht="15" hidden="1" customHeight="1">
      <c r="A1873" s="9">
        <v>1869</v>
      </c>
      <c r="B1873" s="10" t="s">
        <v>4665</v>
      </c>
      <c r="C1873" s="10" t="s">
        <v>4666</v>
      </c>
      <c r="D1873" s="10" t="s">
        <v>1004</v>
      </c>
      <c r="E1873" s="10" t="s">
        <v>4521</v>
      </c>
      <c r="F1873" s="10" t="s">
        <v>794</v>
      </c>
      <c r="G1873" s="10" t="s">
        <v>1854</v>
      </c>
      <c r="H1873" s="10" t="s">
        <v>978</v>
      </c>
      <c r="I1873" s="10" t="s">
        <v>793</v>
      </c>
      <c r="J1873" s="10" t="s">
        <v>1004</v>
      </c>
    </row>
    <row r="1874" spans="1:10" ht="15" hidden="1" customHeight="1">
      <c r="A1874" s="9">
        <v>1870</v>
      </c>
      <c r="B1874" s="10" t="s">
        <v>4667</v>
      </c>
      <c r="C1874" s="10" t="s">
        <v>4668</v>
      </c>
      <c r="D1874" s="10" t="s">
        <v>1004</v>
      </c>
      <c r="E1874" s="10" t="s">
        <v>4521</v>
      </c>
      <c r="F1874" s="10" t="s">
        <v>794</v>
      </c>
      <c r="G1874" s="10" t="s">
        <v>1854</v>
      </c>
      <c r="H1874" s="10" t="s">
        <v>978</v>
      </c>
      <c r="I1874" s="10" t="s">
        <v>793</v>
      </c>
      <c r="J1874" s="10" t="s">
        <v>1004</v>
      </c>
    </row>
    <row r="1875" spans="1:10" ht="15" hidden="1" customHeight="1">
      <c r="A1875" s="9">
        <v>1871</v>
      </c>
      <c r="B1875" s="10" t="s">
        <v>4669</v>
      </c>
      <c r="C1875" s="10" t="s">
        <v>4670</v>
      </c>
      <c r="D1875" s="10" t="s">
        <v>1004</v>
      </c>
      <c r="E1875" s="10" t="s">
        <v>4521</v>
      </c>
      <c r="F1875" s="10" t="s">
        <v>794</v>
      </c>
      <c r="G1875" s="10" t="s">
        <v>1854</v>
      </c>
      <c r="H1875" s="10" t="s">
        <v>978</v>
      </c>
      <c r="I1875" s="10" t="s">
        <v>793</v>
      </c>
      <c r="J1875" s="10" t="s">
        <v>1004</v>
      </c>
    </row>
    <row r="1876" spans="1:10" ht="15" hidden="1" customHeight="1">
      <c r="A1876" s="9">
        <v>1872</v>
      </c>
      <c r="B1876" s="10" t="s">
        <v>4671</v>
      </c>
      <c r="C1876" s="10" t="s">
        <v>4672</v>
      </c>
      <c r="D1876" s="10" t="s">
        <v>1004</v>
      </c>
      <c r="E1876" s="10" t="s">
        <v>4521</v>
      </c>
      <c r="F1876" s="10" t="s">
        <v>794</v>
      </c>
      <c r="G1876" s="10" t="s">
        <v>1854</v>
      </c>
      <c r="H1876" s="10" t="s">
        <v>978</v>
      </c>
      <c r="I1876" s="10" t="s">
        <v>793</v>
      </c>
      <c r="J1876" s="10" t="s">
        <v>1004</v>
      </c>
    </row>
    <row r="1877" spans="1:10" ht="15" hidden="1" customHeight="1">
      <c r="A1877" s="9">
        <v>1873</v>
      </c>
      <c r="B1877" s="10" t="s">
        <v>4673</v>
      </c>
      <c r="C1877" s="10" t="s">
        <v>4674</v>
      </c>
      <c r="D1877" s="10" t="s">
        <v>1004</v>
      </c>
      <c r="E1877" s="10" t="s">
        <v>4521</v>
      </c>
      <c r="F1877" s="10" t="s">
        <v>794</v>
      </c>
      <c r="G1877" s="10" t="s">
        <v>1854</v>
      </c>
      <c r="H1877" s="10" t="s">
        <v>978</v>
      </c>
      <c r="I1877" s="10" t="s">
        <v>793</v>
      </c>
      <c r="J1877" s="10" t="s">
        <v>1004</v>
      </c>
    </row>
    <row r="1878" spans="1:10" ht="15" hidden="1" customHeight="1">
      <c r="A1878" s="9">
        <v>1874</v>
      </c>
      <c r="B1878" s="10" t="s">
        <v>4675</v>
      </c>
      <c r="C1878" s="10" t="s">
        <v>4676</v>
      </c>
      <c r="D1878" s="10" t="s">
        <v>1004</v>
      </c>
      <c r="E1878" s="10" t="s">
        <v>4529</v>
      </c>
      <c r="F1878" s="10" t="s">
        <v>794</v>
      </c>
      <c r="G1878" s="10" t="s">
        <v>1885</v>
      </c>
      <c r="H1878" s="10" t="s">
        <v>978</v>
      </c>
      <c r="I1878" s="10" t="s">
        <v>793</v>
      </c>
      <c r="J1878" s="10" t="s">
        <v>920</v>
      </c>
    </row>
    <row r="1879" spans="1:10" ht="15" hidden="1" customHeight="1">
      <c r="A1879" s="9">
        <v>1875</v>
      </c>
      <c r="B1879" s="10" t="s">
        <v>4677</v>
      </c>
      <c r="C1879" s="10" t="s">
        <v>4678</v>
      </c>
      <c r="D1879" s="10" t="s">
        <v>1004</v>
      </c>
      <c r="E1879" s="10" t="s">
        <v>4529</v>
      </c>
      <c r="F1879" s="10" t="s">
        <v>794</v>
      </c>
      <c r="G1879" s="10" t="s">
        <v>1885</v>
      </c>
      <c r="H1879" s="10" t="s">
        <v>978</v>
      </c>
      <c r="I1879" s="10" t="s">
        <v>793</v>
      </c>
      <c r="J1879" s="10" t="s">
        <v>881</v>
      </c>
    </row>
    <row r="1880" spans="1:10" ht="15" hidden="1" customHeight="1">
      <c r="A1880" s="9">
        <v>1876</v>
      </c>
      <c r="B1880" s="10" t="s">
        <v>4679</v>
      </c>
      <c r="C1880" s="10" t="s">
        <v>4680</v>
      </c>
      <c r="D1880" s="10" t="s">
        <v>1004</v>
      </c>
      <c r="E1880" s="10" t="s">
        <v>4529</v>
      </c>
      <c r="F1880" s="10" t="s">
        <v>794</v>
      </c>
      <c r="G1880" s="10" t="s">
        <v>1885</v>
      </c>
      <c r="H1880" s="10" t="s">
        <v>978</v>
      </c>
      <c r="I1880" s="10" t="s">
        <v>793</v>
      </c>
      <c r="J1880" s="10" t="s">
        <v>2070</v>
      </c>
    </row>
    <row r="1881" spans="1:10" ht="15" hidden="1" customHeight="1">
      <c r="A1881" s="9">
        <v>1877</v>
      </c>
      <c r="B1881" s="10" t="s">
        <v>4681</v>
      </c>
      <c r="C1881" s="10" t="s">
        <v>4682</v>
      </c>
      <c r="D1881" s="10" t="s">
        <v>1004</v>
      </c>
      <c r="E1881" s="10" t="s">
        <v>4529</v>
      </c>
      <c r="F1881" s="10" t="s">
        <v>794</v>
      </c>
      <c r="G1881" s="10" t="s">
        <v>1885</v>
      </c>
      <c r="H1881" s="10" t="s">
        <v>978</v>
      </c>
      <c r="I1881" s="10" t="s">
        <v>793</v>
      </c>
      <c r="J1881" s="10" t="s">
        <v>920</v>
      </c>
    </row>
    <row r="1882" spans="1:10" ht="15" hidden="1" customHeight="1">
      <c r="A1882" s="9">
        <v>1878</v>
      </c>
      <c r="B1882" s="10" t="s">
        <v>4683</v>
      </c>
      <c r="C1882" s="10" t="s">
        <v>4684</v>
      </c>
      <c r="D1882" s="10" t="s">
        <v>1004</v>
      </c>
      <c r="E1882" s="10" t="s">
        <v>4529</v>
      </c>
      <c r="F1882" s="10" t="s">
        <v>794</v>
      </c>
      <c r="G1882" s="10" t="s">
        <v>1885</v>
      </c>
      <c r="H1882" s="10" t="s">
        <v>978</v>
      </c>
      <c r="I1882" s="10" t="s">
        <v>793</v>
      </c>
      <c r="J1882" s="10" t="s">
        <v>920</v>
      </c>
    </row>
    <row r="1883" spans="1:10" ht="15" hidden="1" customHeight="1">
      <c r="A1883" s="9">
        <v>1879</v>
      </c>
      <c r="B1883" s="10" t="s">
        <v>4685</v>
      </c>
      <c r="C1883" s="10" t="s">
        <v>4686</v>
      </c>
      <c r="D1883" s="10" t="s">
        <v>1004</v>
      </c>
      <c r="E1883" s="10" t="s">
        <v>4529</v>
      </c>
      <c r="F1883" s="10" t="s">
        <v>794</v>
      </c>
      <c r="G1883" s="10" t="s">
        <v>1885</v>
      </c>
      <c r="H1883" s="10" t="s">
        <v>978</v>
      </c>
      <c r="I1883" s="10" t="s">
        <v>793</v>
      </c>
      <c r="J1883" s="10" t="s">
        <v>881</v>
      </c>
    </row>
    <row r="1884" spans="1:10" ht="15" hidden="1" customHeight="1">
      <c r="A1884" s="9">
        <v>1880</v>
      </c>
      <c r="B1884" s="10" t="s">
        <v>4687</v>
      </c>
      <c r="C1884" s="10" t="s">
        <v>4688</v>
      </c>
      <c r="D1884" s="10" t="s">
        <v>1004</v>
      </c>
      <c r="E1884" s="10" t="s">
        <v>4529</v>
      </c>
      <c r="F1884" s="10" t="s">
        <v>794</v>
      </c>
      <c r="G1884" s="10" t="s">
        <v>1885</v>
      </c>
      <c r="H1884" s="10" t="s">
        <v>978</v>
      </c>
      <c r="I1884" s="10" t="s">
        <v>793</v>
      </c>
      <c r="J1884" s="10" t="s">
        <v>2070</v>
      </c>
    </row>
    <row r="1885" spans="1:10" ht="15" hidden="1" customHeight="1">
      <c r="A1885" s="9">
        <v>1881</v>
      </c>
      <c r="B1885" s="10" t="s">
        <v>4689</v>
      </c>
      <c r="C1885" s="10" t="s">
        <v>4690</v>
      </c>
      <c r="D1885" s="10" t="s">
        <v>1004</v>
      </c>
      <c r="E1885" s="10" t="s">
        <v>4529</v>
      </c>
      <c r="F1885" s="10" t="s">
        <v>794</v>
      </c>
      <c r="G1885" s="10" t="s">
        <v>1885</v>
      </c>
      <c r="H1885" s="10" t="s">
        <v>978</v>
      </c>
      <c r="I1885" s="10" t="s">
        <v>793</v>
      </c>
      <c r="J1885" s="10" t="s">
        <v>920</v>
      </c>
    </row>
    <row r="1886" spans="1:10" ht="15" hidden="1" customHeight="1">
      <c r="A1886" s="9">
        <v>1882</v>
      </c>
      <c r="B1886" s="10" t="s">
        <v>4691</v>
      </c>
      <c r="C1886" s="10" t="s">
        <v>4692</v>
      </c>
      <c r="D1886" s="10" t="s">
        <v>1004</v>
      </c>
      <c r="E1886" s="10" t="s">
        <v>4529</v>
      </c>
      <c r="F1886" s="10" t="s">
        <v>794</v>
      </c>
      <c r="G1886" s="10" t="s">
        <v>1885</v>
      </c>
      <c r="H1886" s="10" t="s">
        <v>978</v>
      </c>
      <c r="I1886" s="10" t="s">
        <v>793</v>
      </c>
      <c r="J1886" s="10" t="s">
        <v>920</v>
      </c>
    </row>
    <row r="1887" spans="1:10" ht="15" hidden="1" customHeight="1">
      <c r="A1887" s="9">
        <v>1883</v>
      </c>
      <c r="B1887" s="10" t="s">
        <v>4693</v>
      </c>
      <c r="C1887" s="10" t="s">
        <v>4694</v>
      </c>
      <c r="D1887" s="10" t="s">
        <v>1004</v>
      </c>
      <c r="E1887" s="10" t="s">
        <v>4529</v>
      </c>
      <c r="F1887" s="10" t="s">
        <v>794</v>
      </c>
      <c r="G1887" s="10" t="s">
        <v>1885</v>
      </c>
      <c r="H1887" s="10" t="s">
        <v>978</v>
      </c>
      <c r="I1887" s="10" t="s">
        <v>793</v>
      </c>
      <c r="J1887" s="10" t="s">
        <v>881</v>
      </c>
    </row>
    <row r="1888" spans="1:10" ht="15" hidden="1" customHeight="1">
      <c r="A1888" s="9">
        <v>1884</v>
      </c>
      <c r="B1888" s="10" t="s">
        <v>4695</v>
      </c>
      <c r="C1888" s="10" t="s">
        <v>4696</v>
      </c>
      <c r="D1888" s="10" t="s">
        <v>1004</v>
      </c>
      <c r="E1888" s="10" t="s">
        <v>4529</v>
      </c>
      <c r="F1888" s="10" t="s">
        <v>794</v>
      </c>
      <c r="G1888" s="10" t="s">
        <v>1885</v>
      </c>
      <c r="H1888" s="10" t="s">
        <v>978</v>
      </c>
      <c r="I1888" s="10" t="s">
        <v>793</v>
      </c>
      <c r="J1888" s="10" t="s">
        <v>2070</v>
      </c>
    </row>
    <row r="1889" spans="1:10" ht="15" hidden="1" customHeight="1">
      <c r="A1889" s="9">
        <v>1885</v>
      </c>
      <c r="B1889" s="10" t="s">
        <v>4697</v>
      </c>
      <c r="C1889" s="10" t="s">
        <v>4698</v>
      </c>
      <c r="D1889" s="10" t="s">
        <v>1004</v>
      </c>
      <c r="E1889" s="10" t="s">
        <v>4529</v>
      </c>
      <c r="F1889" s="10" t="s">
        <v>794</v>
      </c>
      <c r="G1889" s="10" t="s">
        <v>1885</v>
      </c>
      <c r="H1889" s="10" t="s">
        <v>978</v>
      </c>
      <c r="I1889" s="10" t="s">
        <v>793</v>
      </c>
      <c r="J1889" s="10" t="s">
        <v>920</v>
      </c>
    </row>
    <row r="1890" spans="1:10" ht="15" hidden="1" customHeight="1">
      <c r="A1890" s="9">
        <v>1886</v>
      </c>
      <c r="B1890" s="10" t="s">
        <v>4699</v>
      </c>
      <c r="C1890" s="10" t="s">
        <v>4700</v>
      </c>
      <c r="D1890" s="10" t="s">
        <v>1004</v>
      </c>
      <c r="E1890" s="10" t="s">
        <v>4529</v>
      </c>
      <c r="F1890" s="10" t="s">
        <v>794</v>
      </c>
      <c r="G1890" s="10" t="s">
        <v>1885</v>
      </c>
      <c r="H1890" s="10" t="s">
        <v>978</v>
      </c>
      <c r="I1890" s="10" t="s">
        <v>793</v>
      </c>
      <c r="J1890" s="10" t="s">
        <v>920</v>
      </c>
    </row>
    <row r="1891" spans="1:10" ht="15" hidden="1" customHeight="1">
      <c r="A1891" s="9">
        <v>1887</v>
      </c>
      <c r="B1891" s="10" t="s">
        <v>4701</v>
      </c>
      <c r="C1891" s="10" t="s">
        <v>4702</v>
      </c>
      <c r="D1891" s="10" t="s">
        <v>1004</v>
      </c>
      <c r="E1891" s="10" t="s">
        <v>4529</v>
      </c>
      <c r="F1891" s="10" t="s">
        <v>794</v>
      </c>
      <c r="G1891" s="10" t="s">
        <v>1885</v>
      </c>
      <c r="H1891" s="10" t="s">
        <v>978</v>
      </c>
      <c r="I1891" s="10" t="s">
        <v>793</v>
      </c>
      <c r="J1891" s="10" t="s">
        <v>881</v>
      </c>
    </row>
    <row r="1892" spans="1:10" ht="15" hidden="1" customHeight="1">
      <c r="A1892" s="9">
        <v>1888</v>
      </c>
      <c r="B1892" s="10" t="s">
        <v>4703</v>
      </c>
      <c r="C1892" s="10" t="s">
        <v>4704</v>
      </c>
      <c r="D1892" s="10" t="s">
        <v>1004</v>
      </c>
      <c r="E1892" s="10" t="s">
        <v>4529</v>
      </c>
      <c r="F1892" s="10" t="s">
        <v>794</v>
      </c>
      <c r="G1892" s="10" t="s">
        <v>1885</v>
      </c>
      <c r="H1892" s="10" t="s">
        <v>978</v>
      </c>
      <c r="I1892" s="10" t="s">
        <v>793</v>
      </c>
      <c r="J1892" s="10" t="s">
        <v>920</v>
      </c>
    </row>
    <row r="1893" spans="1:10" ht="15" hidden="1" customHeight="1">
      <c r="A1893" s="9">
        <v>1889</v>
      </c>
      <c r="B1893" s="10" t="s">
        <v>4705</v>
      </c>
      <c r="C1893" s="10" t="s">
        <v>4706</v>
      </c>
      <c r="D1893" s="10" t="s">
        <v>1004</v>
      </c>
      <c r="E1893" s="10" t="s">
        <v>4529</v>
      </c>
      <c r="F1893" s="10" t="s">
        <v>794</v>
      </c>
      <c r="G1893" s="10" t="s">
        <v>1885</v>
      </c>
      <c r="H1893" s="10" t="s">
        <v>978</v>
      </c>
      <c r="I1893" s="10" t="s">
        <v>793</v>
      </c>
      <c r="J1893" s="10" t="s">
        <v>920</v>
      </c>
    </row>
    <row r="1894" spans="1:10" ht="15" hidden="1" customHeight="1">
      <c r="A1894" s="9">
        <v>1890</v>
      </c>
      <c r="B1894" s="10" t="s">
        <v>4707</v>
      </c>
      <c r="C1894" s="10" t="s">
        <v>4708</v>
      </c>
      <c r="D1894" s="10" t="s">
        <v>1004</v>
      </c>
      <c r="E1894" s="10" t="s">
        <v>4529</v>
      </c>
      <c r="F1894" s="10" t="s">
        <v>794</v>
      </c>
      <c r="G1894" s="10" t="s">
        <v>1885</v>
      </c>
      <c r="H1894" s="10" t="s">
        <v>978</v>
      </c>
      <c r="I1894" s="10" t="s">
        <v>793</v>
      </c>
      <c r="J1894" s="10" t="s">
        <v>881</v>
      </c>
    </row>
    <row r="1895" spans="1:10" ht="15" hidden="1" customHeight="1">
      <c r="A1895" s="9">
        <v>1891</v>
      </c>
      <c r="B1895" s="10" t="s">
        <v>4709</v>
      </c>
      <c r="C1895" s="10" t="s">
        <v>4710</v>
      </c>
      <c r="D1895" s="10" t="s">
        <v>1004</v>
      </c>
      <c r="E1895" s="10" t="s">
        <v>4529</v>
      </c>
      <c r="F1895" s="10" t="s">
        <v>794</v>
      </c>
      <c r="G1895" s="10" t="s">
        <v>1885</v>
      </c>
      <c r="H1895" s="10" t="s">
        <v>978</v>
      </c>
      <c r="I1895" s="10" t="s">
        <v>793</v>
      </c>
      <c r="J1895" s="10" t="s">
        <v>920</v>
      </c>
    </row>
    <row r="1896" spans="1:10" ht="15" hidden="1" customHeight="1">
      <c r="A1896" s="9">
        <v>1892</v>
      </c>
      <c r="B1896" s="10" t="s">
        <v>4711</v>
      </c>
      <c r="C1896" s="10" t="s">
        <v>4712</v>
      </c>
      <c r="D1896" s="10" t="s">
        <v>1004</v>
      </c>
      <c r="E1896" s="10" t="s">
        <v>4531</v>
      </c>
      <c r="F1896" s="10" t="s">
        <v>794</v>
      </c>
      <c r="G1896" s="10" t="s">
        <v>1890</v>
      </c>
      <c r="H1896" s="10" t="s">
        <v>978</v>
      </c>
      <c r="I1896" s="10" t="s">
        <v>793</v>
      </c>
      <c r="J1896" s="10" t="s">
        <v>119</v>
      </c>
    </row>
    <row r="1897" spans="1:10" ht="15" hidden="1" customHeight="1">
      <c r="A1897" s="9">
        <v>1893</v>
      </c>
      <c r="B1897" s="10" t="s">
        <v>4713</v>
      </c>
      <c r="C1897" s="10" t="s">
        <v>4714</v>
      </c>
      <c r="D1897" s="10" t="s">
        <v>1004</v>
      </c>
      <c r="E1897" s="10" t="s">
        <v>4531</v>
      </c>
      <c r="F1897" s="10" t="s">
        <v>794</v>
      </c>
      <c r="G1897" s="10" t="s">
        <v>1890</v>
      </c>
      <c r="H1897" s="10" t="s">
        <v>978</v>
      </c>
      <c r="I1897" s="10" t="s">
        <v>793</v>
      </c>
      <c r="J1897" s="10" t="s">
        <v>920</v>
      </c>
    </row>
    <row r="1898" spans="1:10" ht="15" hidden="1" customHeight="1">
      <c r="A1898" s="9">
        <v>1894</v>
      </c>
      <c r="B1898" s="10" t="s">
        <v>4715</v>
      </c>
      <c r="C1898" s="10" t="s">
        <v>4716</v>
      </c>
      <c r="D1898" s="10" t="s">
        <v>1004</v>
      </c>
      <c r="E1898" s="10" t="s">
        <v>4531</v>
      </c>
      <c r="F1898" s="10" t="s">
        <v>794</v>
      </c>
      <c r="G1898" s="10" t="s">
        <v>1890</v>
      </c>
      <c r="H1898" s="10" t="s">
        <v>978</v>
      </c>
      <c r="I1898" s="10" t="s">
        <v>793</v>
      </c>
      <c r="J1898" s="10" t="s">
        <v>881</v>
      </c>
    </row>
    <row r="1899" spans="1:10" ht="15" hidden="1" customHeight="1">
      <c r="A1899" s="9">
        <v>1895</v>
      </c>
      <c r="B1899" s="10" t="s">
        <v>4717</v>
      </c>
      <c r="C1899" s="10" t="s">
        <v>4718</v>
      </c>
      <c r="D1899" s="10" t="s">
        <v>1004</v>
      </c>
      <c r="E1899" s="10" t="s">
        <v>4531</v>
      </c>
      <c r="F1899" s="10" t="s">
        <v>794</v>
      </c>
      <c r="G1899" s="10" t="s">
        <v>1890</v>
      </c>
      <c r="H1899" s="10" t="s">
        <v>978</v>
      </c>
      <c r="I1899" s="10" t="s">
        <v>793</v>
      </c>
      <c r="J1899" s="10" t="s">
        <v>119</v>
      </c>
    </row>
    <row r="1900" spans="1:10" ht="15" hidden="1" customHeight="1">
      <c r="A1900" s="9">
        <v>1896</v>
      </c>
      <c r="B1900" s="10" t="s">
        <v>4719</v>
      </c>
      <c r="C1900" s="10" t="s">
        <v>4720</v>
      </c>
      <c r="D1900" s="10" t="s">
        <v>1004</v>
      </c>
      <c r="E1900" s="10" t="s">
        <v>4531</v>
      </c>
      <c r="F1900" s="10" t="s">
        <v>794</v>
      </c>
      <c r="G1900" s="10" t="s">
        <v>1890</v>
      </c>
      <c r="H1900" s="10" t="s">
        <v>978</v>
      </c>
      <c r="I1900" s="10" t="s">
        <v>793</v>
      </c>
      <c r="J1900" s="10" t="s">
        <v>2070</v>
      </c>
    </row>
    <row r="1901" spans="1:10" ht="15" hidden="1" customHeight="1">
      <c r="A1901" s="9">
        <v>1897</v>
      </c>
      <c r="B1901" s="10" t="s">
        <v>4721</v>
      </c>
      <c r="C1901" s="10" t="s">
        <v>4722</v>
      </c>
      <c r="D1901" s="10" t="s">
        <v>1004</v>
      </c>
      <c r="E1901" s="10" t="s">
        <v>4531</v>
      </c>
      <c r="F1901" s="10" t="s">
        <v>794</v>
      </c>
      <c r="G1901" s="10" t="s">
        <v>1890</v>
      </c>
      <c r="H1901" s="10" t="s">
        <v>978</v>
      </c>
      <c r="I1901" s="10" t="s">
        <v>793</v>
      </c>
      <c r="J1901" s="10" t="s">
        <v>119</v>
      </c>
    </row>
    <row r="1902" spans="1:10" ht="15" hidden="1" customHeight="1">
      <c r="A1902" s="9">
        <v>1898</v>
      </c>
      <c r="B1902" s="10" t="s">
        <v>4723</v>
      </c>
      <c r="C1902" s="10" t="s">
        <v>4724</v>
      </c>
      <c r="D1902" s="10" t="s">
        <v>1004</v>
      </c>
      <c r="E1902" s="10" t="s">
        <v>4531</v>
      </c>
      <c r="F1902" s="10" t="s">
        <v>794</v>
      </c>
      <c r="G1902" s="10" t="s">
        <v>1890</v>
      </c>
      <c r="H1902" s="10" t="s">
        <v>978</v>
      </c>
      <c r="I1902" s="10" t="s">
        <v>793</v>
      </c>
      <c r="J1902" s="10" t="s">
        <v>920</v>
      </c>
    </row>
    <row r="1903" spans="1:10" ht="15" hidden="1" customHeight="1">
      <c r="A1903" s="9">
        <v>1899</v>
      </c>
      <c r="B1903" s="10" t="s">
        <v>4725</v>
      </c>
      <c r="C1903" s="10" t="s">
        <v>4726</v>
      </c>
      <c r="D1903" s="10" t="s">
        <v>1004</v>
      </c>
      <c r="E1903" s="10" t="s">
        <v>4535</v>
      </c>
      <c r="F1903" s="10" t="s">
        <v>794</v>
      </c>
      <c r="G1903" s="10" t="s">
        <v>977</v>
      </c>
      <c r="H1903" s="10" t="s">
        <v>978</v>
      </c>
      <c r="I1903" s="10" t="s">
        <v>793</v>
      </c>
      <c r="J1903" s="10" t="s">
        <v>920</v>
      </c>
    </row>
    <row r="1904" spans="1:10" ht="15" hidden="1" customHeight="1">
      <c r="A1904" s="9">
        <v>1900</v>
      </c>
      <c r="B1904" s="10" t="s">
        <v>4727</v>
      </c>
      <c r="C1904" s="10" t="s">
        <v>4728</v>
      </c>
      <c r="D1904" s="10" t="s">
        <v>1004</v>
      </c>
      <c r="E1904" s="10" t="s">
        <v>4535</v>
      </c>
      <c r="F1904" s="10" t="s">
        <v>794</v>
      </c>
      <c r="G1904" s="10" t="s">
        <v>977</v>
      </c>
      <c r="H1904" s="10" t="s">
        <v>978</v>
      </c>
      <c r="I1904" s="10" t="s">
        <v>793</v>
      </c>
      <c r="J1904" s="10" t="s">
        <v>119</v>
      </c>
    </row>
    <row r="1905" spans="1:10" ht="15" hidden="1" customHeight="1">
      <c r="A1905" s="9">
        <v>1901</v>
      </c>
      <c r="B1905" s="10" t="s">
        <v>4729</v>
      </c>
      <c r="C1905" s="10" t="s">
        <v>4730</v>
      </c>
      <c r="D1905" s="10" t="s">
        <v>1004</v>
      </c>
      <c r="E1905" s="10" t="s">
        <v>4535</v>
      </c>
      <c r="F1905" s="10" t="s">
        <v>794</v>
      </c>
      <c r="G1905" s="10" t="s">
        <v>977</v>
      </c>
      <c r="H1905" s="10" t="s">
        <v>978</v>
      </c>
      <c r="I1905" s="10" t="s">
        <v>793</v>
      </c>
      <c r="J1905" s="10" t="s">
        <v>920</v>
      </c>
    </row>
    <row r="1906" spans="1:10" ht="15" hidden="1" customHeight="1">
      <c r="A1906" s="9">
        <v>1902</v>
      </c>
      <c r="B1906" s="10" t="s">
        <v>4731</v>
      </c>
      <c r="C1906" s="10" t="s">
        <v>4732</v>
      </c>
      <c r="D1906" s="10" t="s">
        <v>1004</v>
      </c>
      <c r="E1906" s="10" t="s">
        <v>4535</v>
      </c>
      <c r="F1906" s="10" t="s">
        <v>794</v>
      </c>
      <c r="G1906" s="10" t="s">
        <v>977</v>
      </c>
      <c r="H1906" s="10" t="s">
        <v>978</v>
      </c>
      <c r="I1906" s="10" t="s">
        <v>793</v>
      </c>
      <c r="J1906" s="10" t="s">
        <v>920</v>
      </c>
    </row>
    <row r="1907" spans="1:10" ht="15" hidden="1" customHeight="1">
      <c r="A1907" s="9">
        <v>1903</v>
      </c>
      <c r="B1907" s="10" t="s">
        <v>4733</v>
      </c>
      <c r="C1907" s="10" t="s">
        <v>4734</v>
      </c>
      <c r="D1907" s="10" t="s">
        <v>1004</v>
      </c>
      <c r="E1907" s="10" t="s">
        <v>4535</v>
      </c>
      <c r="F1907" s="10" t="s">
        <v>794</v>
      </c>
      <c r="G1907" s="10" t="s">
        <v>977</v>
      </c>
      <c r="H1907" s="10" t="s">
        <v>978</v>
      </c>
      <c r="I1907" s="10" t="s">
        <v>793</v>
      </c>
      <c r="J1907" s="10" t="s">
        <v>881</v>
      </c>
    </row>
    <row r="1908" spans="1:10" ht="15" hidden="1" customHeight="1">
      <c r="A1908" s="9">
        <v>1904</v>
      </c>
      <c r="B1908" s="10" t="s">
        <v>4735</v>
      </c>
      <c r="C1908" s="10" t="s">
        <v>4736</v>
      </c>
      <c r="D1908" s="10" t="s">
        <v>1004</v>
      </c>
      <c r="E1908" s="10" t="s">
        <v>4535</v>
      </c>
      <c r="F1908" s="10" t="s">
        <v>794</v>
      </c>
      <c r="G1908" s="10" t="s">
        <v>977</v>
      </c>
      <c r="H1908" s="10" t="s">
        <v>978</v>
      </c>
      <c r="I1908" s="10" t="s">
        <v>793</v>
      </c>
      <c r="J1908" s="10" t="s">
        <v>920</v>
      </c>
    </row>
    <row r="1909" spans="1:10" ht="15" hidden="1" customHeight="1">
      <c r="A1909" s="9">
        <v>1905</v>
      </c>
      <c r="B1909" s="10" t="s">
        <v>4737</v>
      </c>
      <c r="C1909" s="10" t="s">
        <v>4738</v>
      </c>
      <c r="D1909" s="10" t="s">
        <v>1004</v>
      </c>
      <c r="E1909" s="10" t="s">
        <v>4535</v>
      </c>
      <c r="F1909" s="10" t="s">
        <v>794</v>
      </c>
      <c r="G1909" s="10" t="s">
        <v>977</v>
      </c>
      <c r="H1909" s="10" t="s">
        <v>978</v>
      </c>
      <c r="I1909" s="10" t="s">
        <v>793</v>
      </c>
      <c r="J1909" s="10" t="s">
        <v>920</v>
      </c>
    </row>
    <row r="1910" spans="1:10" ht="15" hidden="1" customHeight="1">
      <c r="A1910" s="9">
        <v>1906</v>
      </c>
      <c r="B1910" s="10" t="s">
        <v>4739</v>
      </c>
      <c r="C1910" s="10" t="s">
        <v>4740</v>
      </c>
      <c r="D1910" s="10" t="s">
        <v>1004</v>
      </c>
      <c r="E1910" s="10" t="s">
        <v>4535</v>
      </c>
      <c r="F1910" s="10" t="s">
        <v>794</v>
      </c>
      <c r="G1910" s="10" t="s">
        <v>977</v>
      </c>
      <c r="H1910" s="10" t="s">
        <v>978</v>
      </c>
      <c r="I1910" s="10" t="s">
        <v>793</v>
      </c>
      <c r="J1910" s="10" t="s">
        <v>881</v>
      </c>
    </row>
    <row r="1911" spans="1:10" ht="15" hidden="1" customHeight="1">
      <c r="A1911" s="9">
        <v>1907</v>
      </c>
      <c r="B1911" s="10" t="s">
        <v>4741</v>
      </c>
      <c r="C1911" s="10" t="s">
        <v>4742</v>
      </c>
      <c r="D1911" s="10" t="s">
        <v>1004</v>
      </c>
      <c r="E1911" s="10" t="s">
        <v>4535</v>
      </c>
      <c r="F1911" s="10" t="s">
        <v>794</v>
      </c>
      <c r="G1911" s="10" t="s">
        <v>977</v>
      </c>
      <c r="H1911" s="10" t="s">
        <v>978</v>
      </c>
      <c r="I1911" s="10" t="s">
        <v>793</v>
      </c>
      <c r="J1911" s="10" t="s">
        <v>920</v>
      </c>
    </row>
    <row r="1912" spans="1:10" ht="15" hidden="1" customHeight="1">
      <c r="A1912" s="9">
        <v>1908</v>
      </c>
      <c r="B1912" s="10" t="s">
        <v>4743</v>
      </c>
      <c r="C1912" s="10" t="s">
        <v>4744</v>
      </c>
      <c r="D1912" s="10" t="s">
        <v>1004</v>
      </c>
      <c r="E1912" s="10" t="s">
        <v>4535</v>
      </c>
      <c r="F1912" s="10" t="s">
        <v>794</v>
      </c>
      <c r="G1912" s="10" t="s">
        <v>977</v>
      </c>
      <c r="H1912" s="10" t="s">
        <v>978</v>
      </c>
      <c r="I1912" s="10" t="s">
        <v>793</v>
      </c>
      <c r="J1912" s="10" t="s">
        <v>920</v>
      </c>
    </row>
    <row r="1913" spans="1:10" ht="15" hidden="1" customHeight="1">
      <c r="A1913" s="9">
        <v>1909</v>
      </c>
      <c r="B1913" s="10" t="s">
        <v>4745</v>
      </c>
      <c r="C1913" s="10" t="s">
        <v>4746</v>
      </c>
      <c r="D1913" s="10" t="s">
        <v>1004</v>
      </c>
      <c r="E1913" s="10" t="s">
        <v>4535</v>
      </c>
      <c r="F1913" s="10" t="s">
        <v>794</v>
      </c>
      <c r="G1913" s="10" t="s">
        <v>977</v>
      </c>
      <c r="H1913" s="10" t="s">
        <v>978</v>
      </c>
      <c r="I1913" s="10" t="s">
        <v>793</v>
      </c>
      <c r="J1913" s="10" t="s">
        <v>881</v>
      </c>
    </row>
    <row r="1914" spans="1:10" ht="15" hidden="1" customHeight="1">
      <c r="A1914" s="9">
        <v>1910</v>
      </c>
      <c r="B1914" s="10" t="s">
        <v>4747</v>
      </c>
      <c r="C1914" s="10" t="s">
        <v>4748</v>
      </c>
      <c r="D1914" s="10" t="s">
        <v>1004</v>
      </c>
      <c r="E1914" s="10" t="s">
        <v>4535</v>
      </c>
      <c r="F1914" s="10" t="s">
        <v>794</v>
      </c>
      <c r="G1914" s="10" t="s">
        <v>977</v>
      </c>
      <c r="H1914" s="10" t="s">
        <v>978</v>
      </c>
      <c r="I1914" s="10" t="s">
        <v>793</v>
      </c>
      <c r="J1914" s="10" t="s">
        <v>920</v>
      </c>
    </row>
    <row r="1915" spans="1:10" ht="15" hidden="1" customHeight="1">
      <c r="A1915" s="9">
        <v>1911</v>
      </c>
      <c r="B1915" s="10" t="s">
        <v>4749</v>
      </c>
      <c r="C1915" s="10" t="s">
        <v>4750</v>
      </c>
      <c r="D1915" s="10" t="s">
        <v>1004</v>
      </c>
      <c r="E1915" s="10" t="s">
        <v>4535</v>
      </c>
      <c r="F1915" s="10" t="s">
        <v>794</v>
      </c>
      <c r="G1915" s="10" t="s">
        <v>977</v>
      </c>
      <c r="H1915" s="10" t="s">
        <v>978</v>
      </c>
      <c r="I1915" s="10" t="s">
        <v>793</v>
      </c>
      <c r="J1915" s="10" t="s">
        <v>920</v>
      </c>
    </row>
    <row r="1916" spans="1:10" ht="15" hidden="1" customHeight="1">
      <c r="A1916" s="9">
        <v>1912</v>
      </c>
      <c r="B1916" s="10" t="s">
        <v>4751</v>
      </c>
      <c r="C1916" s="10" t="s">
        <v>4752</v>
      </c>
      <c r="D1916" s="10" t="s">
        <v>1004</v>
      </c>
      <c r="E1916" s="10" t="s">
        <v>4535</v>
      </c>
      <c r="F1916" s="10" t="s">
        <v>794</v>
      </c>
      <c r="G1916" s="10" t="s">
        <v>977</v>
      </c>
      <c r="H1916" s="10" t="s">
        <v>978</v>
      </c>
      <c r="I1916" s="10" t="s">
        <v>793</v>
      </c>
      <c r="J1916" s="10" t="s">
        <v>881</v>
      </c>
    </row>
    <row r="1917" spans="1:10" ht="15" hidden="1" customHeight="1">
      <c r="A1917" s="9">
        <v>1913</v>
      </c>
      <c r="B1917" s="10" t="s">
        <v>4753</v>
      </c>
      <c r="C1917" s="10" t="s">
        <v>4754</v>
      </c>
      <c r="D1917" s="10" t="s">
        <v>1004</v>
      </c>
      <c r="E1917" s="10" t="s">
        <v>4535</v>
      </c>
      <c r="F1917" s="10" t="s">
        <v>794</v>
      </c>
      <c r="G1917" s="10" t="s">
        <v>977</v>
      </c>
      <c r="H1917" s="10" t="s">
        <v>978</v>
      </c>
      <c r="I1917" s="10" t="s">
        <v>793</v>
      </c>
      <c r="J1917" s="10" t="s">
        <v>920</v>
      </c>
    </row>
    <row r="1918" spans="1:10" ht="15" hidden="1" customHeight="1">
      <c r="A1918" s="9">
        <v>1914</v>
      </c>
      <c r="B1918" s="10" t="s">
        <v>4755</v>
      </c>
      <c r="C1918" s="10" t="s">
        <v>4756</v>
      </c>
      <c r="D1918" s="10" t="s">
        <v>1004</v>
      </c>
      <c r="E1918" s="10" t="s">
        <v>4535</v>
      </c>
      <c r="F1918" s="10" t="s">
        <v>794</v>
      </c>
      <c r="G1918" s="10" t="s">
        <v>977</v>
      </c>
      <c r="H1918" s="10" t="s">
        <v>978</v>
      </c>
      <c r="I1918" s="10" t="s">
        <v>793</v>
      </c>
      <c r="J1918" s="10" t="s">
        <v>920</v>
      </c>
    </row>
    <row r="1919" spans="1:10" ht="15" hidden="1" customHeight="1">
      <c r="A1919" s="9">
        <v>1915</v>
      </c>
      <c r="B1919" s="10" t="s">
        <v>4757</v>
      </c>
      <c r="C1919" s="10" t="s">
        <v>4758</v>
      </c>
      <c r="D1919" s="10" t="s">
        <v>1004</v>
      </c>
      <c r="E1919" s="10" t="s">
        <v>4535</v>
      </c>
      <c r="F1919" s="10" t="s">
        <v>794</v>
      </c>
      <c r="G1919" s="10" t="s">
        <v>977</v>
      </c>
      <c r="H1919" s="10" t="s">
        <v>978</v>
      </c>
      <c r="I1919" s="10" t="s">
        <v>793</v>
      </c>
      <c r="J1919" s="10" t="s">
        <v>881</v>
      </c>
    </row>
    <row r="1920" spans="1:10" ht="15" hidden="1" customHeight="1">
      <c r="A1920" s="9">
        <v>1916</v>
      </c>
      <c r="B1920" s="10" t="s">
        <v>4759</v>
      </c>
      <c r="C1920" s="10" t="s">
        <v>4760</v>
      </c>
      <c r="D1920" s="10" t="s">
        <v>1004</v>
      </c>
      <c r="E1920" s="10" t="s">
        <v>4535</v>
      </c>
      <c r="F1920" s="10" t="s">
        <v>794</v>
      </c>
      <c r="G1920" s="10" t="s">
        <v>977</v>
      </c>
      <c r="H1920" s="10" t="s">
        <v>978</v>
      </c>
      <c r="I1920" s="10" t="s">
        <v>793</v>
      </c>
      <c r="J1920" s="10" t="s">
        <v>920</v>
      </c>
    </row>
    <row r="1921" spans="1:10" ht="15" hidden="1" customHeight="1">
      <c r="A1921" s="9">
        <v>1917</v>
      </c>
      <c r="B1921" s="10" t="s">
        <v>4761</v>
      </c>
      <c r="C1921" s="10" t="s">
        <v>4762</v>
      </c>
      <c r="D1921" s="10" t="s">
        <v>1004</v>
      </c>
      <c r="E1921" s="10" t="s">
        <v>4535</v>
      </c>
      <c r="F1921" s="10" t="s">
        <v>794</v>
      </c>
      <c r="G1921" s="10" t="s">
        <v>977</v>
      </c>
      <c r="H1921" s="10" t="s">
        <v>978</v>
      </c>
      <c r="I1921" s="10" t="s">
        <v>793</v>
      </c>
      <c r="J1921" s="10" t="s">
        <v>920</v>
      </c>
    </row>
    <row r="1922" spans="1:10" ht="15" hidden="1" customHeight="1">
      <c r="A1922" s="9">
        <v>1918</v>
      </c>
      <c r="B1922" s="10" t="s">
        <v>4763</v>
      </c>
      <c r="C1922" s="10" t="s">
        <v>4764</v>
      </c>
      <c r="D1922" s="10" t="s">
        <v>1004</v>
      </c>
      <c r="E1922" s="10" t="s">
        <v>4535</v>
      </c>
      <c r="F1922" s="10" t="s">
        <v>794</v>
      </c>
      <c r="G1922" s="10" t="s">
        <v>977</v>
      </c>
      <c r="H1922" s="10" t="s">
        <v>978</v>
      </c>
      <c r="I1922" s="10" t="s">
        <v>793</v>
      </c>
      <c r="J1922" s="10" t="s">
        <v>119</v>
      </c>
    </row>
    <row r="1923" spans="1:10" ht="15" hidden="1" customHeight="1">
      <c r="A1923" s="9">
        <v>1919</v>
      </c>
      <c r="B1923" s="10" t="s">
        <v>4765</v>
      </c>
      <c r="C1923" s="10" t="s">
        <v>4766</v>
      </c>
      <c r="D1923" s="10" t="s">
        <v>1004</v>
      </c>
      <c r="E1923" s="10" t="s">
        <v>4535</v>
      </c>
      <c r="F1923" s="10" t="s">
        <v>794</v>
      </c>
      <c r="G1923" s="10" t="s">
        <v>977</v>
      </c>
      <c r="H1923" s="10" t="s">
        <v>978</v>
      </c>
      <c r="I1923" s="10" t="s">
        <v>793</v>
      </c>
      <c r="J1923" s="10" t="s">
        <v>920</v>
      </c>
    </row>
    <row r="1924" spans="1:10" ht="15" hidden="1" customHeight="1">
      <c r="A1924" s="9">
        <v>1920</v>
      </c>
      <c r="B1924" s="10" t="s">
        <v>4767</v>
      </c>
      <c r="C1924" s="10" t="s">
        <v>4768</v>
      </c>
      <c r="D1924" s="10" t="s">
        <v>1004</v>
      </c>
      <c r="E1924" s="10" t="s">
        <v>4535</v>
      </c>
      <c r="F1924" s="10" t="s">
        <v>794</v>
      </c>
      <c r="G1924" s="10" t="s">
        <v>977</v>
      </c>
      <c r="H1924" s="10" t="s">
        <v>978</v>
      </c>
      <c r="I1924" s="10" t="s">
        <v>793</v>
      </c>
      <c r="J1924" s="10" t="s">
        <v>920</v>
      </c>
    </row>
    <row r="1925" spans="1:10" ht="15" hidden="1" customHeight="1">
      <c r="A1925" s="9">
        <v>1921</v>
      </c>
      <c r="B1925" s="10" t="s">
        <v>4769</v>
      </c>
      <c r="C1925" s="10" t="s">
        <v>4770</v>
      </c>
      <c r="D1925" s="10" t="s">
        <v>1004</v>
      </c>
      <c r="E1925" s="10" t="s">
        <v>4535</v>
      </c>
      <c r="F1925" s="10" t="s">
        <v>794</v>
      </c>
      <c r="G1925" s="10" t="s">
        <v>977</v>
      </c>
      <c r="H1925" s="10" t="s">
        <v>978</v>
      </c>
      <c r="I1925" s="10" t="s">
        <v>793</v>
      </c>
      <c r="J1925" s="10" t="s">
        <v>881</v>
      </c>
    </row>
    <row r="1926" spans="1:10" ht="15" hidden="1" customHeight="1">
      <c r="A1926" s="9">
        <v>1922</v>
      </c>
      <c r="B1926" s="10" t="s">
        <v>4771</v>
      </c>
      <c r="C1926" s="10" t="s">
        <v>4772</v>
      </c>
      <c r="D1926" s="10" t="s">
        <v>1004</v>
      </c>
      <c r="E1926" s="10" t="s">
        <v>4535</v>
      </c>
      <c r="F1926" s="10" t="s">
        <v>794</v>
      </c>
      <c r="G1926" s="10" t="s">
        <v>977</v>
      </c>
      <c r="H1926" s="10" t="s">
        <v>978</v>
      </c>
      <c r="I1926" s="10" t="s">
        <v>793</v>
      </c>
      <c r="J1926" s="10" t="s">
        <v>920</v>
      </c>
    </row>
    <row r="1927" spans="1:10" ht="15" hidden="1" customHeight="1">
      <c r="A1927" s="9">
        <v>1923</v>
      </c>
      <c r="B1927" s="10" t="s">
        <v>4773</v>
      </c>
      <c r="C1927" s="10" t="s">
        <v>4774</v>
      </c>
      <c r="D1927" s="10" t="s">
        <v>1004</v>
      </c>
      <c r="E1927" s="10" t="s">
        <v>4535</v>
      </c>
      <c r="F1927" s="10" t="s">
        <v>794</v>
      </c>
      <c r="G1927" s="10" t="s">
        <v>977</v>
      </c>
      <c r="H1927" s="10" t="s">
        <v>978</v>
      </c>
      <c r="I1927" s="10" t="s">
        <v>793</v>
      </c>
      <c r="J1927" s="10" t="s">
        <v>920</v>
      </c>
    </row>
    <row r="1928" spans="1:10" ht="15" hidden="1" customHeight="1">
      <c r="A1928" s="9">
        <v>1924</v>
      </c>
      <c r="B1928" s="10" t="s">
        <v>4775</v>
      </c>
      <c r="C1928" s="10" t="s">
        <v>4776</v>
      </c>
      <c r="D1928" s="10" t="s">
        <v>1004</v>
      </c>
      <c r="E1928" s="10" t="s">
        <v>4535</v>
      </c>
      <c r="F1928" s="10" t="s">
        <v>794</v>
      </c>
      <c r="G1928" s="10" t="s">
        <v>977</v>
      </c>
      <c r="H1928" s="10" t="s">
        <v>978</v>
      </c>
      <c r="I1928" s="10" t="s">
        <v>793</v>
      </c>
      <c r="J1928" s="10" t="s">
        <v>881</v>
      </c>
    </row>
    <row r="1929" spans="1:10" ht="15" hidden="1" customHeight="1">
      <c r="A1929" s="9">
        <v>1925</v>
      </c>
      <c r="B1929" s="10" t="s">
        <v>4777</v>
      </c>
      <c r="C1929" s="10" t="s">
        <v>4778</v>
      </c>
      <c r="D1929" s="10" t="s">
        <v>1004</v>
      </c>
      <c r="E1929" s="10" t="s">
        <v>4535</v>
      </c>
      <c r="F1929" s="10" t="s">
        <v>794</v>
      </c>
      <c r="G1929" s="10" t="s">
        <v>977</v>
      </c>
      <c r="H1929" s="10" t="s">
        <v>978</v>
      </c>
      <c r="I1929" s="10" t="s">
        <v>793</v>
      </c>
      <c r="J1929" s="10" t="s">
        <v>920</v>
      </c>
    </row>
    <row r="1930" spans="1:10" ht="15" hidden="1" customHeight="1">
      <c r="A1930" s="9">
        <v>1926</v>
      </c>
      <c r="B1930" s="10" t="s">
        <v>4779</v>
      </c>
      <c r="C1930" s="10" t="s">
        <v>4780</v>
      </c>
      <c r="D1930" s="10" t="s">
        <v>1004</v>
      </c>
      <c r="E1930" s="10" t="s">
        <v>4535</v>
      </c>
      <c r="F1930" s="10" t="s">
        <v>794</v>
      </c>
      <c r="G1930" s="10" t="s">
        <v>977</v>
      </c>
      <c r="H1930" s="10" t="s">
        <v>978</v>
      </c>
      <c r="I1930" s="10" t="s">
        <v>793</v>
      </c>
      <c r="J1930" s="10" t="s">
        <v>920</v>
      </c>
    </row>
    <row r="1931" spans="1:10" ht="15" hidden="1" customHeight="1">
      <c r="A1931" s="9">
        <v>1927</v>
      </c>
      <c r="B1931" s="10" t="s">
        <v>4781</v>
      </c>
      <c r="C1931" s="10" t="s">
        <v>4782</v>
      </c>
      <c r="D1931" s="10" t="s">
        <v>1004</v>
      </c>
      <c r="E1931" s="10" t="s">
        <v>4535</v>
      </c>
      <c r="F1931" s="10" t="s">
        <v>794</v>
      </c>
      <c r="G1931" s="10" t="s">
        <v>977</v>
      </c>
      <c r="H1931" s="10" t="s">
        <v>978</v>
      </c>
      <c r="I1931" s="10" t="s">
        <v>793</v>
      </c>
      <c r="J1931" s="10" t="s">
        <v>881</v>
      </c>
    </row>
    <row r="1932" spans="1:10" ht="15" hidden="1" customHeight="1">
      <c r="A1932" s="9">
        <v>1928</v>
      </c>
      <c r="B1932" s="10" t="s">
        <v>4783</v>
      </c>
      <c r="C1932" s="10" t="s">
        <v>4784</v>
      </c>
      <c r="D1932" s="10" t="s">
        <v>1004</v>
      </c>
      <c r="E1932" s="10" t="s">
        <v>4535</v>
      </c>
      <c r="F1932" s="10" t="s">
        <v>794</v>
      </c>
      <c r="G1932" s="10" t="s">
        <v>977</v>
      </c>
      <c r="H1932" s="10" t="s">
        <v>978</v>
      </c>
      <c r="I1932" s="10" t="s">
        <v>793</v>
      </c>
      <c r="J1932" s="10" t="s">
        <v>2070</v>
      </c>
    </row>
    <row r="1933" spans="1:10" ht="15" hidden="1" customHeight="1">
      <c r="A1933" s="9">
        <v>1929</v>
      </c>
      <c r="B1933" s="10" t="s">
        <v>4785</v>
      </c>
      <c r="C1933" s="10" t="s">
        <v>4786</v>
      </c>
      <c r="D1933" s="10" t="s">
        <v>1004</v>
      </c>
      <c r="E1933" s="10" t="s">
        <v>4535</v>
      </c>
      <c r="F1933" s="10" t="s">
        <v>794</v>
      </c>
      <c r="G1933" s="10" t="s">
        <v>977</v>
      </c>
      <c r="H1933" s="10" t="s">
        <v>978</v>
      </c>
      <c r="I1933" s="10" t="s">
        <v>793</v>
      </c>
      <c r="J1933" s="10" t="s">
        <v>920</v>
      </c>
    </row>
    <row r="1934" spans="1:10" ht="15" hidden="1" customHeight="1">
      <c r="A1934" s="9">
        <v>1930</v>
      </c>
      <c r="B1934" s="10" t="s">
        <v>4787</v>
      </c>
      <c r="C1934" s="10" t="s">
        <v>4788</v>
      </c>
      <c r="D1934" s="10" t="s">
        <v>1004</v>
      </c>
      <c r="E1934" s="10" t="s">
        <v>4535</v>
      </c>
      <c r="F1934" s="10" t="s">
        <v>794</v>
      </c>
      <c r="G1934" s="10" t="s">
        <v>977</v>
      </c>
      <c r="H1934" s="10" t="s">
        <v>978</v>
      </c>
      <c r="I1934" s="10" t="s">
        <v>793</v>
      </c>
      <c r="J1934" s="10" t="s">
        <v>920</v>
      </c>
    </row>
    <row r="1935" spans="1:10" ht="15" hidden="1" customHeight="1">
      <c r="A1935" s="9">
        <v>1931</v>
      </c>
      <c r="B1935" s="10" t="s">
        <v>4789</v>
      </c>
      <c r="C1935" s="10" t="s">
        <v>4790</v>
      </c>
      <c r="D1935" s="10" t="s">
        <v>1004</v>
      </c>
      <c r="E1935" s="10" t="s">
        <v>4535</v>
      </c>
      <c r="F1935" s="10" t="s">
        <v>794</v>
      </c>
      <c r="G1935" s="10" t="s">
        <v>977</v>
      </c>
      <c r="H1935" s="10" t="s">
        <v>978</v>
      </c>
      <c r="I1935" s="10" t="s">
        <v>793</v>
      </c>
      <c r="J1935" s="10" t="s">
        <v>881</v>
      </c>
    </row>
    <row r="1936" spans="1:10" ht="15" hidden="1" customHeight="1">
      <c r="A1936" s="9">
        <v>1932</v>
      </c>
      <c r="B1936" s="10" t="s">
        <v>4791</v>
      </c>
      <c r="C1936" s="10" t="s">
        <v>4792</v>
      </c>
      <c r="D1936" s="10" t="s">
        <v>1004</v>
      </c>
      <c r="E1936" s="10" t="s">
        <v>4535</v>
      </c>
      <c r="F1936" s="10" t="s">
        <v>794</v>
      </c>
      <c r="G1936" s="10" t="s">
        <v>977</v>
      </c>
      <c r="H1936" s="10" t="s">
        <v>978</v>
      </c>
      <c r="I1936" s="10" t="s">
        <v>793</v>
      </c>
      <c r="J1936" s="10" t="s">
        <v>920</v>
      </c>
    </row>
    <row r="1937" spans="1:10" ht="15" hidden="1" customHeight="1">
      <c r="A1937" s="9">
        <v>1933</v>
      </c>
      <c r="B1937" s="10" t="s">
        <v>4793</v>
      </c>
      <c r="C1937" s="10" t="s">
        <v>4794</v>
      </c>
      <c r="D1937" s="10" t="s">
        <v>1004</v>
      </c>
      <c r="E1937" s="10" t="s">
        <v>4535</v>
      </c>
      <c r="F1937" s="10" t="s">
        <v>794</v>
      </c>
      <c r="G1937" s="10" t="s">
        <v>977</v>
      </c>
      <c r="H1937" s="10" t="s">
        <v>978</v>
      </c>
      <c r="I1937" s="10" t="s">
        <v>793</v>
      </c>
      <c r="J1937" s="10" t="s">
        <v>881</v>
      </c>
    </row>
    <row r="1938" spans="1:10" ht="15" hidden="1" customHeight="1">
      <c r="A1938" s="9">
        <v>1934</v>
      </c>
      <c r="B1938" s="10" t="s">
        <v>4795</v>
      </c>
      <c r="C1938" s="10" t="s">
        <v>4796</v>
      </c>
      <c r="D1938" s="10" t="s">
        <v>1004</v>
      </c>
      <c r="E1938" s="10" t="s">
        <v>4535</v>
      </c>
      <c r="F1938" s="10" t="s">
        <v>794</v>
      </c>
      <c r="G1938" s="10" t="s">
        <v>977</v>
      </c>
      <c r="H1938" s="10" t="s">
        <v>978</v>
      </c>
      <c r="I1938" s="10" t="s">
        <v>793</v>
      </c>
      <c r="J1938" s="10" t="s">
        <v>881</v>
      </c>
    </row>
    <row r="1939" spans="1:10" ht="15" hidden="1" customHeight="1">
      <c r="A1939" s="9">
        <v>1935</v>
      </c>
      <c r="B1939" s="10" t="s">
        <v>4797</v>
      </c>
      <c r="C1939" s="10" t="s">
        <v>4798</v>
      </c>
      <c r="D1939" s="10" t="s">
        <v>1004</v>
      </c>
      <c r="E1939" s="10" t="s">
        <v>4533</v>
      </c>
      <c r="F1939" s="10" t="s">
        <v>794</v>
      </c>
      <c r="G1939" s="10" t="s">
        <v>1899</v>
      </c>
      <c r="H1939" s="10" t="s">
        <v>978</v>
      </c>
      <c r="I1939" s="10" t="s">
        <v>793</v>
      </c>
      <c r="J1939" s="10" t="s">
        <v>1004</v>
      </c>
    </row>
    <row r="1940" spans="1:10" ht="15" hidden="1" customHeight="1">
      <c r="A1940" s="9">
        <v>1936</v>
      </c>
      <c r="B1940" s="10" t="s">
        <v>4799</v>
      </c>
      <c r="C1940" s="10" t="s">
        <v>4800</v>
      </c>
      <c r="D1940" s="10" t="s">
        <v>1004</v>
      </c>
      <c r="E1940" s="10" t="s">
        <v>4533</v>
      </c>
      <c r="F1940" s="10" t="s">
        <v>794</v>
      </c>
      <c r="G1940" s="10" t="s">
        <v>1899</v>
      </c>
      <c r="H1940" s="10" t="s">
        <v>978</v>
      </c>
      <c r="I1940" s="10" t="s">
        <v>793</v>
      </c>
      <c r="J1940" s="10" t="s">
        <v>1004</v>
      </c>
    </row>
    <row r="1941" spans="1:10" ht="15" hidden="1" customHeight="1">
      <c r="A1941" s="9">
        <v>1937</v>
      </c>
      <c r="B1941" s="10" t="s">
        <v>4801</v>
      </c>
      <c r="C1941" s="10" t="s">
        <v>4802</v>
      </c>
      <c r="D1941" s="10" t="s">
        <v>1004</v>
      </c>
      <c r="E1941" s="10" t="s">
        <v>4533</v>
      </c>
      <c r="F1941" s="10" t="s">
        <v>794</v>
      </c>
      <c r="G1941" s="10" t="s">
        <v>1899</v>
      </c>
      <c r="H1941" s="10" t="s">
        <v>978</v>
      </c>
      <c r="I1941" s="10" t="s">
        <v>793</v>
      </c>
      <c r="J1941" s="10" t="s">
        <v>1004</v>
      </c>
    </row>
    <row r="1942" spans="1:10" ht="15" hidden="1" customHeight="1">
      <c r="A1942" s="9">
        <v>1938</v>
      </c>
      <c r="B1942" s="10" t="s">
        <v>4803</v>
      </c>
      <c r="C1942" s="10" t="s">
        <v>4804</v>
      </c>
      <c r="D1942" s="10" t="s">
        <v>1004</v>
      </c>
      <c r="E1942" s="10" t="s">
        <v>4533</v>
      </c>
      <c r="F1942" s="10" t="s">
        <v>794</v>
      </c>
      <c r="G1942" s="10" t="s">
        <v>1899</v>
      </c>
      <c r="H1942" s="10" t="s">
        <v>978</v>
      </c>
      <c r="I1942" s="10" t="s">
        <v>793</v>
      </c>
      <c r="J1942" s="10" t="s">
        <v>1004</v>
      </c>
    </row>
    <row r="1943" spans="1:10" ht="15" hidden="1" customHeight="1">
      <c r="A1943" s="9">
        <v>1939</v>
      </c>
      <c r="B1943" s="10" t="s">
        <v>4805</v>
      </c>
      <c r="C1943" s="10" t="s">
        <v>4806</v>
      </c>
      <c r="D1943" s="10" t="s">
        <v>1004</v>
      </c>
      <c r="E1943" s="10" t="s">
        <v>4533</v>
      </c>
      <c r="F1943" s="10" t="s">
        <v>794</v>
      </c>
      <c r="G1943" s="10" t="s">
        <v>1899</v>
      </c>
      <c r="H1943" s="10" t="s">
        <v>978</v>
      </c>
      <c r="I1943" s="10" t="s">
        <v>793</v>
      </c>
      <c r="J1943" s="10" t="s">
        <v>1004</v>
      </c>
    </row>
    <row r="1944" spans="1:10" ht="15" hidden="1" customHeight="1">
      <c r="A1944" s="9">
        <v>1940</v>
      </c>
      <c r="B1944" s="10" t="s">
        <v>4807</v>
      </c>
      <c r="C1944" s="10" t="s">
        <v>4808</v>
      </c>
      <c r="D1944" s="10" t="s">
        <v>1004</v>
      </c>
      <c r="E1944" s="10" t="s">
        <v>4533</v>
      </c>
      <c r="F1944" s="10" t="s">
        <v>794</v>
      </c>
      <c r="G1944" s="10" t="s">
        <v>1899</v>
      </c>
      <c r="H1944" s="10" t="s">
        <v>978</v>
      </c>
      <c r="I1944" s="10" t="s">
        <v>793</v>
      </c>
      <c r="J1944" s="10" t="s">
        <v>1004</v>
      </c>
    </row>
    <row r="1945" spans="1:10" ht="15" hidden="1" customHeight="1">
      <c r="A1945" s="9">
        <v>1941</v>
      </c>
      <c r="B1945" s="10" t="s">
        <v>4809</v>
      </c>
      <c r="C1945" s="10" t="s">
        <v>4810</v>
      </c>
      <c r="D1945" s="10" t="s">
        <v>1004</v>
      </c>
      <c r="E1945" s="10" t="s">
        <v>4533</v>
      </c>
      <c r="F1945" s="10" t="s">
        <v>794</v>
      </c>
      <c r="G1945" s="10" t="s">
        <v>1899</v>
      </c>
      <c r="H1945" s="10" t="s">
        <v>978</v>
      </c>
      <c r="I1945" s="10" t="s">
        <v>793</v>
      </c>
      <c r="J1945" s="10" t="s">
        <v>1004</v>
      </c>
    </row>
    <row r="1946" spans="1:10" ht="15" hidden="1" customHeight="1">
      <c r="A1946" s="9">
        <v>1942</v>
      </c>
      <c r="B1946" s="10" t="s">
        <v>4811</v>
      </c>
      <c r="C1946" s="10" t="s">
        <v>4812</v>
      </c>
      <c r="D1946" s="10" t="s">
        <v>1004</v>
      </c>
      <c r="E1946" s="10" t="s">
        <v>4533</v>
      </c>
      <c r="F1946" s="10" t="s">
        <v>794</v>
      </c>
      <c r="G1946" s="10" t="s">
        <v>1899</v>
      </c>
      <c r="H1946" s="10" t="s">
        <v>978</v>
      </c>
      <c r="I1946" s="10" t="s">
        <v>793</v>
      </c>
      <c r="J1946" s="10" t="s">
        <v>1004</v>
      </c>
    </row>
    <row r="1947" spans="1:10" ht="15" hidden="1" customHeight="1">
      <c r="A1947" s="9">
        <v>1943</v>
      </c>
      <c r="B1947" s="10" t="s">
        <v>4813</v>
      </c>
      <c r="C1947" s="10" t="s">
        <v>4814</v>
      </c>
      <c r="D1947" s="10" t="s">
        <v>1004</v>
      </c>
      <c r="E1947" s="10" t="s">
        <v>4533</v>
      </c>
      <c r="F1947" s="10" t="s">
        <v>794</v>
      </c>
      <c r="G1947" s="10" t="s">
        <v>1899</v>
      </c>
      <c r="H1947" s="10" t="s">
        <v>978</v>
      </c>
      <c r="I1947" s="10" t="s">
        <v>793</v>
      </c>
      <c r="J1947" s="10" t="s">
        <v>1004</v>
      </c>
    </row>
    <row r="1948" spans="1:10" ht="15" hidden="1" customHeight="1">
      <c r="A1948" s="9">
        <v>1944</v>
      </c>
      <c r="B1948" s="10" t="s">
        <v>4815</v>
      </c>
      <c r="C1948" s="10" t="s">
        <v>4816</v>
      </c>
      <c r="D1948" s="10" t="s">
        <v>1004</v>
      </c>
      <c r="E1948" s="10" t="s">
        <v>4533</v>
      </c>
      <c r="F1948" s="10" t="s">
        <v>794</v>
      </c>
      <c r="G1948" s="10" t="s">
        <v>1899</v>
      </c>
      <c r="H1948" s="10" t="s">
        <v>978</v>
      </c>
      <c r="I1948" s="10" t="s">
        <v>793</v>
      </c>
      <c r="J1948" s="10" t="s">
        <v>1004</v>
      </c>
    </row>
    <row r="1949" spans="1:10" ht="15" hidden="1" customHeight="1">
      <c r="A1949" s="9">
        <v>1945</v>
      </c>
      <c r="B1949" s="10" t="s">
        <v>4817</v>
      </c>
      <c r="C1949" s="10" t="s">
        <v>4818</v>
      </c>
      <c r="D1949" s="10" t="s">
        <v>1004</v>
      </c>
      <c r="E1949" s="10" t="s">
        <v>4533</v>
      </c>
      <c r="F1949" s="10" t="s">
        <v>794</v>
      </c>
      <c r="G1949" s="10" t="s">
        <v>1899</v>
      </c>
      <c r="H1949" s="10" t="s">
        <v>978</v>
      </c>
      <c r="I1949" s="10" t="s">
        <v>793</v>
      </c>
      <c r="J1949" s="10" t="s">
        <v>1004</v>
      </c>
    </row>
    <row r="1950" spans="1:10" ht="15" hidden="1" customHeight="1">
      <c r="A1950" s="9">
        <v>1946</v>
      </c>
      <c r="B1950" s="10" t="s">
        <v>4819</v>
      </c>
      <c r="C1950" s="10" t="s">
        <v>4820</v>
      </c>
      <c r="D1950" s="10" t="s">
        <v>1004</v>
      </c>
      <c r="E1950" s="10" t="s">
        <v>4533</v>
      </c>
      <c r="F1950" s="10" t="s">
        <v>794</v>
      </c>
      <c r="G1950" s="10" t="s">
        <v>1899</v>
      </c>
      <c r="H1950" s="10" t="s">
        <v>978</v>
      </c>
      <c r="I1950" s="10" t="s">
        <v>793</v>
      </c>
      <c r="J1950" s="10" t="s">
        <v>1004</v>
      </c>
    </row>
    <row r="1951" spans="1:10" ht="15" hidden="1" customHeight="1">
      <c r="A1951" s="9">
        <v>1947</v>
      </c>
      <c r="B1951" s="10" t="s">
        <v>4821</v>
      </c>
      <c r="C1951" s="10" t="s">
        <v>4822</v>
      </c>
      <c r="D1951" s="10" t="s">
        <v>1004</v>
      </c>
      <c r="E1951" s="10" t="s">
        <v>4533</v>
      </c>
      <c r="F1951" s="10" t="s">
        <v>794</v>
      </c>
      <c r="G1951" s="10" t="s">
        <v>1899</v>
      </c>
      <c r="H1951" s="10" t="s">
        <v>978</v>
      </c>
      <c r="I1951" s="10" t="s">
        <v>793</v>
      </c>
      <c r="J1951" s="10" t="s">
        <v>1004</v>
      </c>
    </row>
    <row r="1952" spans="1:10" ht="15" hidden="1" customHeight="1">
      <c r="A1952" s="9">
        <v>1948</v>
      </c>
      <c r="B1952" s="10" t="s">
        <v>4823</v>
      </c>
      <c r="C1952" s="10" t="s">
        <v>4824</v>
      </c>
      <c r="D1952" s="10" t="s">
        <v>1004</v>
      </c>
      <c r="E1952" s="10" t="s">
        <v>4533</v>
      </c>
      <c r="F1952" s="10" t="s">
        <v>794</v>
      </c>
      <c r="G1952" s="10" t="s">
        <v>1899</v>
      </c>
      <c r="H1952" s="10" t="s">
        <v>978</v>
      </c>
      <c r="I1952" s="10" t="s">
        <v>793</v>
      </c>
      <c r="J1952" s="10" t="s">
        <v>1004</v>
      </c>
    </row>
    <row r="1953" spans="1:10" ht="15" hidden="1" customHeight="1">
      <c r="A1953" s="9">
        <v>1949</v>
      </c>
      <c r="B1953" s="10" t="s">
        <v>4825</v>
      </c>
      <c r="C1953" s="10" t="s">
        <v>4826</v>
      </c>
      <c r="D1953" s="10" t="s">
        <v>1004</v>
      </c>
      <c r="E1953" s="10" t="s">
        <v>4533</v>
      </c>
      <c r="F1953" s="10" t="s">
        <v>794</v>
      </c>
      <c r="G1953" s="10" t="s">
        <v>1899</v>
      </c>
      <c r="H1953" s="10" t="s">
        <v>978</v>
      </c>
      <c r="I1953" s="10" t="s">
        <v>793</v>
      </c>
      <c r="J1953" s="10" t="s">
        <v>1004</v>
      </c>
    </row>
    <row r="1954" spans="1:10" ht="15" hidden="1" customHeight="1">
      <c r="A1954" s="9">
        <v>1950</v>
      </c>
      <c r="B1954" s="10" t="s">
        <v>4827</v>
      </c>
      <c r="C1954" s="10" t="s">
        <v>4828</v>
      </c>
      <c r="D1954" s="10" t="s">
        <v>1004</v>
      </c>
      <c r="E1954" s="10" t="s">
        <v>4533</v>
      </c>
      <c r="F1954" s="10" t="s">
        <v>794</v>
      </c>
      <c r="G1954" s="10" t="s">
        <v>1899</v>
      </c>
      <c r="H1954" s="10" t="s">
        <v>978</v>
      </c>
      <c r="I1954" s="10" t="s">
        <v>793</v>
      </c>
      <c r="J1954" s="10" t="s">
        <v>1004</v>
      </c>
    </row>
    <row r="1955" spans="1:10" ht="15" hidden="1" customHeight="1">
      <c r="A1955" s="9">
        <v>1951</v>
      </c>
      <c r="B1955" s="10" t="s">
        <v>4829</v>
      </c>
      <c r="C1955" s="10" t="s">
        <v>4830</v>
      </c>
      <c r="D1955" s="10" t="s">
        <v>1004</v>
      </c>
      <c r="E1955" s="10" t="s">
        <v>4537</v>
      </c>
      <c r="F1955" s="10" t="s">
        <v>794</v>
      </c>
      <c r="G1955" s="10" t="s">
        <v>1908</v>
      </c>
      <c r="H1955" s="10" t="s">
        <v>978</v>
      </c>
      <c r="I1955" s="10" t="s">
        <v>793</v>
      </c>
      <c r="J1955" s="10" t="s">
        <v>1004</v>
      </c>
    </row>
    <row r="1956" spans="1:10" ht="15" hidden="1" customHeight="1">
      <c r="A1956" s="9">
        <v>1952</v>
      </c>
      <c r="B1956" s="10" t="s">
        <v>4831</v>
      </c>
      <c r="C1956" s="10" t="s">
        <v>4832</v>
      </c>
      <c r="D1956" s="10" t="s">
        <v>1004</v>
      </c>
      <c r="E1956" s="10" t="s">
        <v>4537</v>
      </c>
      <c r="F1956" s="10" t="s">
        <v>794</v>
      </c>
      <c r="G1956" s="10" t="s">
        <v>1908</v>
      </c>
      <c r="H1956" s="10" t="s">
        <v>978</v>
      </c>
      <c r="I1956" s="10" t="s">
        <v>793</v>
      </c>
      <c r="J1956" s="10" t="s">
        <v>119</v>
      </c>
    </row>
    <row r="1957" spans="1:10" ht="15" hidden="1" customHeight="1">
      <c r="A1957" s="9">
        <v>1953</v>
      </c>
      <c r="B1957" s="10" t="s">
        <v>4833</v>
      </c>
      <c r="C1957" s="10" t="s">
        <v>4834</v>
      </c>
      <c r="D1957" s="10" t="s">
        <v>1004</v>
      </c>
      <c r="E1957" s="10" t="s">
        <v>4537</v>
      </c>
      <c r="F1957" s="10" t="s">
        <v>794</v>
      </c>
      <c r="G1957" s="10" t="s">
        <v>1908</v>
      </c>
      <c r="H1957" s="10" t="s">
        <v>978</v>
      </c>
      <c r="I1957" s="10" t="s">
        <v>793</v>
      </c>
      <c r="J1957" s="10" t="s">
        <v>119</v>
      </c>
    </row>
    <row r="1958" spans="1:10" ht="15" hidden="1" customHeight="1">
      <c r="A1958" s="9">
        <v>1954</v>
      </c>
      <c r="B1958" s="10" t="s">
        <v>4835</v>
      </c>
      <c r="C1958" s="10" t="s">
        <v>4836</v>
      </c>
      <c r="D1958" s="10" t="s">
        <v>1004</v>
      </c>
      <c r="E1958" s="10" t="s">
        <v>4537</v>
      </c>
      <c r="F1958" s="10" t="s">
        <v>794</v>
      </c>
      <c r="G1958" s="10" t="s">
        <v>1908</v>
      </c>
      <c r="H1958" s="10" t="s">
        <v>978</v>
      </c>
      <c r="I1958" s="10" t="s">
        <v>793</v>
      </c>
      <c r="J1958" s="10" t="s">
        <v>1004</v>
      </c>
    </row>
    <row r="1959" spans="1:10" ht="15" hidden="1" customHeight="1">
      <c r="A1959" s="9">
        <v>1955</v>
      </c>
      <c r="B1959" s="10" t="s">
        <v>4837</v>
      </c>
      <c r="C1959" s="10" t="s">
        <v>4838</v>
      </c>
      <c r="D1959" s="10" t="s">
        <v>1004</v>
      </c>
      <c r="E1959" s="10" t="s">
        <v>4539</v>
      </c>
      <c r="F1959" s="10" t="s">
        <v>794</v>
      </c>
      <c r="G1959" s="10" t="s">
        <v>1913</v>
      </c>
      <c r="H1959" s="10" t="s">
        <v>978</v>
      </c>
      <c r="I1959" s="10" t="s">
        <v>793</v>
      </c>
      <c r="J1959" s="10" t="s">
        <v>795</v>
      </c>
    </row>
    <row r="1960" spans="1:10" ht="15" hidden="1" customHeight="1">
      <c r="A1960" s="9">
        <v>1956</v>
      </c>
      <c r="B1960" s="10" t="s">
        <v>4839</v>
      </c>
      <c r="C1960" s="10" t="s">
        <v>4840</v>
      </c>
      <c r="D1960" s="10" t="s">
        <v>1004</v>
      </c>
      <c r="E1960" s="10" t="s">
        <v>4539</v>
      </c>
      <c r="F1960" s="10" t="s">
        <v>794</v>
      </c>
      <c r="G1960" s="10" t="s">
        <v>1913</v>
      </c>
      <c r="H1960" s="10" t="s">
        <v>978</v>
      </c>
      <c r="I1960" s="10" t="s">
        <v>793</v>
      </c>
      <c r="J1960" s="10" t="s">
        <v>1004</v>
      </c>
    </row>
    <row r="1961" spans="1:10" ht="15" hidden="1" customHeight="1">
      <c r="A1961" s="9">
        <v>1957</v>
      </c>
      <c r="B1961" s="10" t="s">
        <v>4841</v>
      </c>
      <c r="C1961" s="10" t="s">
        <v>4842</v>
      </c>
      <c r="D1961" s="10" t="s">
        <v>1004</v>
      </c>
      <c r="E1961" s="10" t="s">
        <v>4539</v>
      </c>
      <c r="F1961" s="10" t="s">
        <v>794</v>
      </c>
      <c r="G1961" s="10" t="s">
        <v>1913</v>
      </c>
      <c r="H1961" s="10" t="s">
        <v>978</v>
      </c>
      <c r="I1961" s="10" t="s">
        <v>793</v>
      </c>
      <c r="J1961" s="10" t="s">
        <v>1004</v>
      </c>
    </row>
    <row r="1962" spans="1:10" ht="15" hidden="1" customHeight="1">
      <c r="A1962" s="9">
        <v>1958</v>
      </c>
      <c r="B1962" s="10" t="s">
        <v>4843</v>
      </c>
      <c r="C1962" s="10" t="s">
        <v>4844</v>
      </c>
      <c r="D1962" s="10" t="s">
        <v>1004</v>
      </c>
      <c r="E1962" s="10" t="s">
        <v>4539</v>
      </c>
      <c r="F1962" s="10" t="s">
        <v>794</v>
      </c>
      <c r="G1962" s="10" t="s">
        <v>1913</v>
      </c>
      <c r="H1962" s="10" t="s">
        <v>978</v>
      </c>
      <c r="I1962" s="10" t="s">
        <v>793</v>
      </c>
      <c r="J1962" s="10" t="s">
        <v>1004</v>
      </c>
    </row>
    <row r="1963" spans="1:10" ht="15" hidden="1" customHeight="1">
      <c r="A1963" s="9">
        <v>1959</v>
      </c>
      <c r="B1963" s="10" t="s">
        <v>4845</v>
      </c>
      <c r="C1963" s="10" t="s">
        <v>4846</v>
      </c>
      <c r="D1963" s="10" t="s">
        <v>1004</v>
      </c>
      <c r="E1963" s="10" t="s">
        <v>4539</v>
      </c>
      <c r="F1963" s="10" t="s">
        <v>794</v>
      </c>
      <c r="G1963" s="10" t="s">
        <v>1913</v>
      </c>
      <c r="H1963" s="10" t="s">
        <v>978</v>
      </c>
      <c r="I1963" s="10" t="s">
        <v>793</v>
      </c>
      <c r="J1963" s="10" t="s">
        <v>1004</v>
      </c>
    </row>
    <row r="1964" spans="1:10" ht="15" hidden="1" customHeight="1">
      <c r="A1964" s="9">
        <v>1960</v>
      </c>
      <c r="B1964" s="10" t="s">
        <v>4847</v>
      </c>
      <c r="C1964" s="10" t="s">
        <v>4848</v>
      </c>
      <c r="D1964" s="10" t="s">
        <v>1004</v>
      </c>
      <c r="E1964" s="10" t="s">
        <v>4539</v>
      </c>
      <c r="F1964" s="10" t="s">
        <v>794</v>
      </c>
      <c r="G1964" s="10" t="s">
        <v>1913</v>
      </c>
      <c r="H1964" s="10" t="s">
        <v>978</v>
      </c>
      <c r="I1964" s="10" t="s">
        <v>793</v>
      </c>
      <c r="J1964" s="10" t="s">
        <v>1004</v>
      </c>
    </row>
    <row r="1965" spans="1:10" ht="15" hidden="1" customHeight="1">
      <c r="A1965" s="9">
        <v>1961</v>
      </c>
      <c r="B1965" s="10" t="s">
        <v>4849</v>
      </c>
      <c r="C1965" s="10" t="s">
        <v>4850</v>
      </c>
      <c r="D1965" s="10" t="s">
        <v>1004</v>
      </c>
      <c r="E1965" s="10" t="s">
        <v>4539</v>
      </c>
      <c r="F1965" s="10" t="s">
        <v>794</v>
      </c>
      <c r="G1965" s="10" t="s">
        <v>1913</v>
      </c>
      <c r="H1965" s="10" t="s">
        <v>978</v>
      </c>
      <c r="I1965" s="10" t="s">
        <v>793</v>
      </c>
      <c r="J1965" s="10" t="s">
        <v>1004</v>
      </c>
    </row>
    <row r="1966" spans="1:10" ht="15" hidden="1" customHeight="1">
      <c r="A1966" s="9">
        <v>1962</v>
      </c>
      <c r="B1966" s="10" t="s">
        <v>4851</v>
      </c>
      <c r="C1966" s="10" t="s">
        <v>4852</v>
      </c>
      <c r="D1966" s="10" t="s">
        <v>1004</v>
      </c>
      <c r="E1966" s="10" t="s">
        <v>4539</v>
      </c>
      <c r="F1966" s="10" t="s">
        <v>794</v>
      </c>
      <c r="G1966" s="10" t="s">
        <v>1913</v>
      </c>
      <c r="H1966" s="10" t="s">
        <v>978</v>
      </c>
      <c r="I1966" s="10" t="s">
        <v>793</v>
      </c>
      <c r="J1966" s="10" t="s">
        <v>1004</v>
      </c>
    </row>
    <row r="1967" spans="1:10" ht="15" hidden="1" customHeight="1">
      <c r="A1967" s="9">
        <v>1963</v>
      </c>
      <c r="B1967" s="10" t="s">
        <v>4853</v>
      </c>
      <c r="C1967" s="10" t="s">
        <v>4854</v>
      </c>
      <c r="D1967" s="10" t="s">
        <v>1004</v>
      </c>
      <c r="E1967" s="10" t="s">
        <v>4539</v>
      </c>
      <c r="F1967" s="10" t="s">
        <v>794</v>
      </c>
      <c r="G1967" s="10" t="s">
        <v>1913</v>
      </c>
      <c r="H1967" s="10" t="s">
        <v>978</v>
      </c>
      <c r="I1967" s="10" t="s">
        <v>793</v>
      </c>
      <c r="J1967" s="10" t="s">
        <v>1004</v>
      </c>
    </row>
    <row r="1968" spans="1:10" ht="15" hidden="1" customHeight="1">
      <c r="A1968" s="9">
        <v>1964</v>
      </c>
      <c r="B1968" s="10" t="s">
        <v>4855</v>
      </c>
      <c r="C1968" s="10" t="s">
        <v>4856</v>
      </c>
      <c r="D1968" s="10" t="s">
        <v>1004</v>
      </c>
      <c r="E1968" s="10" t="s">
        <v>4539</v>
      </c>
      <c r="F1968" s="10" t="s">
        <v>794</v>
      </c>
      <c r="G1968" s="10" t="s">
        <v>1913</v>
      </c>
      <c r="H1968" s="10" t="s">
        <v>978</v>
      </c>
      <c r="I1968" s="10" t="s">
        <v>793</v>
      </c>
      <c r="J1968" s="10" t="s">
        <v>1004</v>
      </c>
    </row>
    <row r="1969" spans="1:10" ht="15" hidden="1" customHeight="1">
      <c r="A1969" s="9">
        <v>1965</v>
      </c>
      <c r="B1969" s="10" t="s">
        <v>4857</v>
      </c>
      <c r="C1969" s="10" t="s">
        <v>4858</v>
      </c>
      <c r="D1969" s="10" t="s">
        <v>1004</v>
      </c>
      <c r="E1969" s="10" t="s">
        <v>4539</v>
      </c>
      <c r="F1969" s="10" t="s">
        <v>794</v>
      </c>
      <c r="G1969" s="10" t="s">
        <v>1913</v>
      </c>
      <c r="H1969" s="10" t="s">
        <v>978</v>
      </c>
      <c r="I1969" s="10" t="s">
        <v>793</v>
      </c>
      <c r="J1969" s="10" t="s">
        <v>1004</v>
      </c>
    </row>
    <row r="1970" spans="1:10" ht="15" hidden="1" customHeight="1">
      <c r="A1970" s="9">
        <v>1966</v>
      </c>
      <c r="B1970" s="10" t="s">
        <v>4859</v>
      </c>
      <c r="C1970" s="10" t="s">
        <v>4860</v>
      </c>
      <c r="D1970" s="10" t="s">
        <v>1004</v>
      </c>
      <c r="E1970" s="10" t="s">
        <v>4539</v>
      </c>
      <c r="F1970" s="10" t="s">
        <v>794</v>
      </c>
      <c r="G1970" s="10" t="s">
        <v>1913</v>
      </c>
      <c r="H1970" s="10" t="s">
        <v>978</v>
      </c>
      <c r="I1970" s="10" t="s">
        <v>793</v>
      </c>
      <c r="J1970" s="10" t="s">
        <v>1004</v>
      </c>
    </row>
    <row r="1971" spans="1:10" ht="15" hidden="1" customHeight="1">
      <c r="A1971" s="9">
        <v>1967</v>
      </c>
      <c r="B1971" s="10" t="s">
        <v>4861</v>
      </c>
      <c r="C1971" s="10" t="s">
        <v>4862</v>
      </c>
      <c r="D1971" s="10" t="s">
        <v>1004</v>
      </c>
      <c r="E1971" s="10" t="s">
        <v>4539</v>
      </c>
      <c r="F1971" s="10" t="s">
        <v>794</v>
      </c>
      <c r="G1971" s="10" t="s">
        <v>1913</v>
      </c>
      <c r="H1971" s="10" t="s">
        <v>978</v>
      </c>
      <c r="I1971" s="10" t="s">
        <v>793</v>
      </c>
      <c r="J1971" s="10" t="s">
        <v>1004</v>
      </c>
    </row>
    <row r="1972" spans="1:10" ht="15" hidden="1" customHeight="1">
      <c r="A1972" s="9">
        <v>1968</v>
      </c>
      <c r="B1972" s="10" t="s">
        <v>4863</v>
      </c>
      <c r="C1972" s="10" t="s">
        <v>4864</v>
      </c>
      <c r="D1972" s="10" t="s">
        <v>1004</v>
      </c>
      <c r="E1972" s="10" t="s">
        <v>4539</v>
      </c>
      <c r="F1972" s="10" t="s">
        <v>794</v>
      </c>
      <c r="G1972" s="10" t="s">
        <v>1913</v>
      </c>
      <c r="H1972" s="10" t="s">
        <v>978</v>
      </c>
      <c r="I1972" s="10" t="s">
        <v>793</v>
      </c>
      <c r="J1972" s="10" t="s">
        <v>1004</v>
      </c>
    </row>
    <row r="1973" spans="1:10" ht="15" hidden="1" customHeight="1">
      <c r="A1973" s="9">
        <v>1969</v>
      </c>
      <c r="B1973" s="10" t="s">
        <v>4865</v>
      </c>
      <c r="C1973" s="10" t="s">
        <v>4866</v>
      </c>
      <c r="D1973" s="10" t="s">
        <v>1004</v>
      </c>
      <c r="E1973" s="10" t="s">
        <v>4539</v>
      </c>
      <c r="F1973" s="10" t="s">
        <v>794</v>
      </c>
      <c r="G1973" s="10" t="s">
        <v>1913</v>
      </c>
      <c r="H1973" s="10" t="s">
        <v>978</v>
      </c>
      <c r="I1973" s="10" t="s">
        <v>793</v>
      </c>
      <c r="J1973" s="10" t="s">
        <v>1004</v>
      </c>
    </row>
    <row r="1974" spans="1:10" ht="15" hidden="1" customHeight="1">
      <c r="A1974" s="9">
        <v>1970</v>
      </c>
      <c r="B1974" s="10" t="s">
        <v>4867</v>
      </c>
      <c r="C1974" s="10" t="s">
        <v>4868</v>
      </c>
      <c r="D1974" s="10" t="s">
        <v>1004</v>
      </c>
      <c r="E1974" s="10" t="s">
        <v>4539</v>
      </c>
      <c r="F1974" s="10" t="s">
        <v>794</v>
      </c>
      <c r="G1974" s="10" t="s">
        <v>1913</v>
      </c>
      <c r="H1974" s="10" t="s">
        <v>978</v>
      </c>
      <c r="I1974" s="10" t="s">
        <v>793</v>
      </c>
      <c r="J1974" s="10" t="s">
        <v>1004</v>
      </c>
    </row>
    <row r="1975" spans="1:10" ht="15" hidden="1" customHeight="1">
      <c r="A1975" s="9">
        <v>1971</v>
      </c>
      <c r="B1975" s="10" t="s">
        <v>4869</v>
      </c>
      <c r="C1975" s="10" t="s">
        <v>4870</v>
      </c>
      <c r="D1975" s="10" t="s">
        <v>1004</v>
      </c>
      <c r="E1975" s="10" t="s">
        <v>4539</v>
      </c>
      <c r="F1975" s="10" t="s">
        <v>794</v>
      </c>
      <c r="G1975" s="10" t="s">
        <v>1913</v>
      </c>
      <c r="H1975" s="10" t="s">
        <v>978</v>
      </c>
      <c r="I1975" s="10" t="s">
        <v>793</v>
      </c>
      <c r="J1975" s="10" t="s">
        <v>1004</v>
      </c>
    </row>
    <row r="1976" spans="1:10" ht="15" hidden="1" customHeight="1">
      <c r="A1976" s="9">
        <v>1972</v>
      </c>
      <c r="B1976" s="10" t="s">
        <v>4871</v>
      </c>
      <c r="C1976" s="10" t="s">
        <v>4872</v>
      </c>
      <c r="D1976" s="10" t="s">
        <v>1004</v>
      </c>
      <c r="E1976" s="10" t="s">
        <v>4539</v>
      </c>
      <c r="F1976" s="10" t="s">
        <v>794</v>
      </c>
      <c r="G1976" s="10" t="s">
        <v>1913</v>
      </c>
      <c r="H1976" s="10" t="s">
        <v>978</v>
      </c>
      <c r="I1976" s="10" t="s">
        <v>793</v>
      </c>
      <c r="J1976" s="10" t="s">
        <v>1004</v>
      </c>
    </row>
    <row r="1977" spans="1:10" ht="15" hidden="1" customHeight="1">
      <c r="A1977" s="9">
        <v>1973</v>
      </c>
      <c r="B1977" s="10" t="s">
        <v>4873</v>
      </c>
      <c r="C1977" s="10" t="s">
        <v>4874</v>
      </c>
      <c r="D1977" s="10" t="s">
        <v>1004</v>
      </c>
      <c r="E1977" s="10" t="s">
        <v>4539</v>
      </c>
      <c r="F1977" s="10" t="s">
        <v>794</v>
      </c>
      <c r="G1977" s="10" t="s">
        <v>1913</v>
      </c>
      <c r="H1977" s="10" t="s">
        <v>978</v>
      </c>
      <c r="I1977" s="10" t="s">
        <v>793</v>
      </c>
      <c r="J1977" s="10" t="s">
        <v>1004</v>
      </c>
    </row>
    <row r="1978" spans="1:10" ht="15" hidden="1" customHeight="1">
      <c r="A1978" s="9">
        <v>1974</v>
      </c>
      <c r="B1978" s="10" t="s">
        <v>4875</v>
      </c>
      <c r="C1978" s="10" t="s">
        <v>4876</v>
      </c>
      <c r="D1978" s="10" t="s">
        <v>1004</v>
      </c>
      <c r="E1978" s="10" t="s">
        <v>4539</v>
      </c>
      <c r="F1978" s="10" t="s">
        <v>794</v>
      </c>
      <c r="G1978" s="10" t="s">
        <v>1913</v>
      </c>
      <c r="H1978" s="10" t="s">
        <v>978</v>
      </c>
      <c r="I1978" s="10" t="s">
        <v>793</v>
      </c>
      <c r="J1978" s="10" t="s">
        <v>1004</v>
      </c>
    </row>
    <row r="1979" spans="1:10" ht="15" hidden="1" customHeight="1">
      <c r="A1979" s="9">
        <v>1975</v>
      </c>
      <c r="B1979" s="10" t="s">
        <v>4877</v>
      </c>
      <c r="C1979" s="10" t="s">
        <v>4878</v>
      </c>
      <c r="D1979" s="10" t="s">
        <v>1004</v>
      </c>
      <c r="E1979" s="10" t="s">
        <v>4539</v>
      </c>
      <c r="F1979" s="10" t="s">
        <v>794</v>
      </c>
      <c r="G1979" s="10" t="s">
        <v>1913</v>
      </c>
      <c r="H1979" s="10" t="s">
        <v>978</v>
      </c>
      <c r="I1979" s="10" t="s">
        <v>793</v>
      </c>
      <c r="J1979" s="10" t="s">
        <v>1004</v>
      </c>
    </row>
    <row r="1980" spans="1:10" ht="15" hidden="1" customHeight="1">
      <c r="A1980" s="9">
        <v>1976</v>
      </c>
      <c r="B1980" s="10" t="s">
        <v>4879</v>
      </c>
      <c r="C1980" s="10" t="s">
        <v>4880</v>
      </c>
      <c r="D1980" s="10" t="s">
        <v>1004</v>
      </c>
      <c r="E1980" s="10" t="s">
        <v>4539</v>
      </c>
      <c r="F1980" s="10" t="s">
        <v>794</v>
      </c>
      <c r="G1980" s="10" t="s">
        <v>1913</v>
      </c>
      <c r="H1980" s="10" t="s">
        <v>978</v>
      </c>
      <c r="I1980" s="10" t="s">
        <v>793</v>
      </c>
      <c r="J1980" s="10" t="s">
        <v>795</v>
      </c>
    </row>
    <row r="1981" spans="1:10" ht="15" hidden="1" customHeight="1">
      <c r="A1981" s="9">
        <v>1977</v>
      </c>
      <c r="B1981" s="10" t="s">
        <v>4881</v>
      </c>
      <c r="C1981" s="10" t="s">
        <v>4882</v>
      </c>
      <c r="D1981" s="10" t="s">
        <v>1004</v>
      </c>
      <c r="E1981" s="10" t="s">
        <v>4541</v>
      </c>
      <c r="F1981" s="10" t="s">
        <v>794</v>
      </c>
      <c r="G1981" s="10" t="s">
        <v>1920</v>
      </c>
      <c r="H1981" s="10" t="s">
        <v>978</v>
      </c>
      <c r="I1981" s="10" t="s">
        <v>793</v>
      </c>
      <c r="J1981" s="10" t="s">
        <v>795</v>
      </c>
    </row>
    <row r="1982" spans="1:10" ht="15" hidden="1" customHeight="1">
      <c r="A1982" s="9">
        <v>1978</v>
      </c>
      <c r="B1982" s="10" t="s">
        <v>4883</v>
      </c>
      <c r="C1982" s="10" t="s">
        <v>4884</v>
      </c>
      <c r="D1982" s="10" t="s">
        <v>1004</v>
      </c>
      <c r="E1982" s="10" t="s">
        <v>4541</v>
      </c>
      <c r="F1982" s="10" t="s">
        <v>794</v>
      </c>
      <c r="G1982" s="10" t="s">
        <v>1920</v>
      </c>
      <c r="H1982" s="10" t="s">
        <v>978</v>
      </c>
      <c r="I1982" s="10" t="s">
        <v>793</v>
      </c>
      <c r="J1982" s="10" t="s">
        <v>795</v>
      </c>
    </row>
    <row r="1983" spans="1:10" ht="15" hidden="1" customHeight="1">
      <c r="A1983" s="9">
        <v>1979</v>
      </c>
      <c r="B1983" s="10" t="s">
        <v>4885</v>
      </c>
      <c r="C1983" s="10" t="s">
        <v>4886</v>
      </c>
      <c r="D1983" s="10" t="s">
        <v>1004</v>
      </c>
      <c r="E1983" s="10" t="s">
        <v>4541</v>
      </c>
      <c r="F1983" s="10" t="s">
        <v>794</v>
      </c>
      <c r="G1983" s="10" t="s">
        <v>1920</v>
      </c>
      <c r="H1983" s="10" t="s">
        <v>978</v>
      </c>
      <c r="I1983" s="10" t="s">
        <v>793</v>
      </c>
      <c r="J1983" s="10" t="s">
        <v>795</v>
      </c>
    </row>
    <row r="1984" spans="1:10" ht="15" hidden="1" customHeight="1">
      <c r="A1984" s="9">
        <v>1980</v>
      </c>
      <c r="B1984" s="10" t="s">
        <v>4887</v>
      </c>
      <c r="C1984" s="10" t="s">
        <v>4888</v>
      </c>
      <c r="D1984" s="10" t="s">
        <v>1004</v>
      </c>
      <c r="E1984" s="10" t="s">
        <v>4541</v>
      </c>
      <c r="F1984" s="10" t="s">
        <v>794</v>
      </c>
      <c r="G1984" s="10" t="s">
        <v>1920</v>
      </c>
      <c r="H1984" s="10" t="s">
        <v>978</v>
      </c>
      <c r="I1984" s="10" t="s">
        <v>793</v>
      </c>
      <c r="J1984" s="10" t="s">
        <v>795</v>
      </c>
    </row>
    <row r="1985" spans="1:10" ht="15" hidden="1" customHeight="1">
      <c r="A1985" s="9">
        <v>1981</v>
      </c>
      <c r="B1985" s="10" t="s">
        <v>4889</v>
      </c>
      <c r="C1985" s="10" t="s">
        <v>4890</v>
      </c>
      <c r="D1985" s="10" t="s">
        <v>1004</v>
      </c>
      <c r="E1985" s="10" t="s">
        <v>4541</v>
      </c>
      <c r="F1985" s="10" t="s">
        <v>794</v>
      </c>
      <c r="G1985" s="10" t="s">
        <v>1920</v>
      </c>
      <c r="H1985" s="10" t="s">
        <v>978</v>
      </c>
      <c r="I1985" s="10" t="s">
        <v>793</v>
      </c>
      <c r="J1985" s="10" t="s">
        <v>795</v>
      </c>
    </row>
    <row r="1986" spans="1:10" ht="15" hidden="1" customHeight="1">
      <c r="A1986" s="9">
        <v>1982</v>
      </c>
      <c r="B1986" s="10" t="s">
        <v>4891</v>
      </c>
      <c r="C1986" s="10" t="s">
        <v>4892</v>
      </c>
      <c r="D1986" s="10" t="s">
        <v>1004</v>
      </c>
      <c r="E1986" s="10" t="s">
        <v>4541</v>
      </c>
      <c r="F1986" s="10" t="s">
        <v>794</v>
      </c>
      <c r="G1986" s="10" t="s">
        <v>1920</v>
      </c>
      <c r="H1986" s="10" t="s">
        <v>978</v>
      </c>
      <c r="I1986" s="10" t="s">
        <v>793</v>
      </c>
      <c r="J1986" s="10" t="s">
        <v>795</v>
      </c>
    </row>
    <row r="1987" spans="1:10" ht="15" hidden="1" customHeight="1">
      <c r="A1987" s="9">
        <v>1983</v>
      </c>
      <c r="B1987" s="10" t="s">
        <v>4893</v>
      </c>
      <c r="C1987" s="10" t="s">
        <v>4894</v>
      </c>
      <c r="D1987" s="10" t="s">
        <v>1004</v>
      </c>
      <c r="E1987" s="10" t="s">
        <v>4541</v>
      </c>
      <c r="F1987" s="10" t="s">
        <v>794</v>
      </c>
      <c r="G1987" s="10" t="s">
        <v>1920</v>
      </c>
      <c r="H1987" s="10" t="s">
        <v>978</v>
      </c>
      <c r="I1987" s="10" t="s">
        <v>793</v>
      </c>
      <c r="J1987" s="10" t="s">
        <v>795</v>
      </c>
    </row>
    <row r="1988" spans="1:10" ht="15" hidden="1" customHeight="1">
      <c r="A1988" s="9">
        <v>1984</v>
      </c>
      <c r="B1988" s="10" t="s">
        <v>4895</v>
      </c>
      <c r="C1988" s="10" t="s">
        <v>4896</v>
      </c>
      <c r="D1988" s="10" t="s">
        <v>1004</v>
      </c>
      <c r="E1988" s="10" t="s">
        <v>4541</v>
      </c>
      <c r="F1988" s="10" t="s">
        <v>794</v>
      </c>
      <c r="G1988" s="10" t="s">
        <v>1920</v>
      </c>
      <c r="H1988" s="10" t="s">
        <v>978</v>
      </c>
      <c r="I1988" s="10" t="s">
        <v>793</v>
      </c>
      <c r="J1988" s="10" t="s">
        <v>795</v>
      </c>
    </row>
    <row r="1989" spans="1:10" ht="15" hidden="1" customHeight="1">
      <c r="A1989" s="9">
        <v>1985</v>
      </c>
      <c r="B1989" s="10" t="s">
        <v>4897</v>
      </c>
      <c r="C1989" s="10" t="s">
        <v>4898</v>
      </c>
      <c r="D1989" s="10" t="s">
        <v>1004</v>
      </c>
      <c r="E1989" s="10" t="s">
        <v>4541</v>
      </c>
      <c r="F1989" s="10" t="s">
        <v>794</v>
      </c>
      <c r="G1989" s="10" t="s">
        <v>1920</v>
      </c>
      <c r="H1989" s="10" t="s">
        <v>978</v>
      </c>
      <c r="I1989" s="10" t="s">
        <v>793</v>
      </c>
      <c r="J1989" s="10" t="s">
        <v>795</v>
      </c>
    </row>
    <row r="1990" spans="1:10" ht="15" hidden="1" customHeight="1">
      <c r="A1990" s="9">
        <v>1986</v>
      </c>
      <c r="B1990" s="10" t="s">
        <v>4899</v>
      </c>
      <c r="C1990" s="10" t="s">
        <v>4900</v>
      </c>
      <c r="D1990" s="10" t="s">
        <v>1004</v>
      </c>
      <c r="E1990" s="10" t="s">
        <v>4541</v>
      </c>
      <c r="F1990" s="10" t="s">
        <v>794</v>
      </c>
      <c r="G1990" s="10" t="s">
        <v>1920</v>
      </c>
      <c r="H1990" s="10" t="s">
        <v>978</v>
      </c>
      <c r="I1990" s="10" t="s">
        <v>793</v>
      </c>
      <c r="J1990" s="10" t="s">
        <v>795</v>
      </c>
    </row>
    <row r="1991" spans="1:10" ht="15" hidden="1" customHeight="1">
      <c r="A1991" s="9">
        <v>1987</v>
      </c>
      <c r="B1991" s="10" t="s">
        <v>4901</v>
      </c>
      <c r="C1991" s="10" t="s">
        <v>4902</v>
      </c>
      <c r="D1991" s="10" t="s">
        <v>1004</v>
      </c>
      <c r="E1991" s="10" t="s">
        <v>4541</v>
      </c>
      <c r="F1991" s="10" t="s">
        <v>794</v>
      </c>
      <c r="G1991" s="10" t="s">
        <v>1920</v>
      </c>
      <c r="H1991" s="10" t="s">
        <v>978</v>
      </c>
      <c r="I1991" s="10" t="s">
        <v>793</v>
      </c>
      <c r="J1991" s="10" t="s">
        <v>795</v>
      </c>
    </row>
    <row r="1992" spans="1:10" ht="15" hidden="1" customHeight="1">
      <c r="A1992" s="9">
        <v>1988</v>
      </c>
      <c r="B1992" s="10" t="s">
        <v>4903</v>
      </c>
      <c r="C1992" s="10" t="s">
        <v>4904</v>
      </c>
      <c r="D1992" s="10" t="s">
        <v>1004</v>
      </c>
      <c r="E1992" s="10" t="s">
        <v>4541</v>
      </c>
      <c r="F1992" s="10" t="s">
        <v>794</v>
      </c>
      <c r="G1992" s="10" t="s">
        <v>1920</v>
      </c>
      <c r="H1992" s="10" t="s">
        <v>978</v>
      </c>
      <c r="I1992" s="10" t="s">
        <v>793</v>
      </c>
      <c r="J1992" s="10" t="s">
        <v>795</v>
      </c>
    </row>
    <row r="1993" spans="1:10" ht="15" hidden="1" customHeight="1">
      <c r="A1993" s="9">
        <v>1989</v>
      </c>
      <c r="B1993" s="10" t="s">
        <v>4905</v>
      </c>
      <c r="C1993" s="10" t="s">
        <v>4906</v>
      </c>
      <c r="D1993" s="10" t="s">
        <v>1004</v>
      </c>
      <c r="E1993" s="10" t="s">
        <v>4543</v>
      </c>
      <c r="F1993" s="10" t="s">
        <v>794</v>
      </c>
      <c r="G1993" s="10" t="s">
        <v>1925</v>
      </c>
      <c r="H1993" s="10" t="s">
        <v>978</v>
      </c>
      <c r="I1993" s="10" t="s">
        <v>793</v>
      </c>
      <c r="J1993" s="10" t="s">
        <v>1004</v>
      </c>
    </row>
    <row r="1994" spans="1:10" ht="15" hidden="1" customHeight="1">
      <c r="A1994" s="9">
        <v>1990</v>
      </c>
      <c r="B1994" s="10" t="s">
        <v>4907</v>
      </c>
      <c r="C1994" s="10" t="s">
        <v>4908</v>
      </c>
      <c r="D1994" s="10" t="s">
        <v>1004</v>
      </c>
      <c r="E1994" s="10" t="s">
        <v>4543</v>
      </c>
      <c r="F1994" s="10" t="s">
        <v>794</v>
      </c>
      <c r="G1994" s="10" t="s">
        <v>1925</v>
      </c>
      <c r="H1994" s="10" t="s">
        <v>978</v>
      </c>
      <c r="I1994" s="10" t="s">
        <v>793</v>
      </c>
      <c r="J1994" s="10" t="s">
        <v>1004</v>
      </c>
    </row>
    <row r="1995" spans="1:10" ht="15" hidden="1" customHeight="1">
      <c r="A1995" s="9">
        <v>1991</v>
      </c>
      <c r="B1995" s="10" t="s">
        <v>4909</v>
      </c>
      <c r="C1995" s="10" t="s">
        <v>4910</v>
      </c>
      <c r="D1995" s="10" t="s">
        <v>1004</v>
      </c>
      <c r="E1995" s="10" t="s">
        <v>4543</v>
      </c>
      <c r="F1995" s="10" t="s">
        <v>794</v>
      </c>
      <c r="G1995" s="10" t="s">
        <v>1925</v>
      </c>
      <c r="H1995" s="10" t="s">
        <v>978</v>
      </c>
      <c r="I1995" s="10" t="s">
        <v>793</v>
      </c>
      <c r="J1995" s="10" t="s">
        <v>1004</v>
      </c>
    </row>
    <row r="1996" spans="1:10" ht="15" hidden="1" customHeight="1">
      <c r="A1996" s="9">
        <v>1992</v>
      </c>
      <c r="B1996" s="10" t="s">
        <v>4911</v>
      </c>
      <c r="C1996" s="10" t="s">
        <v>4912</v>
      </c>
      <c r="D1996" s="10" t="s">
        <v>1004</v>
      </c>
      <c r="E1996" s="10" t="s">
        <v>4543</v>
      </c>
      <c r="F1996" s="10" t="s">
        <v>794</v>
      </c>
      <c r="G1996" s="10" t="s">
        <v>1925</v>
      </c>
      <c r="H1996" s="10" t="s">
        <v>978</v>
      </c>
      <c r="I1996" s="10" t="s">
        <v>793</v>
      </c>
      <c r="J1996" s="10" t="s">
        <v>1004</v>
      </c>
    </row>
    <row r="1997" spans="1:10" ht="15" hidden="1" customHeight="1">
      <c r="A1997" s="9">
        <v>1993</v>
      </c>
      <c r="B1997" s="10" t="s">
        <v>4913</v>
      </c>
      <c r="C1997" s="10" t="s">
        <v>4914</v>
      </c>
      <c r="D1997" s="10" t="s">
        <v>1004</v>
      </c>
      <c r="E1997" s="10" t="s">
        <v>4543</v>
      </c>
      <c r="F1997" s="10" t="s">
        <v>794</v>
      </c>
      <c r="G1997" s="10" t="s">
        <v>1925</v>
      </c>
      <c r="H1997" s="10" t="s">
        <v>978</v>
      </c>
      <c r="I1997" s="10" t="s">
        <v>793</v>
      </c>
      <c r="J1997" s="10" t="s">
        <v>1004</v>
      </c>
    </row>
    <row r="1998" spans="1:10" ht="15" hidden="1" customHeight="1">
      <c r="A1998" s="9">
        <v>1994</v>
      </c>
      <c r="B1998" s="10" t="s">
        <v>4915</v>
      </c>
      <c r="C1998" s="10" t="s">
        <v>4916</v>
      </c>
      <c r="D1998" s="10" t="s">
        <v>1004</v>
      </c>
      <c r="E1998" s="10" t="s">
        <v>4543</v>
      </c>
      <c r="F1998" s="10" t="s">
        <v>794</v>
      </c>
      <c r="G1998" s="10" t="s">
        <v>1925</v>
      </c>
      <c r="H1998" s="10" t="s">
        <v>978</v>
      </c>
      <c r="I1998" s="10" t="s">
        <v>793</v>
      </c>
      <c r="J1998" s="10" t="s">
        <v>1004</v>
      </c>
    </row>
    <row r="1999" spans="1:10" ht="15" hidden="1" customHeight="1">
      <c r="A1999" s="9">
        <v>1995</v>
      </c>
      <c r="B1999" s="10" t="s">
        <v>4917</v>
      </c>
      <c r="C1999" s="10" t="s">
        <v>4918</v>
      </c>
      <c r="D1999" s="10" t="s">
        <v>1004</v>
      </c>
      <c r="E1999" s="10" t="s">
        <v>4543</v>
      </c>
      <c r="F1999" s="10" t="s">
        <v>794</v>
      </c>
      <c r="G1999" s="10" t="s">
        <v>1925</v>
      </c>
      <c r="H1999" s="10" t="s">
        <v>978</v>
      </c>
      <c r="I1999" s="10" t="s">
        <v>793</v>
      </c>
      <c r="J1999" s="10" t="s">
        <v>1004</v>
      </c>
    </row>
    <row r="2000" spans="1:10" ht="15" hidden="1" customHeight="1">
      <c r="A2000" s="9">
        <v>1996</v>
      </c>
      <c r="B2000" s="10" t="s">
        <v>4919</v>
      </c>
      <c r="C2000" s="10" t="s">
        <v>4920</v>
      </c>
      <c r="D2000" s="10" t="s">
        <v>1004</v>
      </c>
      <c r="E2000" s="10" t="s">
        <v>4543</v>
      </c>
      <c r="F2000" s="10" t="s">
        <v>794</v>
      </c>
      <c r="G2000" s="10" t="s">
        <v>1925</v>
      </c>
      <c r="H2000" s="10" t="s">
        <v>978</v>
      </c>
      <c r="I2000" s="10" t="s">
        <v>793</v>
      </c>
      <c r="J2000" s="10" t="s">
        <v>1004</v>
      </c>
    </row>
    <row r="2001" spans="1:10" ht="15" hidden="1" customHeight="1">
      <c r="A2001" s="9">
        <v>1997</v>
      </c>
      <c r="B2001" s="10" t="s">
        <v>4921</v>
      </c>
      <c r="C2001" s="10" t="s">
        <v>4922</v>
      </c>
      <c r="D2001" s="10" t="s">
        <v>1004</v>
      </c>
      <c r="E2001" s="10" t="s">
        <v>4543</v>
      </c>
      <c r="F2001" s="10" t="s">
        <v>794</v>
      </c>
      <c r="G2001" s="10" t="s">
        <v>1925</v>
      </c>
      <c r="H2001" s="10" t="s">
        <v>978</v>
      </c>
      <c r="I2001" s="10" t="s">
        <v>793</v>
      </c>
      <c r="J2001" s="10" t="s">
        <v>1004</v>
      </c>
    </row>
    <row r="2002" spans="1:10" ht="15" hidden="1" customHeight="1">
      <c r="A2002" s="9">
        <v>1998</v>
      </c>
      <c r="B2002" s="10" t="s">
        <v>4923</v>
      </c>
      <c r="C2002" s="10" t="s">
        <v>4924</v>
      </c>
      <c r="D2002" s="10" t="s">
        <v>1004</v>
      </c>
      <c r="E2002" s="10" t="s">
        <v>4543</v>
      </c>
      <c r="F2002" s="10" t="s">
        <v>794</v>
      </c>
      <c r="G2002" s="10" t="s">
        <v>1925</v>
      </c>
      <c r="H2002" s="10" t="s">
        <v>978</v>
      </c>
      <c r="I2002" s="10" t="s">
        <v>793</v>
      </c>
      <c r="J2002" s="10" t="s">
        <v>1004</v>
      </c>
    </row>
    <row r="2003" spans="1:10" ht="15" hidden="1" customHeight="1">
      <c r="A2003" s="9">
        <v>1999</v>
      </c>
      <c r="B2003" s="10" t="s">
        <v>4925</v>
      </c>
      <c r="C2003" s="10" t="s">
        <v>4926</v>
      </c>
      <c r="D2003" s="10" t="s">
        <v>1004</v>
      </c>
      <c r="E2003" s="10" t="s">
        <v>4543</v>
      </c>
      <c r="F2003" s="10" t="s">
        <v>794</v>
      </c>
      <c r="G2003" s="10" t="s">
        <v>1925</v>
      </c>
      <c r="H2003" s="10" t="s">
        <v>978</v>
      </c>
      <c r="I2003" s="10" t="s">
        <v>793</v>
      </c>
      <c r="J2003" s="10" t="s">
        <v>881</v>
      </c>
    </row>
    <row r="2004" spans="1:10" ht="15" hidden="1" customHeight="1">
      <c r="A2004" s="9">
        <v>2000</v>
      </c>
      <c r="B2004" s="10" t="s">
        <v>4927</v>
      </c>
      <c r="C2004" s="10" t="s">
        <v>4928</v>
      </c>
      <c r="D2004" s="10" t="s">
        <v>1004</v>
      </c>
      <c r="E2004" s="10" t="s">
        <v>4543</v>
      </c>
      <c r="F2004" s="10" t="s">
        <v>794</v>
      </c>
      <c r="G2004" s="10" t="s">
        <v>1925</v>
      </c>
      <c r="H2004" s="10" t="s">
        <v>978</v>
      </c>
      <c r="I2004" s="10" t="s">
        <v>793</v>
      </c>
      <c r="J2004" s="10" t="s">
        <v>1004</v>
      </c>
    </row>
    <row r="2005" spans="1:10" ht="15" hidden="1" customHeight="1">
      <c r="A2005" s="9">
        <v>2001</v>
      </c>
      <c r="B2005" s="10" t="s">
        <v>4929</v>
      </c>
      <c r="C2005" s="10" t="s">
        <v>4930</v>
      </c>
      <c r="D2005" s="10" t="s">
        <v>1004</v>
      </c>
      <c r="E2005" s="10" t="s">
        <v>4543</v>
      </c>
      <c r="F2005" s="10" t="s">
        <v>794</v>
      </c>
      <c r="G2005" s="10" t="s">
        <v>1925</v>
      </c>
      <c r="H2005" s="10" t="s">
        <v>978</v>
      </c>
      <c r="I2005" s="10" t="s">
        <v>793</v>
      </c>
      <c r="J2005" s="10" t="s">
        <v>1004</v>
      </c>
    </row>
    <row r="2006" spans="1:10" ht="15" hidden="1" customHeight="1">
      <c r="A2006" s="9">
        <v>2002</v>
      </c>
      <c r="B2006" s="10" t="s">
        <v>4931</v>
      </c>
      <c r="C2006" s="10" t="s">
        <v>4932</v>
      </c>
      <c r="D2006" s="10" t="s">
        <v>1004</v>
      </c>
      <c r="E2006" s="10" t="s">
        <v>4543</v>
      </c>
      <c r="F2006" s="10" t="s">
        <v>794</v>
      </c>
      <c r="G2006" s="10" t="s">
        <v>1925</v>
      </c>
      <c r="H2006" s="10" t="s">
        <v>978</v>
      </c>
      <c r="I2006" s="10" t="s">
        <v>793</v>
      </c>
      <c r="J2006" s="10" t="s">
        <v>1004</v>
      </c>
    </row>
    <row r="2007" spans="1:10" ht="15" hidden="1" customHeight="1">
      <c r="A2007" s="9">
        <v>2003</v>
      </c>
      <c r="B2007" s="10" t="s">
        <v>4933</v>
      </c>
      <c r="C2007" s="10" t="s">
        <v>4934</v>
      </c>
      <c r="D2007" s="10" t="s">
        <v>1004</v>
      </c>
      <c r="E2007" s="10" t="s">
        <v>4543</v>
      </c>
      <c r="F2007" s="10" t="s">
        <v>794</v>
      </c>
      <c r="G2007" s="10" t="s">
        <v>1925</v>
      </c>
      <c r="H2007" s="10" t="s">
        <v>978</v>
      </c>
      <c r="I2007" s="10" t="s">
        <v>793</v>
      </c>
      <c r="J2007" s="10" t="s">
        <v>1004</v>
      </c>
    </row>
    <row r="2008" spans="1:10" ht="15" hidden="1" customHeight="1">
      <c r="A2008" s="9">
        <v>2004</v>
      </c>
      <c r="B2008" s="10" t="s">
        <v>4935</v>
      </c>
      <c r="C2008" s="10" t="s">
        <v>4936</v>
      </c>
      <c r="D2008" s="10" t="s">
        <v>1004</v>
      </c>
      <c r="E2008" s="10" t="s">
        <v>4543</v>
      </c>
      <c r="F2008" s="10" t="s">
        <v>794</v>
      </c>
      <c r="G2008" s="10" t="s">
        <v>1925</v>
      </c>
      <c r="H2008" s="10" t="s">
        <v>978</v>
      </c>
      <c r="I2008" s="10" t="s">
        <v>793</v>
      </c>
      <c r="J2008" s="10" t="s">
        <v>1004</v>
      </c>
    </row>
    <row r="2009" spans="1:10" ht="15" hidden="1" customHeight="1">
      <c r="A2009" s="9">
        <v>2005</v>
      </c>
      <c r="B2009" s="10" t="s">
        <v>4937</v>
      </c>
      <c r="C2009" s="10" t="s">
        <v>4938</v>
      </c>
      <c r="D2009" s="10" t="s">
        <v>1004</v>
      </c>
      <c r="E2009" s="10" t="s">
        <v>4543</v>
      </c>
      <c r="F2009" s="10" t="s">
        <v>794</v>
      </c>
      <c r="G2009" s="10" t="s">
        <v>1925</v>
      </c>
      <c r="H2009" s="10" t="s">
        <v>978</v>
      </c>
      <c r="I2009" s="10" t="s">
        <v>793</v>
      </c>
      <c r="J2009" s="10" t="s">
        <v>1004</v>
      </c>
    </row>
    <row r="2010" spans="1:10" ht="15" hidden="1" customHeight="1">
      <c r="A2010" s="9">
        <v>2006</v>
      </c>
      <c r="B2010" s="10" t="s">
        <v>4939</v>
      </c>
      <c r="C2010" s="10" t="s">
        <v>4940</v>
      </c>
      <c r="D2010" s="10" t="s">
        <v>1004</v>
      </c>
      <c r="E2010" s="10" t="s">
        <v>4543</v>
      </c>
      <c r="F2010" s="10" t="s">
        <v>794</v>
      </c>
      <c r="G2010" s="10" t="s">
        <v>1925</v>
      </c>
      <c r="H2010" s="10" t="s">
        <v>978</v>
      </c>
      <c r="I2010" s="10" t="s">
        <v>793</v>
      </c>
      <c r="J2010" s="10" t="s">
        <v>1004</v>
      </c>
    </row>
    <row r="2011" spans="1:10" ht="15" hidden="1" customHeight="1">
      <c r="A2011" s="9">
        <v>2007</v>
      </c>
      <c r="B2011" s="10" t="s">
        <v>4941</v>
      </c>
      <c r="C2011" s="10" t="s">
        <v>4942</v>
      </c>
      <c r="D2011" s="10" t="s">
        <v>1004</v>
      </c>
      <c r="E2011" s="10" t="s">
        <v>4543</v>
      </c>
      <c r="F2011" s="10" t="s">
        <v>794</v>
      </c>
      <c r="G2011" s="10" t="s">
        <v>1925</v>
      </c>
      <c r="H2011" s="10" t="s">
        <v>978</v>
      </c>
      <c r="I2011" s="10" t="s">
        <v>793</v>
      </c>
      <c r="J2011" s="10" t="s">
        <v>1004</v>
      </c>
    </row>
    <row r="2012" spans="1:10" ht="15" hidden="1" customHeight="1">
      <c r="A2012" s="9">
        <v>2008</v>
      </c>
      <c r="B2012" s="10" t="s">
        <v>4943</v>
      </c>
      <c r="C2012" s="10" t="s">
        <v>4944</v>
      </c>
      <c r="D2012" s="10" t="s">
        <v>1004</v>
      </c>
      <c r="E2012" s="10" t="s">
        <v>4543</v>
      </c>
      <c r="F2012" s="10" t="s">
        <v>794</v>
      </c>
      <c r="G2012" s="10" t="s">
        <v>1925</v>
      </c>
      <c r="H2012" s="10" t="s">
        <v>978</v>
      </c>
      <c r="I2012" s="10" t="s">
        <v>793</v>
      </c>
      <c r="J2012" s="10" t="s">
        <v>795</v>
      </c>
    </row>
    <row r="2013" spans="1:10" ht="15" hidden="1" customHeight="1">
      <c r="A2013" s="9">
        <v>2009</v>
      </c>
      <c r="B2013" s="10" t="s">
        <v>4945</v>
      </c>
      <c r="C2013" s="10" t="s">
        <v>4946</v>
      </c>
      <c r="D2013" s="10" t="s">
        <v>1004</v>
      </c>
      <c r="E2013" s="10" t="s">
        <v>4543</v>
      </c>
      <c r="F2013" s="10" t="s">
        <v>794</v>
      </c>
      <c r="G2013" s="10" t="s">
        <v>1925</v>
      </c>
      <c r="H2013" s="10" t="s">
        <v>978</v>
      </c>
      <c r="I2013" s="10" t="s">
        <v>794</v>
      </c>
      <c r="J2013" s="10" t="s">
        <v>1004</v>
      </c>
    </row>
    <row r="2014" spans="1:10" ht="15" hidden="1" customHeight="1">
      <c r="A2014" s="9">
        <v>2010</v>
      </c>
      <c r="B2014" s="10" t="s">
        <v>4947</v>
      </c>
      <c r="C2014" s="10" t="s">
        <v>4948</v>
      </c>
      <c r="D2014" s="10" t="s">
        <v>1004</v>
      </c>
      <c r="E2014" s="10" t="s">
        <v>4543</v>
      </c>
      <c r="F2014" s="10" t="s">
        <v>794</v>
      </c>
      <c r="G2014" s="10" t="s">
        <v>1925</v>
      </c>
      <c r="H2014" s="10" t="s">
        <v>978</v>
      </c>
      <c r="I2014" s="10" t="s">
        <v>793</v>
      </c>
      <c r="J2014" s="10" t="s">
        <v>1004</v>
      </c>
    </row>
    <row r="2015" spans="1:10" ht="15" hidden="1" customHeight="1">
      <c r="A2015" s="9">
        <v>2011</v>
      </c>
      <c r="B2015" s="10" t="s">
        <v>4949</v>
      </c>
      <c r="C2015" s="10" t="s">
        <v>4950</v>
      </c>
      <c r="D2015" s="10" t="s">
        <v>1004</v>
      </c>
      <c r="E2015" s="10" t="s">
        <v>4543</v>
      </c>
      <c r="F2015" s="10" t="s">
        <v>794</v>
      </c>
      <c r="G2015" s="10" t="s">
        <v>1925</v>
      </c>
      <c r="H2015" s="10" t="s">
        <v>978</v>
      </c>
      <c r="I2015" s="10" t="s">
        <v>794</v>
      </c>
      <c r="J2015" s="10" t="s">
        <v>1004</v>
      </c>
    </row>
    <row r="2016" spans="1:10" ht="15" hidden="1" customHeight="1">
      <c r="A2016" s="9">
        <v>2012</v>
      </c>
      <c r="B2016" s="10" t="s">
        <v>4951</v>
      </c>
      <c r="C2016" s="10" t="s">
        <v>4952</v>
      </c>
      <c r="D2016" s="10" t="s">
        <v>1004</v>
      </c>
      <c r="E2016" s="10" t="s">
        <v>4545</v>
      </c>
      <c r="F2016" s="10" t="s">
        <v>794</v>
      </c>
      <c r="G2016" s="10" t="s">
        <v>1932</v>
      </c>
      <c r="H2016" s="10" t="s">
        <v>978</v>
      </c>
      <c r="I2016" s="10" t="s">
        <v>794</v>
      </c>
      <c r="J2016" s="10" t="s">
        <v>920</v>
      </c>
    </row>
    <row r="2017" spans="1:10" ht="15" hidden="1" customHeight="1">
      <c r="A2017" s="9">
        <v>2013</v>
      </c>
      <c r="B2017" s="10" t="s">
        <v>4953</v>
      </c>
      <c r="C2017" s="10" t="s">
        <v>4954</v>
      </c>
      <c r="D2017" s="10" t="s">
        <v>1004</v>
      </c>
      <c r="E2017" s="10" t="s">
        <v>4545</v>
      </c>
      <c r="F2017" s="10" t="s">
        <v>794</v>
      </c>
      <c r="G2017" s="10" t="s">
        <v>1932</v>
      </c>
      <c r="H2017" s="10" t="s">
        <v>978</v>
      </c>
      <c r="I2017" s="10" t="s">
        <v>794</v>
      </c>
      <c r="J2017" s="10" t="s">
        <v>920</v>
      </c>
    </row>
    <row r="2018" spans="1:10" ht="15" hidden="1" customHeight="1">
      <c r="A2018" s="9">
        <v>2014</v>
      </c>
      <c r="B2018" s="10" t="s">
        <v>4955</v>
      </c>
      <c r="C2018" s="10" t="s">
        <v>4956</v>
      </c>
      <c r="D2018" s="10" t="s">
        <v>1004</v>
      </c>
      <c r="E2018" s="10" t="s">
        <v>2457</v>
      </c>
      <c r="F2018" s="10" t="s">
        <v>793</v>
      </c>
      <c r="G2018" s="10" t="s">
        <v>2463</v>
      </c>
      <c r="H2018" s="10" t="s">
        <v>1479</v>
      </c>
      <c r="I2018" s="10" t="s">
        <v>794</v>
      </c>
      <c r="J2018" s="10" t="s">
        <v>1004</v>
      </c>
    </row>
    <row r="2019" spans="1:10" ht="15" hidden="1" customHeight="1">
      <c r="A2019" s="9">
        <v>2015</v>
      </c>
      <c r="B2019" s="10" t="s">
        <v>4957</v>
      </c>
      <c r="C2019" s="10" t="s">
        <v>4958</v>
      </c>
      <c r="D2019" s="10" t="s">
        <v>1004</v>
      </c>
      <c r="E2019" s="10" t="s">
        <v>2457</v>
      </c>
      <c r="F2019" s="10" t="s">
        <v>793</v>
      </c>
      <c r="G2019" s="10" t="s">
        <v>2466</v>
      </c>
      <c r="H2019" s="10" t="s">
        <v>1479</v>
      </c>
      <c r="I2019" s="10" t="s">
        <v>794</v>
      </c>
      <c r="J2019" s="10" t="s">
        <v>1004</v>
      </c>
    </row>
    <row r="2020" spans="1:10" ht="15" hidden="1" customHeight="1">
      <c r="A2020" s="9">
        <v>2016</v>
      </c>
      <c r="B2020" s="10" t="s">
        <v>4959</v>
      </c>
      <c r="C2020" s="10" t="s">
        <v>4960</v>
      </c>
      <c r="D2020" s="10" t="s">
        <v>1004</v>
      </c>
      <c r="E2020" s="10" t="s">
        <v>2457</v>
      </c>
      <c r="F2020" s="10" t="s">
        <v>793</v>
      </c>
      <c r="G2020" s="10"/>
      <c r="H2020" s="10"/>
      <c r="I2020" s="10" t="s">
        <v>794</v>
      </c>
      <c r="J2020" s="10" t="s">
        <v>1004</v>
      </c>
    </row>
    <row r="2021" spans="1:10" ht="15" hidden="1" customHeight="1">
      <c r="A2021" s="9">
        <v>2017</v>
      </c>
      <c r="B2021" s="10" t="s">
        <v>4961</v>
      </c>
      <c r="C2021" s="10" t="s">
        <v>4962</v>
      </c>
      <c r="D2021" s="10" t="s">
        <v>1004</v>
      </c>
      <c r="E2021" s="10" t="s">
        <v>2457</v>
      </c>
      <c r="F2021" s="10" t="s">
        <v>793</v>
      </c>
      <c r="G2021" s="10"/>
      <c r="H2021" s="10"/>
      <c r="I2021" s="10" t="s">
        <v>793</v>
      </c>
      <c r="J2021" s="10" t="s">
        <v>1004</v>
      </c>
    </row>
    <row r="2022" spans="1:10" ht="15" hidden="1" customHeight="1">
      <c r="A2022" s="9">
        <v>2018</v>
      </c>
      <c r="B2022" s="10" t="s">
        <v>4963</v>
      </c>
      <c r="C2022" s="10" t="s">
        <v>4964</v>
      </c>
      <c r="D2022" s="10" t="s">
        <v>1004</v>
      </c>
      <c r="E2022" s="10" t="s">
        <v>4962</v>
      </c>
      <c r="F2022" s="10" t="s">
        <v>793</v>
      </c>
      <c r="G2022" s="10" t="s">
        <v>2460</v>
      </c>
      <c r="H2022" s="10" t="s">
        <v>1479</v>
      </c>
      <c r="I2022" s="10" t="s">
        <v>793</v>
      </c>
      <c r="J2022" s="10" t="s">
        <v>795</v>
      </c>
    </row>
    <row r="2023" spans="1:10" ht="15" hidden="1" customHeight="1">
      <c r="A2023" s="9">
        <v>2019</v>
      </c>
      <c r="B2023" s="10" t="s">
        <v>4965</v>
      </c>
      <c r="C2023" s="10" t="s">
        <v>4966</v>
      </c>
      <c r="D2023" s="10" t="s">
        <v>1004</v>
      </c>
      <c r="E2023" s="10" t="s">
        <v>2457</v>
      </c>
      <c r="F2023" s="10" t="s">
        <v>793</v>
      </c>
      <c r="G2023" s="10"/>
      <c r="H2023" s="10"/>
      <c r="I2023" s="10" t="s">
        <v>793</v>
      </c>
      <c r="J2023" s="10" t="s">
        <v>1004</v>
      </c>
    </row>
    <row r="2024" spans="1:10" ht="15" hidden="1" customHeight="1">
      <c r="A2024" s="9">
        <v>2020</v>
      </c>
      <c r="B2024" s="10" t="s">
        <v>4967</v>
      </c>
      <c r="C2024" s="10" t="s">
        <v>4968</v>
      </c>
      <c r="D2024" s="10" t="s">
        <v>1004</v>
      </c>
      <c r="E2024" s="10" t="s">
        <v>4966</v>
      </c>
      <c r="F2024" s="10" t="s">
        <v>793</v>
      </c>
      <c r="G2024" s="10" t="s">
        <v>2482</v>
      </c>
      <c r="H2024" s="10" t="s">
        <v>1479</v>
      </c>
      <c r="I2024" s="10" t="s">
        <v>793</v>
      </c>
      <c r="J2024" s="10" t="s">
        <v>1004</v>
      </c>
    </row>
    <row r="2025" spans="1:10" ht="15" hidden="1" customHeight="1">
      <c r="A2025" s="9">
        <v>2021</v>
      </c>
      <c r="B2025" s="10" t="s">
        <v>4969</v>
      </c>
      <c r="C2025" s="10" t="s">
        <v>4970</v>
      </c>
      <c r="D2025" s="10" t="s">
        <v>1004</v>
      </c>
      <c r="E2025" s="10" t="s">
        <v>4966</v>
      </c>
      <c r="F2025" s="10" t="s">
        <v>793</v>
      </c>
      <c r="G2025" s="10" t="s">
        <v>2485</v>
      </c>
      <c r="H2025" s="10" t="s">
        <v>1479</v>
      </c>
      <c r="I2025" s="10" t="s">
        <v>793</v>
      </c>
      <c r="J2025" s="10" t="s">
        <v>1004</v>
      </c>
    </row>
    <row r="2026" spans="1:10" ht="15" hidden="1" customHeight="1">
      <c r="A2026" s="9">
        <v>2022</v>
      </c>
      <c r="B2026" s="10" t="s">
        <v>4971</v>
      </c>
      <c r="C2026" s="10" t="s">
        <v>4972</v>
      </c>
      <c r="D2026" s="10" t="s">
        <v>1004</v>
      </c>
      <c r="E2026" s="10" t="s">
        <v>4962</v>
      </c>
      <c r="F2026" s="10" t="s">
        <v>793</v>
      </c>
      <c r="G2026" s="10" t="s">
        <v>2488</v>
      </c>
      <c r="H2026" s="10" t="s">
        <v>1479</v>
      </c>
      <c r="I2026" s="10" t="s">
        <v>794</v>
      </c>
      <c r="J2026" s="10" t="s">
        <v>1004</v>
      </c>
    </row>
    <row r="2027" spans="1:10" ht="15" hidden="1" customHeight="1">
      <c r="A2027" s="9">
        <v>2023</v>
      </c>
      <c r="B2027" s="10" t="s">
        <v>4973</v>
      </c>
      <c r="C2027" s="10" t="s">
        <v>4974</v>
      </c>
      <c r="D2027" s="10" t="s">
        <v>1004</v>
      </c>
      <c r="E2027" s="10" t="s">
        <v>4966</v>
      </c>
      <c r="F2027" s="10" t="s">
        <v>793</v>
      </c>
      <c r="G2027" s="10" t="s">
        <v>2494</v>
      </c>
      <c r="H2027" s="10" t="s">
        <v>1479</v>
      </c>
      <c r="I2027" s="10" t="s">
        <v>793</v>
      </c>
      <c r="J2027" s="10" t="s">
        <v>1004</v>
      </c>
    </row>
    <row r="2028" spans="1:10" ht="15" hidden="1" customHeight="1">
      <c r="A2028" s="9">
        <v>2024</v>
      </c>
      <c r="B2028" s="10" t="s">
        <v>4975</v>
      </c>
      <c r="C2028" s="10" t="s">
        <v>4976</v>
      </c>
      <c r="D2028" s="10" t="s">
        <v>1460</v>
      </c>
      <c r="E2028" s="10" t="s">
        <v>4325</v>
      </c>
      <c r="F2028" s="10" t="s">
        <v>793</v>
      </c>
      <c r="G2028" s="10"/>
      <c r="H2028" s="10"/>
      <c r="I2028" s="10" t="s">
        <v>794</v>
      </c>
      <c r="J2028" s="10" t="s">
        <v>1460</v>
      </c>
    </row>
    <row r="2029" spans="1:10" ht="15" hidden="1" customHeight="1">
      <c r="A2029" s="9">
        <v>2025</v>
      </c>
      <c r="B2029" s="10" t="s">
        <v>4977</v>
      </c>
      <c r="C2029" s="10" t="s">
        <v>4978</v>
      </c>
      <c r="D2029" s="10" t="s">
        <v>1460</v>
      </c>
      <c r="E2029" s="10" t="s">
        <v>4976</v>
      </c>
      <c r="F2029" s="10" t="s">
        <v>794</v>
      </c>
      <c r="G2029" s="10"/>
      <c r="H2029" s="10"/>
      <c r="I2029" s="10" t="s">
        <v>794</v>
      </c>
      <c r="J2029" s="10" t="s">
        <v>1460</v>
      </c>
    </row>
    <row r="2030" spans="1:10" ht="15" hidden="1" customHeight="1">
      <c r="A2030" s="9">
        <v>2026</v>
      </c>
      <c r="B2030" s="10" t="s">
        <v>4979</v>
      </c>
      <c r="C2030" s="10" t="s">
        <v>4980</v>
      </c>
      <c r="D2030" s="10" t="s">
        <v>1460</v>
      </c>
      <c r="E2030" s="10" t="s">
        <v>4976</v>
      </c>
      <c r="F2030" s="10" t="s">
        <v>793</v>
      </c>
      <c r="G2030" s="10" t="s">
        <v>2517</v>
      </c>
      <c r="H2030" s="10" t="s">
        <v>1479</v>
      </c>
      <c r="I2030" s="10" t="s">
        <v>793</v>
      </c>
      <c r="J2030" s="10" t="s">
        <v>1460</v>
      </c>
    </row>
    <row r="2031" spans="1:10" ht="15" hidden="1" customHeight="1">
      <c r="A2031" s="9">
        <v>2027</v>
      </c>
      <c r="B2031" s="10" t="s">
        <v>4981</v>
      </c>
      <c r="C2031" s="10" t="s">
        <v>4982</v>
      </c>
      <c r="D2031" s="10" t="s">
        <v>1004</v>
      </c>
      <c r="E2031" s="10" t="s">
        <v>4983</v>
      </c>
      <c r="F2031" s="10" t="s">
        <v>793</v>
      </c>
      <c r="G2031" s="10" t="s">
        <v>2476</v>
      </c>
      <c r="H2031" s="10" t="s">
        <v>2477</v>
      </c>
      <c r="I2031" s="10" t="s">
        <v>794</v>
      </c>
      <c r="J2031" s="10" t="s">
        <v>1004</v>
      </c>
    </row>
    <row r="2032" spans="1:10" ht="15" hidden="1" customHeight="1">
      <c r="A2032" s="9">
        <v>2028</v>
      </c>
      <c r="B2032" s="10" t="s">
        <v>4984</v>
      </c>
      <c r="C2032" s="10" t="s">
        <v>4985</v>
      </c>
      <c r="D2032" s="10" t="s">
        <v>1004</v>
      </c>
      <c r="E2032" s="10" t="s">
        <v>4983</v>
      </c>
      <c r="F2032" s="10" t="s">
        <v>793</v>
      </c>
      <c r="G2032" s="10" t="s">
        <v>2538</v>
      </c>
      <c r="H2032" s="10" t="s">
        <v>1479</v>
      </c>
      <c r="I2032" s="10" t="s">
        <v>794</v>
      </c>
      <c r="J2032" s="10" t="s">
        <v>1004</v>
      </c>
    </row>
    <row r="2033" spans="1:10" ht="15" hidden="1" customHeight="1">
      <c r="A2033" s="9">
        <v>2029</v>
      </c>
      <c r="B2033" s="10" t="s">
        <v>4986</v>
      </c>
      <c r="C2033" s="10" t="s">
        <v>4987</v>
      </c>
      <c r="D2033" s="10" t="s">
        <v>1004</v>
      </c>
      <c r="E2033" s="10" t="s">
        <v>4983</v>
      </c>
      <c r="F2033" s="10" t="s">
        <v>793</v>
      </c>
      <c r="G2033" s="10" t="s">
        <v>2549</v>
      </c>
      <c r="H2033" s="10" t="s">
        <v>1479</v>
      </c>
      <c r="I2033" s="10" t="s">
        <v>794</v>
      </c>
      <c r="J2033" s="10" t="s">
        <v>1004</v>
      </c>
    </row>
    <row r="2034" spans="1:10" ht="15" hidden="1" customHeight="1">
      <c r="A2034" s="9">
        <v>2030</v>
      </c>
      <c r="B2034" s="10" t="s">
        <v>4988</v>
      </c>
      <c r="C2034" s="10" t="s">
        <v>4989</v>
      </c>
      <c r="D2034" s="10" t="s">
        <v>1460</v>
      </c>
      <c r="E2034" s="10" t="s">
        <v>2509</v>
      </c>
      <c r="F2034" s="10" t="s">
        <v>794</v>
      </c>
      <c r="G2034" s="10"/>
      <c r="H2034" s="10"/>
      <c r="I2034" s="10" t="s">
        <v>794</v>
      </c>
      <c r="J2034" s="10" t="s">
        <v>1460</v>
      </c>
    </row>
    <row r="2035" spans="1:10" ht="15" hidden="1" customHeight="1">
      <c r="A2035" s="9">
        <v>2031</v>
      </c>
      <c r="B2035" s="10" t="s">
        <v>4990</v>
      </c>
      <c r="C2035" s="10" t="s">
        <v>4983</v>
      </c>
      <c r="D2035" s="10" t="s">
        <v>1004</v>
      </c>
      <c r="E2035" s="10" t="s">
        <v>4989</v>
      </c>
      <c r="F2035" s="10" t="s">
        <v>793</v>
      </c>
      <c r="G2035" s="10" t="s">
        <v>2476</v>
      </c>
      <c r="H2035" s="10" t="s">
        <v>2477</v>
      </c>
      <c r="I2035" s="10" t="s">
        <v>794</v>
      </c>
      <c r="J2035" s="10" t="s">
        <v>1004</v>
      </c>
    </row>
    <row r="2036" spans="1:10" ht="15" hidden="1" customHeight="1">
      <c r="A2036" s="9">
        <v>2032</v>
      </c>
      <c r="B2036" s="10" t="s">
        <v>4991</v>
      </c>
      <c r="C2036" s="10" t="s">
        <v>4992</v>
      </c>
      <c r="D2036" s="10" t="s">
        <v>1004</v>
      </c>
      <c r="E2036" s="10" t="s">
        <v>4964</v>
      </c>
      <c r="F2036" s="10" t="s">
        <v>794</v>
      </c>
      <c r="G2036" s="10" t="s">
        <v>2460</v>
      </c>
      <c r="H2036" s="10" t="s">
        <v>1479</v>
      </c>
      <c r="I2036" s="10" t="s">
        <v>793</v>
      </c>
      <c r="J2036" s="10" t="s">
        <v>4993</v>
      </c>
    </row>
    <row r="2037" spans="1:10" ht="15" hidden="1" customHeight="1">
      <c r="A2037" s="9">
        <v>2033</v>
      </c>
      <c r="B2037" s="10" t="s">
        <v>4994</v>
      </c>
      <c r="C2037" s="10" t="s">
        <v>4995</v>
      </c>
      <c r="D2037" s="10" t="s">
        <v>1004</v>
      </c>
      <c r="E2037" s="10" t="s">
        <v>4964</v>
      </c>
      <c r="F2037" s="10" t="s">
        <v>794</v>
      </c>
      <c r="G2037" s="10" t="s">
        <v>2460</v>
      </c>
      <c r="H2037" s="10" t="s">
        <v>1479</v>
      </c>
      <c r="I2037" s="10" t="s">
        <v>793</v>
      </c>
      <c r="J2037" s="10" t="s">
        <v>4993</v>
      </c>
    </row>
    <row r="2038" spans="1:10" ht="15" hidden="1" customHeight="1">
      <c r="A2038" s="9">
        <v>2034</v>
      </c>
      <c r="B2038" s="10" t="s">
        <v>4996</v>
      </c>
      <c r="C2038" s="10" t="s">
        <v>4997</v>
      </c>
      <c r="D2038" s="10" t="s">
        <v>1004</v>
      </c>
      <c r="E2038" s="10" t="s">
        <v>4964</v>
      </c>
      <c r="F2038" s="10" t="s">
        <v>794</v>
      </c>
      <c r="G2038" s="10" t="s">
        <v>2460</v>
      </c>
      <c r="H2038" s="10" t="s">
        <v>1479</v>
      </c>
      <c r="I2038" s="10" t="s">
        <v>793</v>
      </c>
      <c r="J2038" s="10" t="s">
        <v>4993</v>
      </c>
    </row>
    <row r="2039" spans="1:10" ht="15" hidden="1" customHeight="1">
      <c r="A2039" s="9">
        <v>2035</v>
      </c>
      <c r="B2039" s="10" t="s">
        <v>4998</v>
      </c>
      <c r="C2039" s="10" t="s">
        <v>4999</v>
      </c>
      <c r="D2039" s="10" t="s">
        <v>1004</v>
      </c>
      <c r="E2039" s="10" t="s">
        <v>4964</v>
      </c>
      <c r="F2039" s="10" t="s">
        <v>794</v>
      </c>
      <c r="G2039" s="10" t="s">
        <v>2460</v>
      </c>
      <c r="H2039" s="10" t="s">
        <v>1479</v>
      </c>
      <c r="I2039" s="10" t="s">
        <v>793</v>
      </c>
      <c r="J2039" s="10" t="s">
        <v>4993</v>
      </c>
    </row>
    <row r="2040" spans="1:10" ht="15" hidden="1" customHeight="1">
      <c r="A2040" s="9">
        <v>2036</v>
      </c>
      <c r="B2040" s="10" t="s">
        <v>5000</v>
      </c>
      <c r="C2040" s="10" t="s">
        <v>5001</v>
      </c>
      <c r="D2040" s="10" t="s">
        <v>1004</v>
      </c>
      <c r="E2040" s="10" t="s">
        <v>4964</v>
      </c>
      <c r="F2040" s="10" t="s">
        <v>794</v>
      </c>
      <c r="G2040" s="10" t="s">
        <v>2460</v>
      </c>
      <c r="H2040" s="10" t="s">
        <v>1479</v>
      </c>
      <c r="I2040" s="10" t="s">
        <v>793</v>
      </c>
      <c r="J2040" s="10" t="s">
        <v>4993</v>
      </c>
    </row>
    <row r="2041" spans="1:10" ht="15" hidden="1" customHeight="1">
      <c r="A2041" s="9">
        <v>2037</v>
      </c>
      <c r="B2041" s="10" t="s">
        <v>5002</v>
      </c>
      <c r="C2041" s="10" t="s">
        <v>5003</v>
      </c>
      <c r="D2041" s="10" t="s">
        <v>1004</v>
      </c>
      <c r="E2041" s="10" t="s">
        <v>4964</v>
      </c>
      <c r="F2041" s="10" t="s">
        <v>794</v>
      </c>
      <c r="G2041" s="10" t="s">
        <v>2460</v>
      </c>
      <c r="H2041" s="10" t="s">
        <v>1479</v>
      </c>
      <c r="I2041" s="10" t="s">
        <v>793</v>
      </c>
      <c r="J2041" s="10" t="s">
        <v>4993</v>
      </c>
    </row>
    <row r="2042" spans="1:10" ht="15" hidden="1" customHeight="1">
      <c r="A2042" s="9">
        <v>2038</v>
      </c>
      <c r="B2042" s="10" t="s">
        <v>5004</v>
      </c>
      <c r="C2042" s="10" t="s">
        <v>5005</v>
      </c>
      <c r="D2042" s="10" t="s">
        <v>1004</v>
      </c>
      <c r="E2042" s="10" t="s">
        <v>4964</v>
      </c>
      <c r="F2042" s="10" t="s">
        <v>794</v>
      </c>
      <c r="G2042" s="10" t="s">
        <v>2460</v>
      </c>
      <c r="H2042" s="10" t="s">
        <v>1479</v>
      </c>
      <c r="I2042" s="10" t="s">
        <v>793</v>
      </c>
      <c r="J2042" s="10" t="s">
        <v>4993</v>
      </c>
    </row>
    <row r="2043" spans="1:10" ht="15" hidden="1" customHeight="1">
      <c r="A2043" s="9">
        <v>2039</v>
      </c>
      <c r="B2043" s="10" t="s">
        <v>5006</v>
      </c>
      <c r="C2043" s="10" t="s">
        <v>5007</v>
      </c>
      <c r="D2043" s="10" t="s">
        <v>1004</v>
      </c>
      <c r="E2043" s="10" t="s">
        <v>2459</v>
      </c>
      <c r="F2043" s="10" t="s">
        <v>794</v>
      </c>
      <c r="G2043" s="10" t="s">
        <v>2460</v>
      </c>
      <c r="H2043" s="10" t="s">
        <v>1479</v>
      </c>
      <c r="I2043" s="10" t="s">
        <v>793</v>
      </c>
      <c r="J2043" s="10" t="s">
        <v>1004</v>
      </c>
    </row>
    <row r="2044" spans="1:10" ht="15" hidden="1" customHeight="1">
      <c r="A2044" s="9">
        <v>2040</v>
      </c>
      <c r="B2044" s="10" t="s">
        <v>5008</v>
      </c>
      <c r="C2044" s="10" t="s">
        <v>5009</v>
      </c>
      <c r="D2044" s="10" t="s">
        <v>1004</v>
      </c>
      <c r="E2044" s="10" t="s">
        <v>4964</v>
      </c>
      <c r="F2044" s="10" t="s">
        <v>794</v>
      </c>
      <c r="G2044" s="10" t="s">
        <v>2460</v>
      </c>
      <c r="H2044" s="10" t="s">
        <v>1479</v>
      </c>
      <c r="I2044" s="10" t="s">
        <v>793</v>
      </c>
      <c r="J2044" s="10" t="s">
        <v>4993</v>
      </c>
    </row>
    <row r="2045" spans="1:10" ht="15" hidden="1" customHeight="1">
      <c r="A2045" s="9">
        <v>2041</v>
      </c>
      <c r="B2045" s="10" t="s">
        <v>5010</v>
      </c>
      <c r="C2045" s="10" t="s">
        <v>5011</v>
      </c>
      <c r="D2045" s="10" t="s">
        <v>1004</v>
      </c>
      <c r="E2045" s="10" t="s">
        <v>4964</v>
      </c>
      <c r="F2045" s="10" t="s">
        <v>794</v>
      </c>
      <c r="G2045" s="10" t="s">
        <v>2460</v>
      </c>
      <c r="H2045" s="10" t="s">
        <v>1479</v>
      </c>
      <c r="I2045" s="10" t="s">
        <v>793</v>
      </c>
      <c r="J2045" s="10" t="s">
        <v>4993</v>
      </c>
    </row>
    <row r="2046" spans="1:10" ht="15" hidden="1" customHeight="1">
      <c r="A2046" s="9">
        <v>2042</v>
      </c>
      <c r="B2046" s="10" t="s">
        <v>5012</v>
      </c>
      <c r="C2046" s="10" t="s">
        <v>5013</v>
      </c>
      <c r="D2046" s="10" t="s">
        <v>1004</v>
      </c>
      <c r="E2046" s="10" t="s">
        <v>4964</v>
      </c>
      <c r="F2046" s="10" t="s">
        <v>794</v>
      </c>
      <c r="G2046" s="10" t="s">
        <v>2460</v>
      </c>
      <c r="H2046" s="10" t="s">
        <v>1479</v>
      </c>
      <c r="I2046" s="10" t="s">
        <v>793</v>
      </c>
      <c r="J2046" s="10" t="s">
        <v>4993</v>
      </c>
    </row>
    <row r="2047" spans="1:10" ht="15" hidden="1" customHeight="1">
      <c r="A2047" s="9">
        <v>2043</v>
      </c>
      <c r="B2047" s="10" t="s">
        <v>5014</v>
      </c>
      <c r="C2047" s="10" t="s">
        <v>5015</v>
      </c>
      <c r="D2047" s="10" t="s">
        <v>1004</v>
      </c>
      <c r="E2047" s="10" t="s">
        <v>4964</v>
      </c>
      <c r="F2047" s="10" t="s">
        <v>794</v>
      </c>
      <c r="G2047" s="10" t="s">
        <v>2460</v>
      </c>
      <c r="H2047" s="10" t="s">
        <v>1479</v>
      </c>
      <c r="I2047" s="10" t="s">
        <v>793</v>
      </c>
      <c r="J2047" s="10" t="s">
        <v>4993</v>
      </c>
    </row>
    <row r="2048" spans="1:10" ht="15" hidden="1" customHeight="1">
      <c r="A2048" s="9">
        <v>2044</v>
      </c>
      <c r="B2048" s="10" t="s">
        <v>5016</v>
      </c>
      <c r="C2048" s="10" t="s">
        <v>5017</v>
      </c>
      <c r="D2048" s="10" t="s">
        <v>1004</v>
      </c>
      <c r="E2048" s="10" t="s">
        <v>4964</v>
      </c>
      <c r="F2048" s="10" t="s">
        <v>794</v>
      </c>
      <c r="G2048" s="10" t="s">
        <v>2460</v>
      </c>
      <c r="H2048" s="10" t="s">
        <v>1479</v>
      </c>
      <c r="I2048" s="10" t="s">
        <v>793</v>
      </c>
      <c r="J2048" s="10" t="s">
        <v>4993</v>
      </c>
    </row>
    <row r="2049" spans="1:10" ht="15" hidden="1" customHeight="1">
      <c r="A2049" s="9">
        <v>2045</v>
      </c>
      <c r="B2049" s="10" t="s">
        <v>5018</v>
      </c>
      <c r="C2049" s="10" t="s">
        <v>5019</v>
      </c>
      <c r="D2049" s="10" t="s">
        <v>1004</v>
      </c>
      <c r="E2049" s="10" t="s">
        <v>4964</v>
      </c>
      <c r="F2049" s="10" t="s">
        <v>794</v>
      </c>
      <c r="G2049" s="10" t="s">
        <v>2460</v>
      </c>
      <c r="H2049" s="10" t="s">
        <v>1479</v>
      </c>
      <c r="I2049" s="10" t="s">
        <v>793</v>
      </c>
      <c r="J2049" s="10" t="s">
        <v>4993</v>
      </c>
    </row>
    <row r="2050" spans="1:10" ht="15" hidden="1" customHeight="1">
      <c r="A2050" s="9">
        <v>2046</v>
      </c>
      <c r="B2050" s="10" t="s">
        <v>5020</v>
      </c>
      <c r="C2050" s="10" t="s">
        <v>5021</v>
      </c>
      <c r="D2050" s="10" t="s">
        <v>1004</v>
      </c>
      <c r="E2050" s="10" t="s">
        <v>4964</v>
      </c>
      <c r="F2050" s="10" t="s">
        <v>794</v>
      </c>
      <c r="G2050" s="10" t="s">
        <v>2460</v>
      </c>
      <c r="H2050" s="10" t="s">
        <v>1479</v>
      </c>
      <c r="I2050" s="10" t="s">
        <v>793</v>
      </c>
      <c r="J2050" s="10" t="s">
        <v>4993</v>
      </c>
    </row>
    <row r="2051" spans="1:10" ht="15" hidden="1" customHeight="1">
      <c r="A2051" s="9">
        <v>2047</v>
      </c>
      <c r="B2051" s="10" t="s">
        <v>5022</v>
      </c>
      <c r="C2051" s="10" t="s">
        <v>5023</v>
      </c>
      <c r="D2051" s="10" t="s">
        <v>1004</v>
      </c>
      <c r="E2051" s="10" t="s">
        <v>4964</v>
      </c>
      <c r="F2051" s="10" t="s">
        <v>794</v>
      </c>
      <c r="G2051" s="10" t="s">
        <v>2460</v>
      </c>
      <c r="H2051" s="10" t="s">
        <v>1479</v>
      </c>
      <c r="I2051" s="10" t="s">
        <v>793</v>
      </c>
      <c r="J2051" s="10" t="s">
        <v>4993</v>
      </c>
    </row>
    <row r="2052" spans="1:10" ht="15" hidden="1" customHeight="1">
      <c r="A2052" s="9">
        <v>2048</v>
      </c>
      <c r="B2052" s="10" t="s">
        <v>5024</v>
      </c>
      <c r="C2052" s="10" t="s">
        <v>5025</v>
      </c>
      <c r="D2052" s="10" t="s">
        <v>1004</v>
      </c>
      <c r="E2052" s="10" t="s">
        <v>4964</v>
      </c>
      <c r="F2052" s="10" t="s">
        <v>794</v>
      </c>
      <c r="G2052" s="10" t="s">
        <v>2460</v>
      </c>
      <c r="H2052" s="10" t="s">
        <v>1479</v>
      </c>
      <c r="I2052" s="10" t="s">
        <v>793</v>
      </c>
      <c r="J2052" s="10" t="s">
        <v>4993</v>
      </c>
    </row>
    <row r="2053" spans="1:10" ht="15" hidden="1" customHeight="1">
      <c r="A2053" s="9">
        <v>2049</v>
      </c>
      <c r="B2053" s="10" t="s">
        <v>5026</v>
      </c>
      <c r="C2053" s="10" t="s">
        <v>5027</v>
      </c>
      <c r="D2053" s="10" t="s">
        <v>1004</v>
      </c>
      <c r="E2053" s="10" t="s">
        <v>4964</v>
      </c>
      <c r="F2053" s="10" t="s">
        <v>794</v>
      </c>
      <c r="G2053" s="10" t="s">
        <v>2460</v>
      </c>
      <c r="H2053" s="10" t="s">
        <v>1479</v>
      </c>
      <c r="I2053" s="10" t="s">
        <v>793</v>
      </c>
      <c r="J2053" s="10" t="s">
        <v>4993</v>
      </c>
    </row>
    <row r="2054" spans="1:10" ht="15" hidden="1" customHeight="1">
      <c r="A2054" s="9">
        <v>2050</v>
      </c>
      <c r="B2054" s="10" t="s">
        <v>5028</v>
      </c>
      <c r="C2054" s="10" t="s">
        <v>5029</v>
      </c>
      <c r="D2054" s="10" t="s">
        <v>1004</v>
      </c>
      <c r="E2054" s="10" t="s">
        <v>4964</v>
      </c>
      <c r="F2054" s="10" t="s">
        <v>794</v>
      </c>
      <c r="G2054" s="10" t="s">
        <v>2460</v>
      </c>
      <c r="H2054" s="10" t="s">
        <v>1479</v>
      </c>
      <c r="I2054" s="10" t="s">
        <v>793</v>
      </c>
      <c r="J2054" s="10" t="s">
        <v>4993</v>
      </c>
    </row>
    <row r="2055" spans="1:10" ht="15" hidden="1" customHeight="1">
      <c r="A2055" s="9">
        <v>2051</v>
      </c>
      <c r="B2055" s="10" t="s">
        <v>5030</v>
      </c>
      <c r="C2055" s="10" t="s">
        <v>5031</v>
      </c>
      <c r="D2055" s="10" t="s">
        <v>1004</v>
      </c>
      <c r="E2055" s="10" t="s">
        <v>4956</v>
      </c>
      <c r="F2055" s="10" t="s">
        <v>794</v>
      </c>
      <c r="G2055" s="10" t="s">
        <v>2463</v>
      </c>
      <c r="H2055" s="10" t="s">
        <v>1479</v>
      </c>
      <c r="I2055" s="10" t="s">
        <v>793</v>
      </c>
      <c r="J2055" s="10" t="s">
        <v>2672</v>
      </c>
    </row>
    <row r="2056" spans="1:10" ht="15" hidden="1" customHeight="1">
      <c r="A2056" s="9">
        <v>2052</v>
      </c>
      <c r="B2056" s="10" t="s">
        <v>5032</v>
      </c>
      <c r="C2056" s="10" t="s">
        <v>5033</v>
      </c>
      <c r="D2056" s="10" t="s">
        <v>1004</v>
      </c>
      <c r="E2056" s="10" t="s">
        <v>4956</v>
      </c>
      <c r="F2056" s="10" t="s">
        <v>794</v>
      </c>
      <c r="G2056" s="10" t="s">
        <v>2463</v>
      </c>
      <c r="H2056" s="10" t="s">
        <v>1479</v>
      </c>
      <c r="I2056" s="10" t="s">
        <v>793</v>
      </c>
      <c r="J2056" s="10" t="s">
        <v>2672</v>
      </c>
    </row>
    <row r="2057" spans="1:10" ht="15" hidden="1" customHeight="1">
      <c r="A2057" s="9">
        <v>2053</v>
      </c>
      <c r="B2057" s="10" t="s">
        <v>5034</v>
      </c>
      <c r="C2057" s="10" t="s">
        <v>5035</v>
      </c>
      <c r="D2057" s="10" t="s">
        <v>1004</v>
      </c>
      <c r="E2057" s="10" t="s">
        <v>4956</v>
      </c>
      <c r="F2057" s="10" t="s">
        <v>794</v>
      </c>
      <c r="G2057" s="10" t="s">
        <v>2463</v>
      </c>
      <c r="H2057" s="10" t="s">
        <v>1479</v>
      </c>
      <c r="I2057" s="10" t="s">
        <v>793</v>
      </c>
      <c r="J2057" s="10" t="s">
        <v>2672</v>
      </c>
    </row>
    <row r="2058" spans="1:10" ht="15" hidden="1" customHeight="1">
      <c r="A2058" s="9">
        <v>2054</v>
      </c>
      <c r="B2058" s="10" t="s">
        <v>5036</v>
      </c>
      <c r="C2058" s="10" t="s">
        <v>5037</v>
      </c>
      <c r="D2058" s="10" t="s">
        <v>1004</v>
      </c>
      <c r="E2058" s="10" t="s">
        <v>4956</v>
      </c>
      <c r="F2058" s="10" t="s">
        <v>794</v>
      </c>
      <c r="G2058" s="10" t="s">
        <v>2463</v>
      </c>
      <c r="H2058" s="10" t="s">
        <v>1479</v>
      </c>
      <c r="I2058" s="10" t="s">
        <v>793</v>
      </c>
      <c r="J2058" s="10" t="s">
        <v>2672</v>
      </c>
    </row>
    <row r="2059" spans="1:10" ht="15" hidden="1" customHeight="1">
      <c r="A2059" s="9">
        <v>2055</v>
      </c>
      <c r="B2059" s="10" t="s">
        <v>5038</v>
      </c>
      <c r="C2059" s="10" t="s">
        <v>5039</v>
      </c>
      <c r="D2059" s="10" t="s">
        <v>1004</v>
      </c>
      <c r="E2059" s="10" t="s">
        <v>4956</v>
      </c>
      <c r="F2059" s="10" t="s">
        <v>794</v>
      </c>
      <c r="G2059" s="10" t="s">
        <v>2463</v>
      </c>
      <c r="H2059" s="10" t="s">
        <v>1479</v>
      </c>
      <c r="I2059" s="10" t="s">
        <v>793</v>
      </c>
      <c r="J2059" s="10" t="s">
        <v>2672</v>
      </c>
    </row>
    <row r="2060" spans="1:10" ht="15" hidden="1" customHeight="1">
      <c r="A2060" s="9">
        <v>2056</v>
      </c>
      <c r="B2060" s="10" t="s">
        <v>5040</v>
      </c>
      <c r="C2060" s="10" t="s">
        <v>5041</v>
      </c>
      <c r="D2060" s="10" t="s">
        <v>1004</v>
      </c>
      <c r="E2060" s="10" t="s">
        <v>4956</v>
      </c>
      <c r="F2060" s="10" t="s">
        <v>794</v>
      </c>
      <c r="G2060" s="10" t="s">
        <v>2463</v>
      </c>
      <c r="H2060" s="10" t="s">
        <v>1479</v>
      </c>
      <c r="I2060" s="10" t="s">
        <v>793</v>
      </c>
      <c r="J2060" s="10" t="s">
        <v>2672</v>
      </c>
    </row>
    <row r="2061" spans="1:10" ht="15" hidden="1" customHeight="1">
      <c r="A2061" s="9">
        <v>2057</v>
      </c>
      <c r="B2061" s="10" t="s">
        <v>5042</v>
      </c>
      <c r="C2061" s="10" t="s">
        <v>5043</v>
      </c>
      <c r="D2061" s="10" t="s">
        <v>1004</v>
      </c>
      <c r="E2061" s="10" t="s">
        <v>4956</v>
      </c>
      <c r="F2061" s="10" t="s">
        <v>794</v>
      </c>
      <c r="G2061" s="10" t="s">
        <v>2463</v>
      </c>
      <c r="H2061" s="10" t="s">
        <v>1479</v>
      </c>
      <c r="I2061" s="10" t="s">
        <v>793</v>
      </c>
      <c r="J2061" s="10" t="s">
        <v>2672</v>
      </c>
    </row>
    <row r="2062" spans="1:10" ht="15" hidden="1" customHeight="1">
      <c r="A2062" s="9">
        <v>2058</v>
      </c>
      <c r="B2062" s="10" t="s">
        <v>5044</v>
      </c>
      <c r="C2062" s="10" t="s">
        <v>5045</v>
      </c>
      <c r="D2062" s="10" t="s">
        <v>1004</v>
      </c>
      <c r="E2062" s="10" t="s">
        <v>4956</v>
      </c>
      <c r="F2062" s="10" t="s">
        <v>794</v>
      </c>
      <c r="G2062" s="10" t="s">
        <v>2463</v>
      </c>
      <c r="H2062" s="10" t="s">
        <v>1479</v>
      </c>
      <c r="I2062" s="10" t="s">
        <v>793</v>
      </c>
      <c r="J2062" s="10" t="s">
        <v>1004</v>
      </c>
    </row>
    <row r="2063" spans="1:10" ht="15" hidden="1" customHeight="1">
      <c r="A2063" s="9">
        <v>2059</v>
      </c>
      <c r="B2063" s="10" t="s">
        <v>5046</v>
      </c>
      <c r="C2063" s="10" t="s">
        <v>5047</v>
      </c>
      <c r="D2063" s="10" t="s">
        <v>1004</v>
      </c>
      <c r="E2063" s="10" t="s">
        <v>4956</v>
      </c>
      <c r="F2063" s="10" t="s">
        <v>794</v>
      </c>
      <c r="G2063" s="10" t="s">
        <v>2463</v>
      </c>
      <c r="H2063" s="10" t="s">
        <v>1479</v>
      </c>
      <c r="I2063" s="10" t="s">
        <v>793</v>
      </c>
      <c r="J2063" s="10" t="s">
        <v>1004</v>
      </c>
    </row>
    <row r="2064" spans="1:10" ht="15" hidden="1" customHeight="1">
      <c r="A2064" s="9">
        <v>2060</v>
      </c>
      <c r="B2064" s="10" t="s">
        <v>5048</v>
      </c>
      <c r="C2064" s="10" t="s">
        <v>5049</v>
      </c>
      <c r="D2064" s="10" t="s">
        <v>1004</v>
      </c>
      <c r="E2064" s="10" t="s">
        <v>4956</v>
      </c>
      <c r="F2064" s="10" t="s">
        <v>794</v>
      </c>
      <c r="G2064" s="10" t="s">
        <v>2463</v>
      </c>
      <c r="H2064" s="10" t="s">
        <v>1479</v>
      </c>
      <c r="I2064" s="10" t="s">
        <v>793</v>
      </c>
      <c r="J2064" s="10" t="s">
        <v>1004</v>
      </c>
    </row>
    <row r="2065" spans="1:10" ht="15" hidden="1" customHeight="1">
      <c r="A2065" s="9">
        <v>2061</v>
      </c>
      <c r="B2065" s="10" t="s">
        <v>5050</v>
      </c>
      <c r="C2065" s="10" t="s">
        <v>5051</v>
      </c>
      <c r="D2065" s="10" t="s">
        <v>1004</v>
      </c>
      <c r="E2065" s="10" t="s">
        <v>4958</v>
      </c>
      <c r="F2065" s="10" t="s">
        <v>794</v>
      </c>
      <c r="G2065" s="10" t="s">
        <v>2463</v>
      </c>
      <c r="H2065" s="10" t="s">
        <v>1479</v>
      </c>
      <c r="I2065" s="10" t="s">
        <v>793</v>
      </c>
      <c r="J2065" s="10" t="s">
        <v>1004</v>
      </c>
    </row>
    <row r="2066" spans="1:10" ht="15" hidden="1" customHeight="1">
      <c r="A2066" s="9">
        <v>2062</v>
      </c>
      <c r="B2066" s="10" t="s">
        <v>5052</v>
      </c>
      <c r="C2066" s="10" t="s">
        <v>5053</v>
      </c>
      <c r="D2066" s="10" t="s">
        <v>1004</v>
      </c>
      <c r="E2066" s="10" t="s">
        <v>4956</v>
      </c>
      <c r="F2066" s="10" t="s">
        <v>794</v>
      </c>
      <c r="G2066" s="10" t="s">
        <v>2463</v>
      </c>
      <c r="H2066" s="10" t="s">
        <v>1479</v>
      </c>
      <c r="I2066" s="10" t="s">
        <v>794</v>
      </c>
      <c r="J2066" s="10" t="s">
        <v>1004</v>
      </c>
    </row>
    <row r="2067" spans="1:10" ht="15" hidden="1" customHeight="1">
      <c r="A2067" s="9">
        <v>2063</v>
      </c>
      <c r="B2067" s="10" t="s">
        <v>5054</v>
      </c>
      <c r="C2067" s="10" t="s">
        <v>5055</v>
      </c>
      <c r="D2067" s="10" t="s">
        <v>1004</v>
      </c>
      <c r="E2067" s="10" t="s">
        <v>4960</v>
      </c>
      <c r="F2067" s="10" t="s">
        <v>794</v>
      </c>
      <c r="G2067" s="10" t="s">
        <v>2469</v>
      </c>
      <c r="H2067" s="10" t="s">
        <v>1479</v>
      </c>
      <c r="I2067" s="10" t="s">
        <v>793</v>
      </c>
      <c r="J2067" s="10" t="s">
        <v>1004</v>
      </c>
    </row>
    <row r="2068" spans="1:10" ht="15" hidden="1" customHeight="1">
      <c r="A2068" s="9">
        <v>2064</v>
      </c>
      <c r="B2068" s="10" t="s">
        <v>5056</v>
      </c>
      <c r="C2068" s="10" t="s">
        <v>5057</v>
      </c>
      <c r="D2068" s="10" t="s">
        <v>1004</v>
      </c>
      <c r="E2068" s="10" t="s">
        <v>4960</v>
      </c>
      <c r="F2068" s="10" t="s">
        <v>794</v>
      </c>
      <c r="G2068" s="10" t="s">
        <v>2469</v>
      </c>
      <c r="H2068" s="10" t="s">
        <v>1479</v>
      </c>
      <c r="I2068" s="10" t="s">
        <v>793</v>
      </c>
      <c r="J2068" s="10" t="s">
        <v>1004</v>
      </c>
    </row>
    <row r="2069" spans="1:10" ht="15" hidden="1" customHeight="1">
      <c r="A2069" s="9">
        <v>2065</v>
      </c>
      <c r="B2069" s="10" t="s">
        <v>5058</v>
      </c>
      <c r="C2069" s="10" t="s">
        <v>5059</v>
      </c>
      <c r="D2069" s="10" t="s">
        <v>1004</v>
      </c>
      <c r="E2069" s="10" t="s">
        <v>4960</v>
      </c>
      <c r="F2069" s="10" t="s">
        <v>794</v>
      </c>
      <c r="G2069" s="10" t="s">
        <v>2469</v>
      </c>
      <c r="H2069" s="10" t="s">
        <v>1479</v>
      </c>
      <c r="I2069" s="10" t="s">
        <v>793</v>
      </c>
      <c r="J2069" s="10" t="s">
        <v>1004</v>
      </c>
    </row>
    <row r="2070" spans="1:10" ht="15" hidden="1" customHeight="1">
      <c r="A2070" s="9">
        <v>2066</v>
      </c>
      <c r="B2070" s="10" t="s">
        <v>5060</v>
      </c>
      <c r="C2070" s="10" t="s">
        <v>5061</v>
      </c>
      <c r="D2070" s="10" t="s">
        <v>1004</v>
      </c>
      <c r="E2070" s="10" t="s">
        <v>4960</v>
      </c>
      <c r="F2070" s="10" t="s">
        <v>794</v>
      </c>
      <c r="G2070" s="10" t="s">
        <v>2469</v>
      </c>
      <c r="H2070" s="10" t="s">
        <v>1479</v>
      </c>
      <c r="I2070" s="10" t="s">
        <v>793</v>
      </c>
      <c r="J2070" s="10" t="s">
        <v>1004</v>
      </c>
    </row>
    <row r="2071" spans="1:10" ht="15" hidden="1" customHeight="1">
      <c r="A2071" s="9">
        <v>2067</v>
      </c>
      <c r="B2071" s="10" t="s">
        <v>5062</v>
      </c>
      <c r="C2071" s="10" t="s">
        <v>5063</v>
      </c>
      <c r="D2071" s="10" t="s">
        <v>1004</v>
      </c>
      <c r="E2071" s="10" t="s">
        <v>4960</v>
      </c>
      <c r="F2071" s="10" t="s">
        <v>794</v>
      </c>
      <c r="G2071" s="10" t="s">
        <v>2469</v>
      </c>
      <c r="H2071" s="10" t="s">
        <v>1479</v>
      </c>
      <c r="I2071" s="10" t="s">
        <v>793</v>
      </c>
      <c r="J2071" s="10" t="s">
        <v>1004</v>
      </c>
    </row>
    <row r="2072" spans="1:10" ht="15" hidden="1" customHeight="1">
      <c r="A2072" s="9">
        <v>2068</v>
      </c>
      <c r="B2072" s="10" t="s">
        <v>5064</v>
      </c>
      <c r="C2072" s="10" t="s">
        <v>5065</v>
      </c>
      <c r="D2072" s="10" t="s">
        <v>1004</v>
      </c>
      <c r="E2072" s="10" t="s">
        <v>4960</v>
      </c>
      <c r="F2072" s="10" t="s">
        <v>794</v>
      </c>
      <c r="G2072" s="10" t="s">
        <v>2469</v>
      </c>
      <c r="H2072" s="10" t="s">
        <v>1479</v>
      </c>
      <c r="I2072" s="10" t="s">
        <v>793</v>
      </c>
      <c r="J2072" s="10" t="s">
        <v>1004</v>
      </c>
    </row>
    <row r="2073" spans="1:10" ht="15" hidden="1" customHeight="1">
      <c r="A2073" s="9">
        <v>2069</v>
      </c>
      <c r="B2073" s="10" t="s">
        <v>5066</v>
      </c>
      <c r="C2073" s="10" t="s">
        <v>5067</v>
      </c>
      <c r="D2073" s="10" t="s">
        <v>1004</v>
      </c>
      <c r="E2073" s="10" t="s">
        <v>4960</v>
      </c>
      <c r="F2073" s="10" t="s">
        <v>794</v>
      </c>
      <c r="G2073" s="10" t="s">
        <v>2469</v>
      </c>
      <c r="H2073" s="10" t="s">
        <v>1479</v>
      </c>
      <c r="I2073" s="10" t="s">
        <v>793</v>
      </c>
      <c r="J2073" s="10" t="s">
        <v>1004</v>
      </c>
    </row>
    <row r="2074" spans="1:10" ht="15" hidden="1" customHeight="1">
      <c r="A2074" s="9">
        <v>2070</v>
      </c>
      <c r="B2074" s="10" t="s">
        <v>5068</v>
      </c>
      <c r="C2074" s="10" t="s">
        <v>5069</v>
      </c>
      <c r="D2074" s="10" t="s">
        <v>1004</v>
      </c>
      <c r="E2074" s="10" t="s">
        <v>4960</v>
      </c>
      <c r="F2074" s="10" t="s">
        <v>794</v>
      </c>
      <c r="G2074" s="10" t="s">
        <v>2469</v>
      </c>
      <c r="H2074" s="10" t="s">
        <v>1479</v>
      </c>
      <c r="I2074" s="10" t="s">
        <v>793</v>
      </c>
      <c r="J2074" s="10" t="s">
        <v>1004</v>
      </c>
    </row>
    <row r="2075" spans="1:10" ht="15" hidden="1" customHeight="1">
      <c r="A2075" s="9">
        <v>2071</v>
      </c>
      <c r="B2075" s="10" t="s">
        <v>5070</v>
      </c>
      <c r="C2075" s="10" t="s">
        <v>5071</v>
      </c>
      <c r="D2075" s="10" t="s">
        <v>1004</v>
      </c>
      <c r="E2075" s="10" t="s">
        <v>4960</v>
      </c>
      <c r="F2075" s="10" t="s">
        <v>794</v>
      </c>
      <c r="G2075" s="10" t="s">
        <v>2469</v>
      </c>
      <c r="H2075" s="10" t="s">
        <v>1479</v>
      </c>
      <c r="I2075" s="10" t="s">
        <v>793</v>
      </c>
      <c r="J2075" s="10" t="s">
        <v>1004</v>
      </c>
    </row>
    <row r="2076" spans="1:10" ht="15" hidden="1" customHeight="1">
      <c r="A2076" s="9">
        <v>2072</v>
      </c>
      <c r="B2076" s="10" t="s">
        <v>5072</v>
      </c>
      <c r="C2076" s="10" t="s">
        <v>5073</v>
      </c>
      <c r="D2076" s="10" t="s">
        <v>1004</v>
      </c>
      <c r="E2076" s="10" t="s">
        <v>4960</v>
      </c>
      <c r="F2076" s="10" t="s">
        <v>794</v>
      </c>
      <c r="G2076" s="10" t="s">
        <v>2469</v>
      </c>
      <c r="H2076" s="10" t="s">
        <v>1479</v>
      </c>
      <c r="I2076" s="10" t="s">
        <v>793</v>
      </c>
      <c r="J2076" s="10" t="s">
        <v>1004</v>
      </c>
    </row>
    <row r="2077" spans="1:10" ht="15" hidden="1" customHeight="1">
      <c r="A2077" s="9">
        <v>2073</v>
      </c>
      <c r="B2077" s="10" t="s">
        <v>5074</v>
      </c>
      <c r="C2077" s="10" t="s">
        <v>5075</v>
      </c>
      <c r="D2077" s="10" t="s">
        <v>1004</v>
      </c>
      <c r="E2077" s="10" t="s">
        <v>4960</v>
      </c>
      <c r="F2077" s="10" t="s">
        <v>794</v>
      </c>
      <c r="G2077" s="10" t="s">
        <v>2469</v>
      </c>
      <c r="H2077" s="10" t="s">
        <v>1479</v>
      </c>
      <c r="I2077" s="10" t="s">
        <v>793</v>
      </c>
      <c r="J2077" s="10" t="s">
        <v>1004</v>
      </c>
    </row>
    <row r="2078" spans="1:10" ht="15" hidden="1" customHeight="1">
      <c r="A2078" s="9">
        <v>2074</v>
      </c>
      <c r="B2078" s="10" t="s">
        <v>5076</v>
      </c>
      <c r="C2078" s="10" t="s">
        <v>5077</v>
      </c>
      <c r="D2078" s="10" t="s">
        <v>1004</v>
      </c>
      <c r="E2078" s="10" t="s">
        <v>4960</v>
      </c>
      <c r="F2078" s="10" t="s">
        <v>794</v>
      </c>
      <c r="G2078" s="10" t="s">
        <v>2469</v>
      </c>
      <c r="H2078" s="10" t="s">
        <v>1479</v>
      </c>
      <c r="I2078" s="10" t="s">
        <v>793</v>
      </c>
      <c r="J2078" s="10" t="s">
        <v>1004</v>
      </c>
    </row>
    <row r="2079" spans="1:10" ht="15" hidden="1" customHeight="1">
      <c r="A2079" s="9">
        <v>2075</v>
      </c>
      <c r="B2079" s="10" t="s">
        <v>5078</v>
      </c>
      <c r="C2079" s="10" t="s">
        <v>5079</v>
      </c>
      <c r="D2079" s="10" t="s">
        <v>1004</v>
      </c>
      <c r="E2079" s="10" t="s">
        <v>4968</v>
      </c>
      <c r="F2079" s="10" t="s">
        <v>794</v>
      </c>
      <c r="G2079" s="10" t="s">
        <v>2482</v>
      </c>
      <c r="H2079" s="10" t="s">
        <v>1479</v>
      </c>
      <c r="I2079" s="10" t="s">
        <v>793</v>
      </c>
      <c r="J2079" s="10" t="s">
        <v>1004</v>
      </c>
    </row>
    <row r="2080" spans="1:10" ht="15" hidden="1" customHeight="1">
      <c r="A2080" s="9">
        <v>2076</v>
      </c>
      <c r="B2080" s="10" t="s">
        <v>5080</v>
      </c>
      <c r="C2080" s="10" t="s">
        <v>5081</v>
      </c>
      <c r="D2080" s="10" t="s">
        <v>1004</v>
      </c>
      <c r="E2080" s="10" t="s">
        <v>4968</v>
      </c>
      <c r="F2080" s="10" t="s">
        <v>794</v>
      </c>
      <c r="G2080" s="10" t="s">
        <v>2482</v>
      </c>
      <c r="H2080" s="10" t="s">
        <v>1479</v>
      </c>
      <c r="I2080" s="10" t="s">
        <v>793</v>
      </c>
      <c r="J2080" s="10" t="s">
        <v>1004</v>
      </c>
    </row>
    <row r="2081" spans="1:10" ht="15" hidden="1" customHeight="1">
      <c r="A2081" s="9">
        <v>2077</v>
      </c>
      <c r="B2081" s="10" t="s">
        <v>5082</v>
      </c>
      <c r="C2081" s="10" t="s">
        <v>5083</v>
      </c>
      <c r="D2081" s="10" t="s">
        <v>1004</v>
      </c>
      <c r="E2081" s="10" t="s">
        <v>4968</v>
      </c>
      <c r="F2081" s="10" t="s">
        <v>794</v>
      </c>
      <c r="G2081" s="10" t="s">
        <v>2482</v>
      </c>
      <c r="H2081" s="10" t="s">
        <v>1479</v>
      </c>
      <c r="I2081" s="10" t="s">
        <v>793</v>
      </c>
      <c r="J2081" s="10" t="s">
        <v>1004</v>
      </c>
    </row>
    <row r="2082" spans="1:10" ht="15" hidden="1" customHeight="1">
      <c r="A2082" s="9">
        <v>2078</v>
      </c>
      <c r="B2082" s="10" t="s">
        <v>5084</v>
      </c>
      <c r="C2082" s="10" t="s">
        <v>5085</v>
      </c>
      <c r="D2082" s="10" t="s">
        <v>1004</v>
      </c>
      <c r="E2082" s="10" t="s">
        <v>4968</v>
      </c>
      <c r="F2082" s="10" t="s">
        <v>794</v>
      </c>
      <c r="G2082" s="10" t="s">
        <v>2482</v>
      </c>
      <c r="H2082" s="10" t="s">
        <v>1479</v>
      </c>
      <c r="I2082" s="10" t="s">
        <v>793</v>
      </c>
      <c r="J2082" s="10" t="s">
        <v>1004</v>
      </c>
    </row>
    <row r="2083" spans="1:10" ht="15" hidden="1" customHeight="1">
      <c r="A2083" s="9">
        <v>2079</v>
      </c>
      <c r="B2083" s="10" t="s">
        <v>5086</v>
      </c>
      <c r="C2083" s="10" t="s">
        <v>5087</v>
      </c>
      <c r="D2083" s="10" t="s">
        <v>1004</v>
      </c>
      <c r="E2083" s="10" t="s">
        <v>4968</v>
      </c>
      <c r="F2083" s="10" t="s">
        <v>794</v>
      </c>
      <c r="G2083" s="10" t="s">
        <v>2482</v>
      </c>
      <c r="H2083" s="10" t="s">
        <v>1479</v>
      </c>
      <c r="I2083" s="10" t="s">
        <v>793</v>
      </c>
      <c r="J2083" s="10" t="s">
        <v>1004</v>
      </c>
    </row>
    <row r="2084" spans="1:10" ht="15" hidden="1" customHeight="1">
      <c r="A2084" s="9">
        <v>2080</v>
      </c>
      <c r="B2084" s="10" t="s">
        <v>5088</v>
      </c>
      <c r="C2084" s="10" t="s">
        <v>5089</v>
      </c>
      <c r="D2084" s="10" t="s">
        <v>1004</v>
      </c>
      <c r="E2084" s="10" t="s">
        <v>4968</v>
      </c>
      <c r="F2084" s="10" t="s">
        <v>794</v>
      </c>
      <c r="G2084" s="10" t="s">
        <v>2482</v>
      </c>
      <c r="H2084" s="10" t="s">
        <v>1479</v>
      </c>
      <c r="I2084" s="10" t="s">
        <v>793</v>
      </c>
      <c r="J2084" s="10" t="s">
        <v>1004</v>
      </c>
    </row>
    <row r="2085" spans="1:10" ht="15" hidden="1" customHeight="1">
      <c r="A2085" s="9">
        <v>2081</v>
      </c>
      <c r="B2085" s="10" t="s">
        <v>5090</v>
      </c>
      <c r="C2085" s="10" t="s">
        <v>5091</v>
      </c>
      <c r="D2085" s="10" t="s">
        <v>1004</v>
      </c>
      <c r="E2085" s="10" t="s">
        <v>4968</v>
      </c>
      <c r="F2085" s="10" t="s">
        <v>794</v>
      </c>
      <c r="G2085" s="10" t="s">
        <v>2482</v>
      </c>
      <c r="H2085" s="10" t="s">
        <v>1479</v>
      </c>
      <c r="I2085" s="10" t="s">
        <v>793</v>
      </c>
      <c r="J2085" s="10" t="s">
        <v>1004</v>
      </c>
    </row>
    <row r="2086" spans="1:10" ht="15" hidden="1" customHeight="1">
      <c r="A2086" s="9">
        <v>2082</v>
      </c>
      <c r="B2086" s="10" t="s">
        <v>5092</v>
      </c>
      <c r="C2086" s="10" t="s">
        <v>5093</v>
      </c>
      <c r="D2086" s="10" t="s">
        <v>1004</v>
      </c>
      <c r="E2086" s="10" t="s">
        <v>4968</v>
      </c>
      <c r="F2086" s="10" t="s">
        <v>794</v>
      </c>
      <c r="G2086" s="10" t="s">
        <v>2482</v>
      </c>
      <c r="H2086" s="10" t="s">
        <v>1479</v>
      </c>
      <c r="I2086" s="10" t="s">
        <v>793</v>
      </c>
      <c r="J2086" s="10" t="s">
        <v>1004</v>
      </c>
    </row>
    <row r="2087" spans="1:10" ht="15" hidden="1" customHeight="1">
      <c r="A2087" s="9">
        <v>2083</v>
      </c>
      <c r="B2087" s="10" t="s">
        <v>5094</v>
      </c>
      <c r="C2087" s="10" t="s">
        <v>5095</v>
      </c>
      <c r="D2087" s="10" t="s">
        <v>1004</v>
      </c>
      <c r="E2087" s="10" t="s">
        <v>4968</v>
      </c>
      <c r="F2087" s="10" t="s">
        <v>794</v>
      </c>
      <c r="G2087" s="10" t="s">
        <v>2482</v>
      </c>
      <c r="H2087" s="10" t="s">
        <v>1479</v>
      </c>
      <c r="I2087" s="10" t="s">
        <v>793</v>
      </c>
      <c r="J2087" s="10" t="s">
        <v>1004</v>
      </c>
    </row>
    <row r="2088" spans="1:10" ht="15" hidden="1" customHeight="1">
      <c r="A2088" s="9">
        <v>2084</v>
      </c>
      <c r="B2088" s="10" t="s">
        <v>5096</v>
      </c>
      <c r="C2088" s="10" t="s">
        <v>5097</v>
      </c>
      <c r="D2088" s="10" t="s">
        <v>1004</v>
      </c>
      <c r="E2088" s="10" t="s">
        <v>4968</v>
      </c>
      <c r="F2088" s="10" t="s">
        <v>794</v>
      </c>
      <c r="G2088" s="10" t="s">
        <v>2482</v>
      </c>
      <c r="H2088" s="10" t="s">
        <v>1479</v>
      </c>
      <c r="I2088" s="10" t="s">
        <v>793</v>
      </c>
      <c r="J2088" s="10" t="s">
        <v>1004</v>
      </c>
    </row>
    <row r="2089" spans="1:10" ht="15" hidden="1" customHeight="1">
      <c r="A2089" s="9">
        <v>2085</v>
      </c>
      <c r="B2089" s="10" t="s">
        <v>5098</v>
      </c>
      <c r="C2089" s="10" t="s">
        <v>5099</v>
      </c>
      <c r="D2089" s="10" t="s">
        <v>1004</v>
      </c>
      <c r="E2089" s="10" t="s">
        <v>4968</v>
      </c>
      <c r="F2089" s="10" t="s">
        <v>794</v>
      </c>
      <c r="G2089" s="10" t="s">
        <v>2482</v>
      </c>
      <c r="H2089" s="10" t="s">
        <v>1479</v>
      </c>
      <c r="I2089" s="10" t="s">
        <v>793</v>
      </c>
      <c r="J2089" s="10" t="s">
        <v>1004</v>
      </c>
    </row>
    <row r="2090" spans="1:10" ht="15" hidden="1" customHeight="1">
      <c r="A2090" s="9">
        <v>2086</v>
      </c>
      <c r="B2090" s="10" t="s">
        <v>5100</v>
      </c>
      <c r="C2090" s="10" t="s">
        <v>5101</v>
      </c>
      <c r="D2090" s="10" t="s">
        <v>1004</v>
      </c>
      <c r="E2090" s="10" t="s">
        <v>4968</v>
      </c>
      <c r="F2090" s="10" t="s">
        <v>794</v>
      </c>
      <c r="G2090" s="10" t="s">
        <v>2482</v>
      </c>
      <c r="H2090" s="10" t="s">
        <v>1479</v>
      </c>
      <c r="I2090" s="10" t="s">
        <v>793</v>
      </c>
      <c r="J2090" s="10" t="s">
        <v>1004</v>
      </c>
    </row>
    <row r="2091" spans="1:10" ht="15" hidden="1" customHeight="1">
      <c r="A2091" s="9">
        <v>2087</v>
      </c>
      <c r="B2091" s="10" t="s">
        <v>5102</v>
      </c>
      <c r="C2091" s="10" t="s">
        <v>5103</v>
      </c>
      <c r="D2091" s="10" t="s">
        <v>1004</v>
      </c>
      <c r="E2091" s="10" t="s">
        <v>4968</v>
      </c>
      <c r="F2091" s="10" t="s">
        <v>794</v>
      </c>
      <c r="G2091" s="10" t="s">
        <v>2482</v>
      </c>
      <c r="H2091" s="10" t="s">
        <v>1479</v>
      </c>
      <c r="I2091" s="10" t="s">
        <v>793</v>
      </c>
      <c r="J2091" s="10" t="s">
        <v>1004</v>
      </c>
    </row>
    <row r="2092" spans="1:10" ht="15" hidden="1" customHeight="1">
      <c r="A2092" s="9">
        <v>2088</v>
      </c>
      <c r="B2092" s="10" t="s">
        <v>5104</v>
      </c>
      <c r="C2092" s="10" t="s">
        <v>5105</v>
      </c>
      <c r="D2092" s="10" t="s">
        <v>1004</v>
      </c>
      <c r="E2092" s="10" t="s">
        <v>4970</v>
      </c>
      <c r="F2092" s="10" t="s">
        <v>794</v>
      </c>
      <c r="G2092" s="10" t="s">
        <v>2485</v>
      </c>
      <c r="H2092" s="10" t="s">
        <v>1479</v>
      </c>
      <c r="I2092" s="10" t="s">
        <v>793</v>
      </c>
      <c r="J2092" s="10" t="s">
        <v>1004</v>
      </c>
    </row>
    <row r="2093" spans="1:10" ht="15" hidden="1" customHeight="1">
      <c r="A2093" s="9">
        <v>2089</v>
      </c>
      <c r="B2093" s="10" t="s">
        <v>5106</v>
      </c>
      <c r="C2093" s="10" t="s">
        <v>5107</v>
      </c>
      <c r="D2093" s="10" t="s">
        <v>1004</v>
      </c>
      <c r="E2093" s="10" t="s">
        <v>4970</v>
      </c>
      <c r="F2093" s="10" t="s">
        <v>794</v>
      </c>
      <c r="G2093" s="10" t="s">
        <v>2485</v>
      </c>
      <c r="H2093" s="10" t="s">
        <v>1479</v>
      </c>
      <c r="I2093" s="10" t="s">
        <v>793</v>
      </c>
      <c r="J2093" s="10" t="s">
        <v>1004</v>
      </c>
    </row>
    <row r="2094" spans="1:10" ht="15" hidden="1" customHeight="1">
      <c r="A2094" s="9">
        <v>2090</v>
      </c>
      <c r="B2094" s="10" t="s">
        <v>5108</v>
      </c>
      <c r="C2094" s="10" t="s">
        <v>5109</v>
      </c>
      <c r="D2094" s="10" t="s">
        <v>1004</v>
      </c>
      <c r="E2094" s="10" t="s">
        <v>4970</v>
      </c>
      <c r="F2094" s="10" t="s">
        <v>794</v>
      </c>
      <c r="G2094" s="10" t="s">
        <v>2485</v>
      </c>
      <c r="H2094" s="10" t="s">
        <v>1479</v>
      </c>
      <c r="I2094" s="10" t="s">
        <v>793</v>
      </c>
      <c r="J2094" s="10" t="s">
        <v>1004</v>
      </c>
    </row>
    <row r="2095" spans="1:10" ht="15" hidden="1" customHeight="1">
      <c r="A2095" s="9">
        <v>2091</v>
      </c>
      <c r="B2095" s="10" t="s">
        <v>5110</v>
      </c>
      <c r="C2095" s="10" t="s">
        <v>5111</v>
      </c>
      <c r="D2095" s="10" t="s">
        <v>1004</v>
      </c>
      <c r="E2095" s="10" t="s">
        <v>4970</v>
      </c>
      <c r="F2095" s="10" t="s">
        <v>794</v>
      </c>
      <c r="G2095" s="10" t="s">
        <v>2485</v>
      </c>
      <c r="H2095" s="10" t="s">
        <v>1479</v>
      </c>
      <c r="I2095" s="10" t="s">
        <v>793</v>
      </c>
      <c r="J2095" s="10" t="s">
        <v>1004</v>
      </c>
    </row>
    <row r="2096" spans="1:10" ht="15" hidden="1" customHeight="1">
      <c r="A2096" s="9">
        <v>2092</v>
      </c>
      <c r="B2096" s="10" t="s">
        <v>5112</v>
      </c>
      <c r="C2096" s="10" t="s">
        <v>5113</v>
      </c>
      <c r="D2096" s="10" t="s">
        <v>1004</v>
      </c>
      <c r="E2096" s="10" t="s">
        <v>4970</v>
      </c>
      <c r="F2096" s="10" t="s">
        <v>794</v>
      </c>
      <c r="G2096" s="10" t="s">
        <v>2485</v>
      </c>
      <c r="H2096" s="10" t="s">
        <v>1479</v>
      </c>
      <c r="I2096" s="10" t="s">
        <v>793</v>
      </c>
      <c r="J2096" s="10" t="s">
        <v>1004</v>
      </c>
    </row>
    <row r="2097" spans="1:10" ht="15" hidden="1" customHeight="1">
      <c r="A2097" s="9">
        <v>2093</v>
      </c>
      <c r="B2097" s="10" t="s">
        <v>5114</v>
      </c>
      <c r="C2097" s="10" t="s">
        <v>5115</v>
      </c>
      <c r="D2097" s="10" t="s">
        <v>1004</v>
      </c>
      <c r="E2097" s="10" t="s">
        <v>4970</v>
      </c>
      <c r="F2097" s="10" t="s">
        <v>794</v>
      </c>
      <c r="G2097" s="10" t="s">
        <v>2485</v>
      </c>
      <c r="H2097" s="10" t="s">
        <v>1479</v>
      </c>
      <c r="I2097" s="10" t="s">
        <v>793</v>
      </c>
      <c r="J2097" s="10" t="s">
        <v>1004</v>
      </c>
    </row>
    <row r="2098" spans="1:10" ht="15" hidden="1" customHeight="1">
      <c r="A2098" s="9">
        <v>2094</v>
      </c>
      <c r="B2098" s="10" t="s">
        <v>5116</v>
      </c>
      <c r="C2098" s="10" t="s">
        <v>5117</v>
      </c>
      <c r="D2098" s="10" t="s">
        <v>1004</v>
      </c>
      <c r="E2098" s="10" t="s">
        <v>4970</v>
      </c>
      <c r="F2098" s="10" t="s">
        <v>794</v>
      </c>
      <c r="G2098" s="10" t="s">
        <v>2485</v>
      </c>
      <c r="H2098" s="10" t="s">
        <v>1479</v>
      </c>
      <c r="I2098" s="10" t="s">
        <v>793</v>
      </c>
      <c r="J2098" s="10" t="s">
        <v>1004</v>
      </c>
    </row>
    <row r="2099" spans="1:10" ht="15" hidden="1" customHeight="1">
      <c r="A2099" s="9">
        <v>2095</v>
      </c>
      <c r="B2099" s="10" t="s">
        <v>5118</v>
      </c>
      <c r="C2099" s="10" t="s">
        <v>5119</v>
      </c>
      <c r="D2099" s="10" t="s">
        <v>1004</v>
      </c>
      <c r="E2099" s="10" t="s">
        <v>4970</v>
      </c>
      <c r="F2099" s="10" t="s">
        <v>794</v>
      </c>
      <c r="G2099" s="10" t="s">
        <v>2485</v>
      </c>
      <c r="H2099" s="10" t="s">
        <v>1479</v>
      </c>
      <c r="I2099" s="10" t="s">
        <v>793</v>
      </c>
      <c r="J2099" s="10" t="s">
        <v>1004</v>
      </c>
    </row>
    <row r="2100" spans="1:10" ht="15" hidden="1" customHeight="1">
      <c r="A2100" s="9">
        <v>2096</v>
      </c>
      <c r="B2100" s="10" t="s">
        <v>5120</v>
      </c>
      <c r="C2100" s="10" t="s">
        <v>5121</v>
      </c>
      <c r="D2100" s="10" t="s">
        <v>1004</v>
      </c>
      <c r="E2100" s="10" t="s">
        <v>4970</v>
      </c>
      <c r="F2100" s="10" t="s">
        <v>794</v>
      </c>
      <c r="G2100" s="10" t="s">
        <v>2485</v>
      </c>
      <c r="H2100" s="10" t="s">
        <v>1479</v>
      </c>
      <c r="I2100" s="10" t="s">
        <v>793</v>
      </c>
      <c r="J2100" s="10" t="s">
        <v>1004</v>
      </c>
    </row>
    <row r="2101" spans="1:10" ht="15" hidden="1" customHeight="1">
      <c r="A2101" s="9">
        <v>2097</v>
      </c>
      <c r="B2101" s="10" t="s">
        <v>5122</v>
      </c>
      <c r="C2101" s="10" t="s">
        <v>5123</v>
      </c>
      <c r="D2101" s="10" t="s">
        <v>1004</v>
      </c>
      <c r="E2101" s="10" t="s">
        <v>4970</v>
      </c>
      <c r="F2101" s="10" t="s">
        <v>794</v>
      </c>
      <c r="G2101" s="10" t="s">
        <v>2485</v>
      </c>
      <c r="H2101" s="10" t="s">
        <v>1479</v>
      </c>
      <c r="I2101" s="10" t="s">
        <v>793</v>
      </c>
      <c r="J2101" s="10" t="s">
        <v>1004</v>
      </c>
    </row>
    <row r="2102" spans="1:10" ht="15" hidden="1" customHeight="1">
      <c r="A2102" s="9">
        <v>2098</v>
      </c>
      <c r="B2102" s="10" t="s">
        <v>5124</v>
      </c>
      <c r="C2102" s="10" t="s">
        <v>5125</v>
      </c>
      <c r="D2102" s="10" t="s">
        <v>1004</v>
      </c>
      <c r="E2102" s="10" t="s">
        <v>4970</v>
      </c>
      <c r="F2102" s="10" t="s">
        <v>794</v>
      </c>
      <c r="G2102" s="10" t="s">
        <v>2485</v>
      </c>
      <c r="H2102" s="10" t="s">
        <v>1479</v>
      </c>
      <c r="I2102" s="10" t="s">
        <v>793</v>
      </c>
      <c r="J2102" s="10" t="s">
        <v>1004</v>
      </c>
    </row>
    <row r="2103" spans="1:10" ht="15" hidden="1" customHeight="1">
      <c r="A2103" s="9">
        <v>2099</v>
      </c>
      <c r="B2103" s="10" t="s">
        <v>5126</v>
      </c>
      <c r="C2103" s="10" t="s">
        <v>5127</v>
      </c>
      <c r="D2103" s="10" t="s">
        <v>1004</v>
      </c>
      <c r="E2103" s="10" t="s">
        <v>4970</v>
      </c>
      <c r="F2103" s="10" t="s">
        <v>794</v>
      </c>
      <c r="G2103" s="10" t="s">
        <v>2485</v>
      </c>
      <c r="H2103" s="10" t="s">
        <v>1479</v>
      </c>
      <c r="I2103" s="10" t="s">
        <v>793</v>
      </c>
      <c r="J2103" s="10" t="s">
        <v>1004</v>
      </c>
    </row>
    <row r="2104" spans="1:10" ht="15" hidden="1" customHeight="1">
      <c r="A2104" s="9">
        <v>2100</v>
      </c>
      <c r="B2104" s="10" t="s">
        <v>5128</v>
      </c>
      <c r="C2104" s="10" t="s">
        <v>5129</v>
      </c>
      <c r="D2104" s="10" t="s">
        <v>1004</v>
      </c>
      <c r="E2104" s="10" t="s">
        <v>4972</v>
      </c>
      <c r="F2104" s="10" t="s">
        <v>794</v>
      </c>
      <c r="G2104" s="10" t="s">
        <v>2488</v>
      </c>
      <c r="H2104" s="10" t="s">
        <v>1479</v>
      </c>
      <c r="I2104" s="10" t="s">
        <v>793</v>
      </c>
      <c r="J2104" s="10" t="s">
        <v>1004</v>
      </c>
    </row>
    <row r="2105" spans="1:10" ht="15" hidden="1" customHeight="1">
      <c r="A2105" s="9">
        <v>2101</v>
      </c>
      <c r="B2105" s="10" t="s">
        <v>5130</v>
      </c>
      <c r="C2105" s="10" t="s">
        <v>5131</v>
      </c>
      <c r="D2105" s="10" t="s">
        <v>1004</v>
      </c>
      <c r="E2105" s="10" t="s">
        <v>4972</v>
      </c>
      <c r="F2105" s="10" t="s">
        <v>794</v>
      </c>
      <c r="G2105" s="10" t="s">
        <v>2488</v>
      </c>
      <c r="H2105" s="10" t="s">
        <v>1479</v>
      </c>
      <c r="I2105" s="10" t="s">
        <v>793</v>
      </c>
      <c r="J2105" s="10" t="s">
        <v>1004</v>
      </c>
    </row>
    <row r="2106" spans="1:10" ht="15" hidden="1" customHeight="1">
      <c r="A2106" s="9">
        <v>2102</v>
      </c>
      <c r="B2106" s="10" t="s">
        <v>5132</v>
      </c>
      <c r="C2106" s="10" t="s">
        <v>5133</v>
      </c>
      <c r="D2106" s="10" t="s">
        <v>1004</v>
      </c>
      <c r="E2106" s="10" t="s">
        <v>4972</v>
      </c>
      <c r="F2106" s="10" t="s">
        <v>794</v>
      </c>
      <c r="G2106" s="10" t="s">
        <v>2488</v>
      </c>
      <c r="H2106" s="10" t="s">
        <v>1479</v>
      </c>
      <c r="I2106" s="10" t="s">
        <v>793</v>
      </c>
      <c r="J2106" s="10" t="s">
        <v>1004</v>
      </c>
    </row>
    <row r="2107" spans="1:10" ht="15" hidden="1" customHeight="1">
      <c r="A2107" s="9">
        <v>2103</v>
      </c>
      <c r="B2107" s="10" t="s">
        <v>5134</v>
      </c>
      <c r="C2107" s="10" t="s">
        <v>5135</v>
      </c>
      <c r="D2107" s="10" t="s">
        <v>1004</v>
      </c>
      <c r="E2107" s="10" t="s">
        <v>4972</v>
      </c>
      <c r="F2107" s="10" t="s">
        <v>794</v>
      </c>
      <c r="G2107" s="10" t="s">
        <v>2488</v>
      </c>
      <c r="H2107" s="10" t="s">
        <v>1479</v>
      </c>
      <c r="I2107" s="10" t="s">
        <v>793</v>
      </c>
      <c r="J2107" s="10" t="s">
        <v>1004</v>
      </c>
    </row>
    <row r="2108" spans="1:10" ht="15" hidden="1" customHeight="1">
      <c r="A2108" s="9">
        <v>2104</v>
      </c>
      <c r="B2108" s="10" t="s">
        <v>5136</v>
      </c>
      <c r="C2108" s="10" t="s">
        <v>5137</v>
      </c>
      <c r="D2108" s="10" t="s">
        <v>1004</v>
      </c>
      <c r="E2108" s="10" t="s">
        <v>4972</v>
      </c>
      <c r="F2108" s="10" t="s">
        <v>794</v>
      </c>
      <c r="G2108" s="10" t="s">
        <v>2488</v>
      </c>
      <c r="H2108" s="10" t="s">
        <v>1479</v>
      </c>
      <c r="I2108" s="10" t="s">
        <v>793</v>
      </c>
      <c r="J2108" s="10" t="s">
        <v>1004</v>
      </c>
    </row>
    <row r="2109" spans="1:10" ht="15" hidden="1" customHeight="1">
      <c r="A2109" s="9">
        <v>2105</v>
      </c>
      <c r="B2109" s="10" t="s">
        <v>5138</v>
      </c>
      <c r="C2109" s="10" t="s">
        <v>5139</v>
      </c>
      <c r="D2109" s="10" t="s">
        <v>1004</v>
      </c>
      <c r="E2109" s="10" t="s">
        <v>4972</v>
      </c>
      <c r="F2109" s="10" t="s">
        <v>794</v>
      </c>
      <c r="G2109" s="10" t="s">
        <v>2488</v>
      </c>
      <c r="H2109" s="10" t="s">
        <v>1479</v>
      </c>
      <c r="I2109" s="10" t="s">
        <v>793</v>
      </c>
      <c r="J2109" s="10" t="s">
        <v>1004</v>
      </c>
    </row>
    <row r="2110" spans="1:10" ht="15" hidden="1" customHeight="1">
      <c r="A2110" s="9">
        <v>2106</v>
      </c>
      <c r="B2110" s="10" t="s">
        <v>5140</v>
      </c>
      <c r="C2110" s="10" t="s">
        <v>5141</v>
      </c>
      <c r="D2110" s="10" t="s">
        <v>1004</v>
      </c>
      <c r="E2110" s="10" t="s">
        <v>4972</v>
      </c>
      <c r="F2110" s="10" t="s">
        <v>794</v>
      </c>
      <c r="G2110" s="10" t="s">
        <v>2488</v>
      </c>
      <c r="H2110" s="10" t="s">
        <v>1479</v>
      </c>
      <c r="I2110" s="10" t="s">
        <v>793</v>
      </c>
      <c r="J2110" s="10" t="s">
        <v>1004</v>
      </c>
    </row>
    <row r="2111" spans="1:10" ht="15" hidden="1" customHeight="1">
      <c r="A2111" s="9">
        <v>2107</v>
      </c>
      <c r="B2111" s="10" t="s">
        <v>5142</v>
      </c>
      <c r="C2111" s="10" t="s">
        <v>5143</v>
      </c>
      <c r="D2111" s="10" t="s">
        <v>1004</v>
      </c>
      <c r="E2111" s="10" t="s">
        <v>4972</v>
      </c>
      <c r="F2111" s="10" t="s">
        <v>794</v>
      </c>
      <c r="G2111" s="10" t="s">
        <v>2488</v>
      </c>
      <c r="H2111" s="10" t="s">
        <v>1479</v>
      </c>
      <c r="I2111" s="10" t="s">
        <v>793</v>
      </c>
      <c r="J2111" s="10" t="s">
        <v>1004</v>
      </c>
    </row>
    <row r="2112" spans="1:10" ht="15" hidden="1" customHeight="1">
      <c r="A2112" s="9">
        <v>2108</v>
      </c>
      <c r="B2112" s="10" t="s">
        <v>5144</v>
      </c>
      <c r="C2112" s="10" t="s">
        <v>5145</v>
      </c>
      <c r="D2112" s="10" t="s">
        <v>1004</v>
      </c>
      <c r="E2112" s="10" t="s">
        <v>4972</v>
      </c>
      <c r="F2112" s="10" t="s">
        <v>794</v>
      </c>
      <c r="G2112" s="10" t="s">
        <v>2488</v>
      </c>
      <c r="H2112" s="10" t="s">
        <v>1479</v>
      </c>
      <c r="I2112" s="10" t="s">
        <v>793</v>
      </c>
      <c r="J2112" s="10" t="s">
        <v>1004</v>
      </c>
    </row>
    <row r="2113" spans="1:10" ht="15" hidden="1" customHeight="1">
      <c r="A2113" s="9">
        <v>2109</v>
      </c>
      <c r="B2113" s="10" t="s">
        <v>5146</v>
      </c>
      <c r="C2113" s="10" t="s">
        <v>5147</v>
      </c>
      <c r="D2113" s="10" t="s">
        <v>1004</v>
      </c>
      <c r="E2113" s="10" t="s">
        <v>4972</v>
      </c>
      <c r="F2113" s="10" t="s">
        <v>794</v>
      </c>
      <c r="G2113" s="10" t="s">
        <v>2488</v>
      </c>
      <c r="H2113" s="10" t="s">
        <v>1479</v>
      </c>
      <c r="I2113" s="10" t="s">
        <v>793</v>
      </c>
      <c r="J2113" s="10" t="s">
        <v>1004</v>
      </c>
    </row>
    <row r="2114" spans="1:10" ht="15" hidden="1" customHeight="1">
      <c r="A2114" s="9">
        <v>2110</v>
      </c>
      <c r="B2114" s="10" t="s">
        <v>5148</v>
      </c>
      <c r="C2114" s="10" t="s">
        <v>5149</v>
      </c>
      <c r="D2114" s="10" t="s">
        <v>1004</v>
      </c>
      <c r="E2114" s="10" t="s">
        <v>4972</v>
      </c>
      <c r="F2114" s="10" t="s">
        <v>794</v>
      </c>
      <c r="G2114" s="10" t="s">
        <v>2488</v>
      </c>
      <c r="H2114" s="10" t="s">
        <v>1479</v>
      </c>
      <c r="I2114" s="10" t="s">
        <v>793</v>
      </c>
      <c r="J2114" s="10" t="s">
        <v>1004</v>
      </c>
    </row>
    <row r="2115" spans="1:10" ht="15" hidden="1" customHeight="1">
      <c r="A2115" s="9">
        <v>2111</v>
      </c>
      <c r="B2115" s="10" t="s">
        <v>5150</v>
      </c>
      <c r="C2115" s="10" t="s">
        <v>5151</v>
      </c>
      <c r="D2115" s="10" t="s">
        <v>1004</v>
      </c>
      <c r="E2115" s="10" t="s">
        <v>4972</v>
      </c>
      <c r="F2115" s="10" t="s">
        <v>794</v>
      </c>
      <c r="G2115" s="10" t="s">
        <v>2488</v>
      </c>
      <c r="H2115" s="10" t="s">
        <v>1479</v>
      </c>
      <c r="I2115" s="10" t="s">
        <v>793</v>
      </c>
      <c r="J2115" s="10" t="s">
        <v>1004</v>
      </c>
    </row>
    <row r="2116" spans="1:10" ht="15" hidden="1" customHeight="1">
      <c r="A2116" s="9">
        <v>2112</v>
      </c>
      <c r="B2116" s="10" t="s">
        <v>5152</v>
      </c>
      <c r="C2116" s="10" t="s">
        <v>5153</v>
      </c>
      <c r="D2116" s="10" t="s">
        <v>1004</v>
      </c>
      <c r="E2116" s="10" t="s">
        <v>4972</v>
      </c>
      <c r="F2116" s="10" t="s">
        <v>794</v>
      </c>
      <c r="G2116" s="10" t="s">
        <v>2488</v>
      </c>
      <c r="H2116" s="10" t="s">
        <v>1479</v>
      </c>
      <c r="I2116" s="10" t="s">
        <v>793</v>
      </c>
      <c r="J2116" s="10" t="s">
        <v>1004</v>
      </c>
    </row>
    <row r="2117" spans="1:10" ht="15" hidden="1" customHeight="1">
      <c r="A2117" s="9">
        <v>2113</v>
      </c>
      <c r="B2117" s="10" t="s">
        <v>5154</v>
      </c>
      <c r="C2117" s="10" t="s">
        <v>5155</v>
      </c>
      <c r="D2117" s="10" t="s">
        <v>1004</v>
      </c>
      <c r="E2117" s="10" t="s">
        <v>4972</v>
      </c>
      <c r="F2117" s="10" t="s">
        <v>794</v>
      </c>
      <c r="G2117" s="10" t="s">
        <v>2488</v>
      </c>
      <c r="H2117" s="10" t="s">
        <v>1479</v>
      </c>
      <c r="I2117" s="10" t="s">
        <v>793</v>
      </c>
      <c r="J2117" s="10" t="s">
        <v>1004</v>
      </c>
    </row>
    <row r="2118" spans="1:10" ht="15" hidden="1" customHeight="1">
      <c r="A2118" s="9">
        <v>2114</v>
      </c>
      <c r="B2118" s="10" t="s">
        <v>5156</v>
      </c>
      <c r="C2118" s="10" t="s">
        <v>5157</v>
      </c>
      <c r="D2118" s="10" t="s">
        <v>1004</v>
      </c>
      <c r="E2118" s="10" t="s">
        <v>4972</v>
      </c>
      <c r="F2118" s="10" t="s">
        <v>794</v>
      </c>
      <c r="G2118" s="10" t="s">
        <v>2488</v>
      </c>
      <c r="H2118" s="10" t="s">
        <v>1479</v>
      </c>
      <c r="I2118" s="10" t="s">
        <v>793</v>
      </c>
      <c r="J2118" s="10" t="s">
        <v>1004</v>
      </c>
    </row>
    <row r="2119" spans="1:10" ht="15" hidden="1" customHeight="1">
      <c r="A2119" s="9">
        <v>2115</v>
      </c>
      <c r="B2119" s="10" t="s">
        <v>5158</v>
      </c>
      <c r="C2119" s="10" t="s">
        <v>5159</v>
      </c>
      <c r="D2119" s="10" t="s">
        <v>1004</v>
      </c>
      <c r="E2119" s="10" t="s">
        <v>4972</v>
      </c>
      <c r="F2119" s="10" t="s">
        <v>794</v>
      </c>
      <c r="G2119" s="10" t="s">
        <v>2488</v>
      </c>
      <c r="H2119" s="10" t="s">
        <v>1479</v>
      </c>
      <c r="I2119" s="10" t="s">
        <v>793</v>
      </c>
      <c r="J2119" s="10" t="s">
        <v>1004</v>
      </c>
    </row>
    <row r="2120" spans="1:10" ht="15" hidden="1" customHeight="1">
      <c r="A2120" s="9">
        <v>2116</v>
      </c>
      <c r="B2120" s="10" t="s">
        <v>5160</v>
      </c>
      <c r="C2120" s="10" t="s">
        <v>5161</v>
      </c>
      <c r="D2120" s="10" t="s">
        <v>1004</v>
      </c>
      <c r="E2120" s="10" t="s">
        <v>4974</v>
      </c>
      <c r="F2120" s="10" t="s">
        <v>794</v>
      </c>
      <c r="G2120" s="10" t="s">
        <v>2494</v>
      </c>
      <c r="H2120" s="10" t="s">
        <v>1479</v>
      </c>
      <c r="I2120" s="10" t="s">
        <v>793</v>
      </c>
      <c r="J2120" s="10" t="s">
        <v>1004</v>
      </c>
    </row>
    <row r="2121" spans="1:10" ht="15" hidden="1" customHeight="1">
      <c r="A2121" s="9">
        <v>2117</v>
      </c>
      <c r="B2121" s="10" t="s">
        <v>5162</v>
      </c>
      <c r="C2121" s="10" t="s">
        <v>5163</v>
      </c>
      <c r="D2121" s="10" t="s">
        <v>1004</v>
      </c>
      <c r="E2121" s="10" t="s">
        <v>4974</v>
      </c>
      <c r="F2121" s="10" t="s">
        <v>794</v>
      </c>
      <c r="G2121" s="10" t="s">
        <v>2494</v>
      </c>
      <c r="H2121" s="10" t="s">
        <v>1479</v>
      </c>
      <c r="I2121" s="10" t="s">
        <v>793</v>
      </c>
      <c r="J2121" s="10" t="s">
        <v>1004</v>
      </c>
    </row>
    <row r="2122" spans="1:10" ht="15" hidden="1" customHeight="1">
      <c r="A2122" s="9">
        <v>2118</v>
      </c>
      <c r="B2122" s="10" t="s">
        <v>5164</v>
      </c>
      <c r="C2122" s="10" t="s">
        <v>5165</v>
      </c>
      <c r="D2122" s="10" t="s">
        <v>1004</v>
      </c>
      <c r="E2122" s="10" t="s">
        <v>4974</v>
      </c>
      <c r="F2122" s="10" t="s">
        <v>794</v>
      </c>
      <c r="G2122" s="10" t="s">
        <v>2494</v>
      </c>
      <c r="H2122" s="10" t="s">
        <v>1479</v>
      </c>
      <c r="I2122" s="10" t="s">
        <v>793</v>
      </c>
      <c r="J2122" s="10" t="s">
        <v>1004</v>
      </c>
    </row>
    <row r="2123" spans="1:10" ht="15" hidden="1" customHeight="1">
      <c r="A2123" s="9">
        <v>2119</v>
      </c>
      <c r="B2123" s="10" t="s">
        <v>5166</v>
      </c>
      <c r="C2123" s="10" t="s">
        <v>5167</v>
      </c>
      <c r="D2123" s="10" t="s">
        <v>1004</v>
      </c>
      <c r="E2123" s="10" t="s">
        <v>4974</v>
      </c>
      <c r="F2123" s="10" t="s">
        <v>794</v>
      </c>
      <c r="G2123" s="10" t="s">
        <v>2494</v>
      </c>
      <c r="H2123" s="10" t="s">
        <v>1479</v>
      </c>
      <c r="I2123" s="10" t="s">
        <v>793</v>
      </c>
      <c r="J2123" s="10" t="s">
        <v>1004</v>
      </c>
    </row>
    <row r="2124" spans="1:10" ht="15" hidden="1" customHeight="1">
      <c r="A2124" s="9">
        <v>2120</v>
      </c>
      <c r="B2124" s="10" t="s">
        <v>5168</v>
      </c>
      <c r="C2124" s="10" t="s">
        <v>5169</v>
      </c>
      <c r="D2124" s="10" t="s">
        <v>1004</v>
      </c>
      <c r="E2124" s="10" t="s">
        <v>4974</v>
      </c>
      <c r="F2124" s="10" t="s">
        <v>794</v>
      </c>
      <c r="G2124" s="10" t="s">
        <v>2494</v>
      </c>
      <c r="H2124" s="10" t="s">
        <v>1479</v>
      </c>
      <c r="I2124" s="10" t="s">
        <v>793</v>
      </c>
      <c r="J2124" s="10" t="s">
        <v>1004</v>
      </c>
    </row>
    <row r="2125" spans="1:10" ht="15" hidden="1" customHeight="1">
      <c r="A2125" s="9">
        <v>2121</v>
      </c>
      <c r="B2125" s="10" t="s">
        <v>5170</v>
      </c>
      <c r="C2125" s="10" t="s">
        <v>5171</v>
      </c>
      <c r="D2125" s="10" t="s">
        <v>1004</v>
      </c>
      <c r="E2125" s="10" t="s">
        <v>4974</v>
      </c>
      <c r="F2125" s="10" t="s">
        <v>794</v>
      </c>
      <c r="G2125" s="10" t="s">
        <v>2494</v>
      </c>
      <c r="H2125" s="10" t="s">
        <v>1479</v>
      </c>
      <c r="I2125" s="10" t="s">
        <v>793</v>
      </c>
      <c r="J2125" s="10" t="s">
        <v>1004</v>
      </c>
    </row>
    <row r="2126" spans="1:10" ht="15" hidden="1" customHeight="1">
      <c r="A2126" s="9">
        <v>2122</v>
      </c>
      <c r="B2126" s="10" t="s">
        <v>5172</v>
      </c>
      <c r="C2126" s="10" t="s">
        <v>5173</v>
      </c>
      <c r="D2126" s="10" t="s">
        <v>1004</v>
      </c>
      <c r="E2126" s="10" t="s">
        <v>4974</v>
      </c>
      <c r="F2126" s="10" t="s">
        <v>794</v>
      </c>
      <c r="G2126" s="10" t="s">
        <v>2494</v>
      </c>
      <c r="H2126" s="10" t="s">
        <v>1479</v>
      </c>
      <c r="I2126" s="10" t="s">
        <v>793</v>
      </c>
      <c r="J2126" s="10" t="s">
        <v>1004</v>
      </c>
    </row>
    <row r="2127" spans="1:10" ht="15" hidden="1" customHeight="1">
      <c r="A2127" s="9">
        <v>2123</v>
      </c>
      <c r="B2127" s="10" t="s">
        <v>5174</v>
      </c>
      <c r="C2127" s="10" t="s">
        <v>5175</v>
      </c>
      <c r="D2127" s="10" t="s">
        <v>1004</v>
      </c>
      <c r="E2127" s="10" t="s">
        <v>4974</v>
      </c>
      <c r="F2127" s="10" t="s">
        <v>794</v>
      </c>
      <c r="G2127" s="10" t="s">
        <v>2494</v>
      </c>
      <c r="H2127" s="10" t="s">
        <v>1479</v>
      </c>
      <c r="I2127" s="10" t="s">
        <v>793</v>
      </c>
      <c r="J2127" s="10" t="s">
        <v>1004</v>
      </c>
    </row>
    <row r="2128" spans="1:10" ht="15" hidden="1" customHeight="1">
      <c r="A2128" s="9">
        <v>2124</v>
      </c>
      <c r="B2128" s="10" t="s">
        <v>5176</v>
      </c>
      <c r="C2128" s="10" t="s">
        <v>5177</v>
      </c>
      <c r="D2128" s="10" t="s">
        <v>1004</v>
      </c>
      <c r="E2128" s="10" t="s">
        <v>4974</v>
      </c>
      <c r="F2128" s="10" t="s">
        <v>794</v>
      </c>
      <c r="G2128" s="10" t="s">
        <v>2494</v>
      </c>
      <c r="H2128" s="10" t="s">
        <v>1479</v>
      </c>
      <c r="I2128" s="10" t="s">
        <v>793</v>
      </c>
      <c r="J2128" s="10" t="s">
        <v>1004</v>
      </c>
    </row>
    <row r="2129" spans="1:10" ht="15" hidden="1" customHeight="1">
      <c r="A2129" s="9">
        <v>2125</v>
      </c>
      <c r="B2129" s="10" t="s">
        <v>5178</v>
      </c>
      <c r="C2129" s="10" t="s">
        <v>5179</v>
      </c>
      <c r="D2129" s="10" t="s">
        <v>1004</v>
      </c>
      <c r="E2129" s="10" t="s">
        <v>4974</v>
      </c>
      <c r="F2129" s="10" t="s">
        <v>794</v>
      </c>
      <c r="G2129" s="10" t="s">
        <v>2494</v>
      </c>
      <c r="H2129" s="10" t="s">
        <v>1479</v>
      </c>
      <c r="I2129" s="10" t="s">
        <v>793</v>
      </c>
      <c r="J2129" s="10" t="s">
        <v>1004</v>
      </c>
    </row>
    <row r="2130" spans="1:10" ht="15" hidden="1" customHeight="1">
      <c r="A2130" s="9">
        <v>2126</v>
      </c>
      <c r="B2130" s="10" t="s">
        <v>5180</v>
      </c>
      <c r="C2130" s="10" t="s">
        <v>5181</v>
      </c>
      <c r="D2130" s="10" t="s">
        <v>1004</v>
      </c>
      <c r="E2130" s="10" t="s">
        <v>4974</v>
      </c>
      <c r="F2130" s="10" t="s">
        <v>794</v>
      </c>
      <c r="G2130" s="10" t="s">
        <v>2494</v>
      </c>
      <c r="H2130" s="10" t="s">
        <v>1479</v>
      </c>
      <c r="I2130" s="10" t="s">
        <v>793</v>
      </c>
      <c r="J2130" s="10" t="s">
        <v>1004</v>
      </c>
    </row>
    <row r="2131" spans="1:10" ht="15" hidden="1" customHeight="1">
      <c r="A2131" s="9">
        <v>2127</v>
      </c>
      <c r="B2131" s="10" t="s">
        <v>5182</v>
      </c>
      <c r="C2131" s="10" t="s">
        <v>5183</v>
      </c>
      <c r="D2131" s="10" t="s">
        <v>1004</v>
      </c>
      <c r="E2131" s="10" t="s">
        <v>4974</v>
      </c>
      <c r="F2131" s="10" t="s">
        <v>794</v>
      </c>
      <c r="G2131" s="10" t="s">
        <v>2494</v>
      </c>
      <c r="H2131" s="10" t="s">
        <v>1479</v>
      </c>
      <c r="I2131" s="10" t="s">
        <v>793</v>
      </c>
      <c r="J2131" s="10" t="s">
        <v>1004</v>
      </c>
    </row>
    <row r="2132" spans="1:10" ht="15" hidden="1" customHeight="1">
      <c r="A2132" s="9">
        <v>2128</v>
      </c>
      <c r="B2132" s="10" t="s">
        <v>5184</v>
      </c>
      <c r="C2132" s="10" t="s">
        <v>5185</v>
      </c>
      <c r="D2132" s="10" t="s">
        <v>1004</v>
      </c>
      <c r="E2132" s="10" t="s">
        <v>4974</v>
      </c>
      <c r="F2132" s="10" t="s">
        <v>794</v>
      </c>
      <c r="G2132" s="10" t="s">
        <v>2494</v>
      </c>
      <c r="H2132" s="10" t="s">
        <v>1479</v>
      </c>
      <c r="I2132" s="10" t="s">
        <v>793</v>
      </c>
      <c r="J2132" s="10" t="s">
        <v>1004</v>
      </c>
    </row>
    <row r="2133" spans="1:10" ht="15" hidden="1" customHeight="1">
      <c r="A2133" s="9">
        <v>2129</v>
      </c>
      <c r="B2133" s="10" t="s">
        <v>5186</v>
      </c>
      <c r="C2133" s="10" t="s">
        <v>5187</v>
      </c>
      <c r="D2133" s="10" t="s">
        <v>1004</v>
      </c>
      <c r="E2133" s="10" t="s">
        <v>4974</v>
      </c>
      <c r="F2133" s="10" t="s">
        <v>794</v>
      </c>
      <c r="G2133" s="10" t="s">
        <v>2494</v>
      </c>
      <c r="H2133" s="10" t="s">
        <v>1479</v>
      </c>
      <c r="I2133" s="10" t="s">
        <v>793</v>
      </c>
      <c r="J2133" s="10" t="s">
        <v>1004</v>
      </c>
    </row>
    <row r="2134" spans="1:10" ht="15" hidden="1" customHeight="1">
      <c r="A2134" s="9">
        <v>2130</v>
      </c>
      <c r="B2134" s="10" t="s">
        <v>5188</v>
      </c>
      <c r="C2134" s="10" t="s">
        <v>5189</v>
      </c>
      <c r="D2134" s="10" t="s">
        <v>1004</v>
      </c>
      <c r="E2134" s="10" t="s">
        <v>4974</v>
      </c>
      <c r="F2134" s="10" t="s">
        <v>794</v>
      </c>
      <c r="G2134" s="10" t="s">
        <v>2494</v>
      </c>
      <c r="H2134" s="10" t="s">
        <v>1479</v>
      </c>
      <c r="I2134" s="10" t="s">
        <v>793</v>
      </c>
      <c r="J2134" s="10" t="s">
        <v>1004</v>
      </c>
    </row>
    <row r="2135" spans="1:10" ht="15" hidden="1" customHeight="1">
      <c r="A2135" s="9">
        <v>2131</v>
      </c>
      <c r="B2135" s="10" t="s">
        <v>5190</v>
      </c>
      <c r="C2135" s="10" t="s">
        <v>5191</v>
      </c>
      <c r="D2135" s="10" t="s">
        <v>1004</v>
      </c>
      <c r="E2135" s="10" t="s">
        <v>4974</v>
      </c>
      <c r="F2135" s="10" t="s">
        <v>794</v>
      </c>
      <c r="G2135" s="10" t="s">
        <v>2494</v>
      </c>
      <c r="H2135" s="10" t="s">
        <v>1479</v>
      </c>
      <c r="I2135" s="10" t="s">
        <v>793</v>
      </c>
      <c r="J2135" s="10" t="s">
        <v>1004</v>
      </c>
    </row>
    <row r="2136" spans="1:10" ht="15" hidden="1" customHeight="1">
      <c r="A2136" s="9">
        <v>2132</v>
      </c>
      <c r="B2136" s="10" t="s">
        <v>5192</v>
      </c>
      <c r="C2136" s="10" t="s">
        <v>5193</v>
      </c>
      <c r="D2136" s="10" t="s">
        <v>1004</v>
      </c>
      <c r="E2136" s="10" t="s">
        <v>4974</v>
      </c>
      <c r="F2136" s="10" t="s">
        <v>794</v>
      </c>
      <c r="G2136" s="10" t="s">
        <v>2494</v>
      </c>
      <c r="H2136" s="10" t="s">
        <v>1479</v>
      </c>
      <c r="I2136" s="10" t="s">
        <v>793</v>
      </c>
      <c r="J2136" s="10" t="s">
        <v>1004</v>
      </c>
    </row>
    <row r="2137" spans="1:10" ht="15" hidden="1" customHeight="1">
      <c r="A2137" s="9">
        <v>2133</v>
      </c>
      <c r="B2137" s="10" t="s">
        <v>5194</v>
      </c>
      <c r="C2137" s="10" t="s">
        <v>5195</v>
      </c>
      <c r="D2137" s="10" t="s">
        <v>1004</v>
      </c>
      <c r="E2137" s="10" t="s">
        <v>4974</v>
      </c>
      <c r="F2137" s="10" t="s">
        <v>794</v>
      </c>
      <c r="G2137" s="10" t="s">
        <v>2494</v>
      </c>
      <c r="H2137" s="10" t="s">
        <v>1479</v>
      </c>
      <c r="I2137" s="10" t="s">
        <v>793</v>
      </c>
      <c r="J2137" s="10" t="s">
        <v>1004</v>
      </c>
    </row>
    <row r="2138" spans="1:10" ht="15" hidden="1" customHeight="1">
      <c r="A2138" s="9">
        <v>2134</v>
      </c>
      <c r="B2138" s="10" t="s">
        <v>5196</v>
      </c>
      <c r="C2138" s="10" t="s">
        <v>5197</v>
      </c>
      <c r="D2138" s="10" t="s">
        <v>1004</v>
      </c>
      <c r="E2138" s="10" t="s">
        <v>4974</v>
      </c>
      <c r="F2138" s="10" t="s">
        <v>794</v>
      </c>
      <c r="G2138" s="10" t="s">
        <v>2494</v>
      </c>
      <c r="H2138" s="10" t="s">
        <v>1479</v>
      </c>
      <c r="I2138" s="10" t="s">
        <v>793</v>
      </c>
      <c r="J2138" s="10" t="s">
        <v>1004</v>
      </c>
    </row>
    <row r="2139" spans="1:10" ht="15" hidden="1" customHeight="1">
      <c r="A2139" s="9">
        <v>2135</v>
      </c>
      <c r="B2139" s="10" t="s">
        <v>5198</v>
      </c>
      <c r="C2139" s="10" t="s">
        <v>5199</v>
      </c>
      <c r="D2139" s="10" t="s">
        <v>1004</v>
      </c>
      <c r="E2139" s="10" t="s">
        <v>4974</v>
      </c>
      <c r="F2139" s="10" t="s">
        <v>794</v>
      </c>
      <c r="G2139" s="10" t="s">
        <v>2494</v>
      </c>
      <c r="H2139" s="10" t="s">
        <v>1479</v>
      </c>
      <c r="I2139" s="10" t="s">
        <v>793</v>
      </c>
      <c r="J2139" s="10" t="s">
        <v>1004</v>
      </c>
    </row>
    <row r="2140" spans="1:10" ht="15" hidden="1" customHeight="1">
      <c r="A2140" s="9">
        <v>2136</v>
      </c>
      <c r="B2140" s="10" t="s">
        <v>5200</v>
      </c>
      <c r="C2140" s="10" t="s">
        <v>5201</v>
      </c>
      <c r="D2140" s="10" t="s">
        <v>1004</v>
      </c>
      <c r="E2140" s="10" t="s">
        <v>4974</v>
      </c>
      <c r="F2140" s="10" t="s">
        <v>794</v>
      </c>
      <c r="G2140" s="10" t="s">
        <v>2494</v>
      </c>
      <c r="H2140" s="10" t="s">
        <v>1479</v>
      </c>
      <c r="I2140" s="10" t="s">
        <v>793</v>
      </c>
      <c r="J2140" s="10" t="s">
        <v>1004</v>
      </c>
    </row>
    <row r="2141" spans="1:10" ht="15" hidden="1" customHeight="1">
      <c r="A2141" s="9">
        <v>2137</v>
      </c>
      <c r="B2141" s="10" t="s">
        <v>5202</v>
      </c>
      <c r="C2141" s="10" t="s">
        <v>5203</v>
      </c>
      <c r="D2141" s="10" t="s">
        <v>1004</v>
      </c>
      <c r="E2141" s="10" t="s">
        <v>4974</v>
      </c>
      <c r="F2141" s="10" t="s">
        <v>794</v>
      </c>
      <c r="G2141" s="10" t="s">
        <v>2494</v>
      </c>
      <c r="H2141" s="10" t="s">
        <v>1479</v>
      </c>
      <c r="I2141" s="10" t="s">
        <v>793</v>
      </c>
      <c r="J2141" s="10" t="s">
        <v>1004</v>
      </c>
    </row>
    <row r="2142" spans="1:10" ht="15" hidden="1" customHeight="1">
      <c r="A2142" s="9">
        <v>2138</v>
      </c>
      <c r="B2142" s="10" t="s">
        <v>5204</v>
      </c>
      <c r="C2142" s="10" t="s">
        <v>5205</v>
      </c>
      <c r="D2142" s="10" t="s">
        <v>1004</v>
      </c>
      <c r="E2142" s="10" t="s">
        <v>4974</v>
      </c>
      <c r="F2142" s="10" t="s">
        <v>794</v>
      </c>
      <c r="G2142" s="10" t="s">
        <v>2494</v>
      </c>
      <c r="H2142" s="10" t="s">
        <v>1479</v>
      </c>
      <c r="I2142" s="10" t="s">
        <v>793</v>
      </c>
      <c r="J2142" s="10" t="s">
        <v>1004</v>
      </c>
    </row>
    <row r="2143" spans="1:10" ht="15" hidden="1" customHeight="1">
      <c r="A2143" s="9">
        <v>2139</v>
      </c>
      <c r="B2143" s="10" t="s">
        <v>5206</v>
      </c>
      <c r="C2143" s="10" t="s">
        <v>5207</v>
      </c>
      <c r="D2143" s="10" t="s">
        <v>1004</v>
      </c>
      <c r="E2143" s="10" t="s">
        <v>4974</v>
      </c>
      <c r="F2143" s="10" t="s">
        <v>794</v>
      </c>
      <c r="G2143" s="10" t="s">
        <v>2494</v>
      </c>
      <c r="H2143" s="10" t="s">
        <v>1479</v>
      </c>
      <c r="I2143" s="10" t="s">
        <v>793</v>
      </c>
      <c r="J2143" s="10" t="s">
        <v>1004</v>
      </c>
    </row>
    <row r="2144" spans="1:10" ht="15" hidden="1" customHeight="1">
      <c r="A2144" s="9">
        <v>2140</v>
      </c>
      <c r="B2144" s="10" t="s">
        <v>5208</v>
      </c>
      <c r="C2144" s="10" t="s">
        <v>5209</v>
      </c>
      <c r="D2144" s="10" t="s">
        <v>1004</v>
      </c>
      <c r="E2144" s="10" t="s">
        <v>4974</v>
      </c>
      <c r="F2144" s="10" t="s">
        <v>794</v>
      </c>
      <c r="G2144" s="10" t="s">
        <v>2494</v>
      </c>
      <c r="H2144" s="10" t="s">
        <v>1479</v>
      </c>
      <c r="I2144" s="10" t="s">
        <v>793</v>
      </c>
      <c r="J2144" s="10" t="s">
        <v>1004</v>
      </c>
    </row>
    <row r="2145" spans="1:10" ht="15" hidden="1" customHeight="1">
      <c r="A2145" s="9">
        <v>2141</v>
      </c>
      <c r="B2145" s="10" t="s">
        <v>5210</v>
      </c>
      <c r="C2145" s="10" t="s">
        <v>5211</v>
      </c>
      <c r="D2145" s="10" t="s">
        <v>1004</v>
      </c>
      <c r="E2145" s="10" t="s">
        <v>4974</v>
      </c>
      <c r="F2145" s="10" t="s">
        <v>794</v>
      </c>
      <c r="G2145" s="10" t="s">
        <v>2494</v>
      </c>
      <c r="H2145" s="10" t="s">
        <v>1479</v>
      </c>
      <c r="I2145" s="10" t="s">
        <v>793</v>
      </c>
      <c r="J2145" s="10" t="s">
        <v>1004</v>
      </c>
    </row>
    <row r="2146" spans="1:10" ht="15" hidden="1" customHeight="1">
      <c r="A2146" s="9">
        <v>2142</v>
      </c>
      <c r="B2146" s="10" t="s">
        <v>5212</v>
      </c>
      <c r="C2146" s="10" t="s">
        <v>5213</v>
      </c>
      <c r="D2146" s="10" t="s">
        <v>1004</v>
      </c>
      <c r="E2146" s="10" t="s">
        <v>4974</v>
      </c>
      <c r="F2146" s="10" t="s">
        <v>794</v>
      </c>
      <c r="G2146" s="10" t="s">
        <v>2494</v>
      </c>
      <c r="H2146" s="10" t="s">
        <v>1479</v>
      </c>
      <c r="I2146" s="10" t="s">
        <v>793</v>
      </c>
      <c r="J2146" s="10" t="s">
        <v>1004</v>
      </c>
    </row>
    <row r="2147" spans="1:10" ht="15" hidden="1" customHeight="1">
      <c r="A2147" s="9">
        <v>2143</v>
      </c>
      <c r="B2147" s="10" t="s">
        <v>5214</v>
      </c>
      <c r="C2147" s="10" t="s">
        <v>5215</v>
      </c>
      <c r="D2147" s="10" t="s">
        <v>1004</v>
      </c>
      <c r="E2147" s="10" t="s">
        <v>4974</v>
      </c>
      <c r="F2147" s="10" t="s">
        <v>794</v>
      </c>
      <c r="G2147" s="10" t="s">
        <v>2494</v>
      </c>
      <c r="H2147" s="10" t="s">
        <v>1479</v>
      </c>
      <c r="I2147" s="10" t="s">
        <v>793</v>
      </c>
      <c r="J2147" s="10" t="s">
        <v>1004</v>
      </c>
    </row>
    <row r="2148" spans="1:10" ht="15" hidden="1" customHeight="1">
      <c r="A2148" s="9">
        <v>2144</v>
      </c>
      <c r="B2148" s="10" t="s">
        <v>5216</v>
      </c>
      <c r="C2148" s="10" t="s">
        <v>5217</v>
      </c>
      <c r="D2148" s="10" t="s">
        <v>1004</v>
      </c>
      <c r="E2148" s="10" t="s">
        <v>4974</v>
      </c>
      <c r="F2148" s="10" t="s">
        <v>794</v>
      </c>
      <c r="G2148" s="10" t="s">
        <v>2494</v>
      </c>
      <c r="H2148" s="10" t="s">
        <v>1479</v>
      </c>
      <c r="I2148" s="10" t="s">
        <v>793</v>
      </c>
      <c r="J2148" s="10" t="s">
        <v>1004</v>
      </c>
    </row>
    <row r="2149" spans="1:10" ht="15" hidden="1" customHeight="1">
      <c r="A2149" s="9">
        <v>2145</v>
      </c>
      <c r="B2149" s="10" t="s">
        <v>5218</v>
      </c>
      <c r="C2149" s="10" t="s">
        <v>5219</v>
      </c>
      <c r="D2149" s="10" t="s">
        <v>1004</v>
      </c>
      <c r="E2149" s="10" t="s">
        <v>4974</v>
      </c>
      <c r="F2149" s="10" t="s">
        <v>794</v>
      </c>
      <c r="G2149" s="10" t="s">
        <v>2494</v>
      </c>
      <c r="H2149" s="10" t="s">
        <v>1479</v>
      </c>
      <c r="I2149" s="10" t="s">
        <v>793</v>
      </c>
      <c r="J2149" s="10" t="s">
        <v>1004</v>
      </c>
    </row>
    <row r="2150" spans="1:10" ht="15" hidden="1" customHeight="1">
      <c r="A2150" s="9">
        <v>2146</v>
      </c>
      <c r="B2150" s="10" t="s">
        <v>5220</v>
      </c>
      <c r="C2150" s="10" t="s">
        <v>5221</v>
      </c>
      <c r="D2150" s="10" t="s">
        <v>1004</v>
      </c>
      <c r="E2150" s="10" t="s">
        <v>4974</v>
      </c>
      <c r="F2150" s="10" t="s">
        <v>794</v>
      </c>
      <c r="G2150" s="10" t="s">
        <v>2494</v>
      </c>
      <c r="H2150" s="10" t="s">
        <v>1479</v>
      </c>
      <c r="I2150" s="10" t="s">
        <v>793</v>
      </c>
      <c r="J2150" s="10" t="s">
        <v>1004</v>
      </c>
    </row>
    <row r="2151" spans="1:10" ht="15" hidden="1" customHeight="1">
      <c r="A2151" s="9">
        <v>2147</v>
      </c>
      <c r="B2151" s="10" t="s">
        <v>5222</v>
      </c>
      <c r="C2151" s="10" t="s">
        <v>5223</v>
      </c>
      <c r="D2151" s="10" t="s">
        <v>1004</v>
      </c>
      <c r="E2151" s="10" t="s">
        <v>4974</v>
      </c>
      <c r="F2151" s="10" t="s">
        <v>794</v>
      </c>
      <c r="G2151" s="10" t="s">
        <v>2494</v>
      </c>
      <c r="H2151" s="10" t="s">
        <v>1479</v>
      </c>
      <c r="I2151" s="10" t="s">
        <v>793</v>
      </c>
      <c r="J2151" s="10" t="s">
        <v>1004</v>
      </c>
    </row>
    <row r="2152" spans="1:10" ht="15" hidden="1" customHeight="1">
      <c r="A2152" s="9">
        <v>2148</v>
      </c>
      <c r="B2152" s="10" t="s">
        <v>5224</v>
      </c>
      <c r="C2152" s="10" t="s">
        <v>5225</v>
      </c>
      <c r="D2152" s="10" t="s">
        <v>1004</v>
      </c>
      <c r="E2152" s="10" t="s">
        <v>4974</v>
      </c>
      <c r="F2152" s="10" t="s">
        <v>794</v>
      </c>
      <c r="G2152" s="10" t="s">
        <v>2494</v>
      </c>
      <c r="H2152" s="10" t="s">
        <v>1479</v>
      </c>
      <c r="I2152" s="10" t="s">
        <v>793</v>
      </c>
      <c r="J2152" s="10" t="s">
        <v>1004</v>
      </c>
    </row>
    <row r="2153" spans="1:10" ht="15" hidden="1" customHeight="1">
      <c r="A2153" s="9">
        <v>2149</v>
      </c>
      <c r="B2153" s="10" t="s">
        <v>5226</v>
      </c>
      <c r="C2153" s="10" t="s">
        <v>5227</v>
      </c>
      <c r="D2153" s="10" t="s">
        <v>1004</v>
      </c>
      <c r="E2153" s="10" t="s">
        <v>4974</v>
      </c>
      <c r="F2153" s="10" t="s">
        <v>794</v>
      </c>
      <c r="G2153" s="10" t="s">
        <v>2494</v>
      </c>
      <c r="H2153" s="10" t="s">
        <v>1479</v>
      </c>
      <c r="I2153" s="10" t="s">
        <v>793</v>
      </c>
      <c r="J2153" s="10" t="s">
        <v>1004</v>
      </c>
    </row>
    <row r="2154" spans="1:10" ht="15" hidden="1" customHeight="1">
      <c r="A2154" s="9">
        <v>2150</v>
      </c>
      <c r="B2154" s="10" t="s">
        <v>5228</v>
      </c>
      <c r="C2154" s="10" t="s">
        <v>5229</v>
      </c>
      <c r="D2154" s="10" t="s">
        <v>1004</v>
      </c>
      <c r="E2154" s="10" t="s">
        <v>4974</v>
      </c>
      <c r="F2154" s="10" t="s">
        <v>794</v>
      </c>
      <c r="G2154" s="10" t="s">
        <v>2494</v>
      </c>
      <c r="H2154" s="10" t="s">
        <v>1479</v>
      </c>
      <c r="I2154" s="10" t="s">
        <v>793</v>
      </c>
      <c r="J2154" s="10" t="s">
        <v>1004</v>
      </c>
    </row>
    <row r="2155" spans="1:10" ht="15" hidden="1" customHeight="1">
      <c r="A2155" s="9">
        <v>2151</v>
      </c>
      <c r="B2155" s="10" t="s">
        <v>5230</v>
      </c>
      <c r="C2155" s="10" t="s">
        <v>5231</v>
      </c>
      <c r="D2155" s="10" t="s">
        <v>1004</v>
      </c>
      <c r="E2155" s="10" t="s">
        <v>4974</v>
      </c>
      <c r="F2155" s="10" t="s">
        <v>794</v>
      </c>
      <c r="G2155" s="10" t="s">
        <v>2494</v>
      </c>
      <c r="H2155" s="10" t="s">
        <v>1479</v>
      </c>
      <c r="I2155" s="10" t="s">
        <v>793</v>
      </c>
      <c r="J2155" s="10" t="s">
        <v>1004</v>
      </c>
    </row>
    <row r="2156" spans="1:10" ht="15" hidden="1" customHeight="1">
      <c r="A2156" s="9">
        <v>2152</v>
      </c>
      <c r="B2156" s="10" t="s">
        <v>5232</v>
      </c>
      <c r="C2156" s="10" t="s">
        <v>5233</v>
      </c>
      <c r="D2156" s="10" t="s">
        <v>1004</v>
      </c>
      <c r="E2156" s="10" t="s">
        <v>4974</v>
      </c>
      <c r="F2156" s="10" t="s">
        <v>794</v>
      </c>
      <c r="G2156" s="10" t="s">
        <v>2494</v>
      </c>
      <c r="H2156" s="10" t="s">
        <v>1479</v>
      </c>
      <c r="I2156" s="10" t="s">
        <v>793</v>
      </c>
      <c r="J2156" s="10" t="s">
        <v>1004</v>
      </c>
    </row>
    <row r="2157" spans="1:10" ht="15" hidden="1" customHeight="1">
      <c r="A2157" s="9">
        <v>2153</v>
      </c>
      <c r="B2157" s="10" t="s">
        <v>5234</v>
      </c>
      <c r="C2157" s="10" t="s">
        <v>5235</v>
      </c>
      <c r="D2157" s="10" t="s">
        <v>1004</v>
      </c>
      <c r="E2157" s="10" t="s">
        <v>4974</v>
      </c>
      <c r="F2157" s="10" t="s">
        <v>794</v>
      </c>
      <c r="G2157" s="10" t="s">
        <v>2494</v>
      </c>
      <c r="H2157" s="10" t="s">
        <v>1479</v>
      </c>
      <c r="I2157" s="10" t="s">
        <v>793</v>
      </c>
      <c r="J2157" s="10" t="s">
        <v>1004</v>
      </c>
    </row>
    <row r="2158" spans="1:10" ht="15" hidden="1" customHeight="1">
      <c r="A2158" s="9">
        <v>2154</v>
      </c>
      <c r="B2158" s="10" t="s">
        <v>5236</v>
      </c>
      <c r="C2158" s="10" t="s">
        <v>5237</v>
      </c>
      <c r="D2158" s="10" t="s">
        <v>1004</v>
      </c>
      <c r="E2158" s="10" t="s">
        <v>4974</v>
      </c>
      <c r="F2158" s="10" t="s">
        <v>794</v>
      </c>
      <c r="G2158" s="10" t="s">
        <v>2494</v>
      </c>
      <c r="H2158" s="10" t="s">
        <v>1479</v>
      </c>
      <c r="I2158" s="10" t="s">
        <v>793</v>
      </c>
      <c r="J2158" s="10" t="s">
        <v>1004</v>
      </c>
    </row>
    <row r="2159" spans="1:10" ht="15" hidden="1" customHeight="1">
      <c r="A2159" s="9">
        <v>2155</v>
      </c>
      <c r="B2159" s="10" t="s">
        <v>5238</v>
      </c>
      <c r="C2159" s="10" t="s">
        <v>5239</v>
      </c>
      <c r="D2159" s="10" t="s">
        <v>1004</v>
      </c>
      <c r="E2159" s="10" t="s">
        <v>4974</v>
      </c>
      <c r="F2159" s="10" t="s">
        <v>794</v>
      </c>
      <c r="G2159" s="10" t="s">
        <v>2494</v>
      </c>
      <c r="H2159" s="10" t="s">
        <v>1479</v>
      </c>
      <c r="I2159" s="10" t="s">
        <v>793</v>
      </c>
      <c r="J2159" s="10" t="s">
        <v>1004</v>
      </c>
    </row>
    <row r="2160" spans="1:10" ht="15" hidden="1" customHeight="1">
      <c r="A2160" s="9">
        <v>2156</v>
      </c>
      <c r="B2160" s="10" t="s">
        <v>5240</v>
      </c>
      <c r="C2160" s="10" t="s">
        <v>5241</v>
      </c>
      <c r="D2160" s="10" t="s">
        <v>1004</v>
      </c>
      <c r="E2160" s="10" t="s">
        <v>4974</v>
      </c>
      <c r="F2160" s="10" t="s">
        <v>794</v>
      </c>
      <c r="G2160" s="10" t="s">
        <v>2494</v>
      </c>
      <c r="H2160" s="10" t="s">
        <v>1479</v>
      </c>
      <c r="I2160" s="10" t="s">
        <v>793</v>
      </c>
      <c r="J2160" s="10" t="s">
        <v>1004</v>
      </c>
    </row>
    <row r="2161" spans="1:10" ht="15" hidden="1" customHeight="1">
      <c r="A2161" s="9">
        <v>2157</v>
      </c>
      <c r="B2161" s="10" t="s">
        <v>5242</v>
      </c>
      <c r="C2161" s="10" t="s">
        <v>5243</v>
      </c>
      <c r="D2161" s="10" t="s">
        <v>1004</v>
      </c>
      <c r="E2161" s="10" t="s">
        <v>4974</v>
      </c>
      <c r="F2161" s="10" t="s">
        <v>794</v>
      </c>
      <c r="G2161" s="10" t="s">
        <v>2494</v>
      </c>
      <c r="H2161" s="10" t="s">
        <v>1479</v>
      </c>
      <c r="I2161" s="10" t="s">
        <v>793</v>
      </c>
      <c r="J2161" s="10" t="s">
        <v>1004</v>
      </c>
    </row>
    <row r="2162" spans="1:10" ht="15" hidden="1" customHeight="1">
      <c r="A2162" s="9">
        <v>2158</v>
      </c>
      <c r="B2162" s="10" t="s">
        <v>5244</v>
      </c>
      <c r="C2162" s="10" t="s">
        <v>5245</v>
      </c>
      <c r="D2162" s="10" t="s">
        <v>1004</v>
      </c>
      <c r="E2162" s="10" t="s">
        <v>4974</v>
      </c>
      <c r="F2162" s="10" t="s">
        <v>794</v>
      </c>
      <c r="G2162" s="10" t="s">
        <v>2494</v>
      </c>
      <c r="H2162" s="10" t="s">
        <v>1479</v>
      </c>
      <c r="I2162" s="10" t="s">
        <v>793</v>
      </c>
      <c r="J2162" s="10" t="s">
        <v>1004</v>
      </c>
    </row>
    <row r="2163" spans="1:10" ht="15" hidden="1" customHeight="1">
      <c r="A2163" s="9">
        <v>2159</v>
      </c>
      <c r="B2163" s="10" t="s">
        <v>5246</v>
      </c>
      <c r="C2163" s="10" t="s">
        <v>5247</v>
      </c>
      <c r="D2163" s="10" t="s">
        <v>1004</v>
      </c>
      <c r="E2163" s="10" t="s">
        <v>4974</v>
      </c>
      <c r="F2163" s="10" t="s">
        <v>794</v>
      </c>
      <c r="G2163" s="10" t="s">
        <v>2494</v>
      </c>
      <c r="H2163" s="10" t="s">
        <v>1479</v>
      </c>
      <c r="I2163" s="10" t="s">
        <v>793</v>
      </c>
      <c r="J2163" s="10" t="s">
        <v>1004</v>
      </c>
    </row>
    <row r="2164" spans="1:10" ht="15" hidden="1" customHeight="1">
      <c r="A2164" s="9">
        <v>2160</v>
      </c>
      <c r="B2164" s="10" t="s">
        <v>5248</v>
      </c>
      <c r="C2164" s="10" t="s">
        <v>5249</v>
      </c>
      <c r="D2164" s="10" t="s">
        <v>1004</v>
      </c>
      <c r="E2164" s="10" t="s">
        <v>4974</v>
      </c>
      <c r="F2164" s="10" t="s">
        <v>794</v>
      </c>
      <c r="G2164" s="10" t="s">
        <v>2494</v>
      </c>
      <c r="H2164" s="10" t="s">
        <v>1479</v>
      </c>
      <c r="I2164" s="10" t="s">
        <v>793</v>
      </c>
      <c r="J2164" s="10" t="s">
        <v>1004</v>
      </c>
    </row>
    <row r="2165" spans="1:10" ht="15" hidden="1" customHeight="1">
      <c r="A2165" s="9">
        <v>2161</v>
      </c>
      <c r="B2165" s="10" t="s">
        <v>5250</v>
      </c>
      <c r="C2165" s="10" t="s">
        <v>5251</v>
      </c>
      <c r="D2165" s="10" t="s">
        <v>1004</v>
      </c>
      <c r="E2165" s="10" t="s">
        <v>4974</v>
      </c>
      <c r="F2165" s="10" t="s">
        <v>794</v>
      </c>
      <c r="G2165" s="10" t="s">
        <v>2494</v>
      </c>
      <c r="H2165" s="10" t="s">
        <v>1479</v>
      </c>
      <c r="I2165" s="10" t="s">
        <v>793</v>
      </c>
      <c r="J2165" s="10" t="s">
        <v>1004</v>
      </c>
    </row>
    <row r="2166" spans="1:10" ht="15" hidden="1" customHeight="1">
      <c r="A2166" s="9">
        <v>2162</v>
      </c>
      <c r="B2166" s="10" t="s">
        <v>5252</v>
      </c>
      <c r="C2166" s="10" t="s">
        <v>5253</v>
      </c>
      <c r="D2166" s="10" t="s">
        <v>1004</v>
      </c>
      <c r="E2166" s="10" t="s">
        <v>4974</v>
      </c>
      <c r="F2166" s="10" t="s">
        <v>794</v>
      </c>
      <c r="G2166" s="10" t="s">
        <v>2494</v>
      </c>
      <c r="H2166" s="10" t="s">
        <v>1479</v>
      </c>
      <c r="I2166" s="10" t="s">
        <v>793</v>
      </c>
      <c r="J2166" s="10" t="s">
        <v>1004</v>
      </c>
    </row>
    <row r="2167" spans="1:10" ht="15" hidden="1" customHeight="1">
      <c r="A2167" s="9">
        <v>2163</v>
      </c>
      <c r="B2167" s="10" t="s">
        <v>5254</v>
      </c>
      <c r="C2167" s="10" t="s">
        <v>5255</v>
      </c>
      <c r="D2167" s="10" t="s">
        <v>1004</v>
      </c>
      <c r="E2167" s="10" t="s">
        <v>4974</v>
      </c>
      <c r="F2167" s="10" t="s">
        <v>794</v>
      </c>
      <c r="G2167" s="10" t="s">
        <v>2494</v>
      </c>
      <c r="H2167" s="10" t="s">
        <v>1479</v>
      </c>
      <c r="I2167" s="10" t="s">
        <v>793</v>
      </c>
      <c r="J2167" s="10" t="s">
        <v>1004</v>
      </c>
    </row>
    <row r="2168" spans="1:10" ht="15" hidden="1" customHeight="1">
      <c r="A2168" s="9">
        <v>2164</v>
      </c>
      <c r="B2168" s="10" t="s">
        <v>5256</v>
      </c>
      <c r="C2168" s="10" t="s">
        <v>5257</v>
      </c>
      <c r="D2168" s="10" t="s">
        <v>1004</v>
      </c>
      <c r="E2168" s="10" t="s">
        <v>4974</v>
      </c>
      <c r="F2168" s="10" t="s">
        <v>794</v>
      </c>
      <c r="G2168" s="10" t="s">
        <v>2494</v>
      </c>
      <c r="H2168" s="10" t="s">
        <v>1479</v>
      </c>
      <c r="I2168" s="10" t="s">
        <v>793</v>
      </c>
      <c r="J2168" s="10" t="s">
        <v>1004</v>
      </c>
    </row>
    <row r="2169" spans="1:10" ht="15" hidden="1" customHeight="1">
      <c r="A2169" s="9">
        <v>2165</v>
      </c>
      <c r="B2169" s="10" t="s">
        <v>5258</v>
      </c>
      <c r="C2169" s="10" t="s">
        <v>5259</v>
      </c>
      <c r="D2169" s="10" t="s">
        <v>1004</v>
      </c>
      <c r="E2169" s="10" t="s">
        <v>4974</v>
      </c>
      <c r="F2169" s="10" t="s">
        <v>794</v>
      </c>
      <c r="G2169" s="10" t="s">
        <v>2494</v>
      </c>
      <c r="H2169" s="10" t="s">
        <v>1479</v>
      </c>
      <c r="I2169" s="10" t="s">
        <v>793</v>
      </c>
      <c r="J2169" s="10" t="s">
        <v>1004</v>
      </c>
    </row>
    <row r="2170" spans="1:10" ht="15" hidden="1" customHeight="1">
      <c r="A2170" s="9">
        <v>2166</v>
      </c>
      <c r="B2170" s="10" t="s">
        <v>5260</v>
      </c>
      <c r="C2170" s="10" t="s">
        <v>5261</v>
      </c>
      <c r="D2170" s="10" t="s">
        <v>1004</v>
      </c>
      <c r="E2170" s="10" t="s">
        <v>4974</v>
      </c>
      <c r="F2170" s="10" t="s">
        <v>794</v>
      </c>
      <c r="G2170" s="10" t="s">
        <v>2494</v>
      </c>
      <c r="H2170" s="10" t="s">
        <v>1479</v>
      </c>
      <c r="I2170" s="10" t="s">
        <v>793</v>
      </c>
      <c r="J2170" s="10" t="s">
        <v>1004</v>
      </c>
    </row>
    <row r="2171" spans="1:10" ht="15" hidden="1" customHeight="1">
      <c r="A2171" s="9">
        <v>2167</v>
      </c>
      <c r="B2171" s="10" t="s">
        <v>5262</v>
      </c>
      <c r="C2171" s="10" t="s">
        <v>5263</v>
      </c>
      <c r="D2171" s="10" t="s">
        <v>1004</v>
      </c>
      <c r="E2171" s="10" t="s">
        <v>4974</v>
      </c>
      <c r="F2171" s="10" t="s">
        <v>794</v>
      </c>
      <c r="G2171" s="10" t="s">
        <v>2494</v>
      </c>
      <c r="H2171" s="10" t="s">
        <v>1479</v>
      </c>
      <c r="I2171" s="10" t="s">
        <v>793</v>
      </c>
      <c r="J2171" s="10" t="s">
        <v>1004</v>
      </c>
    </row>
    <row r="2172" spans="1:10" ht="15" hidden="1" customHeight="1">
      <c r="A2172" s="9">
        <v>2168</v>
      </c>
      <c r="B2172" s="10" t="s">
        <v>5264</v>
      </c>
      <c r="C2172" s="10" t="s">
        <v>5265</v>
      </c>
      <c r="D2172" s="10" t="s">
        <v>1004</v>
      </c>
      <c r="E2172" s="10" t="s">
        <v>4974</v>
      </c>
      <c r="F2172" s="10" t="s">
        <v>794</v>
      </c>
      <c r="G2172" s="10" t="s">
        <v>2494</v>
      </c>
      <c r="H2172" s="10" t="s">
        <v>1479</v>
      </c>
      <c r="I2172" s="10" t="s">
        <v>793</v>
      </c>
      <c r="J2172" s="10" t="s">
        <v>1004</v>
      </c>
    </row>
    <row r="2173" spans="1:10" ht="15" hidden="1" customHeight="1">
      <c r="A2173" s="9">
        <v>2169</v>
      </c>
      <c r="B2173" s="10" t="s">
        <v>5266</v>
      </c>
      <c r="C2173" s="10" t="s">
        <v>5267</v>
      </c>
      <c r="D2173" s="10" t="s">
        <v>1004</v>
      </c>
      <c r="E2173" s="10" t="s">
        <v>4974</v>
      </c>
      <c r="F2173" s="10" t="s">
        <v>794</v>
      </c>
      <c r="G2173" s="10" t="s">
        <v>2494</v>
      </c>
      <c r="H2173" s="10" t="s">
        <v>1479</v>
      </c>
      <c r="I2173" s="10" t="s">
        <v>793</v>
      </c>
      <c r="J2173" s="10" t="s">
        <v>1004</v>
      </c>
    </row>
    <row r="2174" spans="1:10" ht="15" hidden="1" customHeight="1">
      <c r="A2174" s="9">
        <v>2170</v>
      </c>
      <c r="B2174" s="10" t="s">
        <v>5268</v>
      </c>
      <c r="C2174" s="10" t="s">
        <v>5269</v>
      </c>
      <c r="D2174" s="10" t="s">
        <v>1004</v>
      </c>
      <c r="E2174" s="10" t="s">
        <v>4974</v>
      </c>
      <c r="F2174" s="10" t="s">
        <v>794</v>
      </c>
      <c r="G2174" s="10" t="s">
        <v>2494</v>
      </c>
      <c r="H2174" s="10" t="s">
        <v>1479</v>
      </c>
      <c r="I2174" s="10" t="s">
        <v>793</v>
      </c>
      <c r="J2174" s="10" t="s">
        <v>1004</v>
      </c>
    </row>
    <row r="2175" spans="1:10" ht="15" hidden="1" customHeight="1">
      <c r="A2175" s="9">
        <v>2171</v>
      </c>
      <c r="B2175" s="10" t="s">
        <v>5270</v>
      </c>
      <c r="C2175" s="10" t="s">
        <v>5271</v>
      </c>
      <c r="D2175" s="10" t="s">
        <v>1004</v>
      </c>
      <c r="E2175" s="10" t="s">
        <v>4974</v>
      </c>
      <c r="F2175" s="10" t="s">
        <v>794</v>
      </c>
      <c r="G2175" s="10" t="s">
        <v>2494</v>
      </c>
      <c r="H2175" s="10" t="s">
        <v>1479</v>
      </c>
      <c r="I2175" s="10" t="s">
        <v>793</v>
      </c>
      <c r="J2175" s="10" t="s">
        <v>1004</v>
      </c>
    </row>
    <row r="2176" spans="1:10" ht="15" hidden="1" customHeight="1">
      <c r="A2176" s="9">
        <v>2172</v>
      </c>
      <c r="B2176" s="10" t="s">
        <v>5272</v>
      </c>
      <c r="C2176" s="10" t="s">
        <v>5273</v>
      </c>
      <c r="D2176" s="10" t="s">
        <v>1004</v>
      </c>
      <c r="E2176" s="10" t="s">
        <v>4974</v>
      </c>
      <c r="F2176" s="10" t="s">
        <v>794</v>
      </c>
      <c r="G2176" s="10" t="s">
        <v>2494</v>
      </c>
      <c r="H2176" s="10" t="s">
        <v>1479</v>
      </c>
      <c r="I2176" s="10" t="s">
        <v>793</v>
      </c>
      <c r="J2176" s="10" t="s">
        <v>1004</v>
      </c>
    </row>
    <row r="2177" spans="1:10" ht="15" hidden="1" customHeight="1">
      <c r="A2177" s="9">
        <v>2173</v>
      </c>
      <c r="B2177" s="10" t="s">
        <v>5274</v>
      </c>
      <c r="C2177" s="10" t="s">
        <v>5275</v>
      </c>
      <c r="D2177" s="10" t="s">
        <v>1004</v>
      </c>
      <c r="E2177" s="10" t="s">
        <v>4974</v>
      </c>
      <c r="F2177" s="10" t="s">
        <v>794</v>
      </c>
      <c r="G2177" s="10" t="s">
        <v>2494</v>
      </c>
      <c r="H2177" s="10" t="s">
        <v>1479</v>
      </c>
      <c r="I2177" s="10" t="s">
        <v>793</v>
      </c>
      <c r="J2177" s="10" t="s">
        <v>1004</v>
      </c>
    </row>
    <row r="2178" spans="1:10" ht="15" hidden="1" customHeight="1">
      <c r="A2178" s="9">
        <v>2174</v>
      </c>
      <c r="B2178" s="10" t="s">
        <v>5276</v>
      </c>
      <c r="C2178" s="10" t="s">
        <v>5277</v>
      </c>
      <c r="D2178" s="10" t="s">
        <v>1004</v>
      </c>
      <c r="E2178" s="10" t="s">
        <v>4974</v>
      </c>
      <c r="F2178" s="10" t="s">
        <v>794</v>
      </c>
      <c r="G2178" s="10" t="s">
        <v>2494</v>
      </c>
      <c r="H2178" s="10" t="s">
        <v>1479</v>
      </c>
      <c r="I2178" s="10" t="s">
        <v>793</v>
      </c>
      <c r="J2178" s="10" t="s">
        <v>1004</v>
      </c>
    </row>
    <row r="2179" spans="1:10" ht="15" hidden="1" customHeight="1">
      <c r="A2179" s="9">
        <v>2175</v>
      </c>
      <c r="B2179" s="10" t="s">
        <v>5278</v>
      </c>
      <c r="C2179" s="10" t="s">
        <v>5279</v>
      </c>
      <c r="D2179" s="10" t="s">
        <v>1004</v>
      </c>
      <c r="E2179" s="10" t="s">
        <v>4974</v>
      </c>
      <c r="F2179" s="10" t="s">
        <v>794</v>
      </c>
      <c r="G2179" s="10" t="s">
        <v>2494</v>
      </c>
      <c r="H2179" s="10" t="s">
        <v>1479</v>
      </c>
      <c r="I2179" s="10" t="s">
        <v>793</v>
      </c>
      <c r="J2179" s="10" t="s">
        <v>1004</v>
      </c>
    </row>
    <row r="2180" spans="1:10" ht="15" hidden="1" customHeight="1">
      <c r="A2180" s="9">
        <v>2176</v>
      </c>
      <c r="B2180" s="10" t="s">
        <v>5280</v>
      </c>
      <c r="C2180" s="10" t="s">
        <v>5281</v>
      </c>
      <c r="D2180" s="10" t="s">
        <v>1004</v>
      </c>
      <c r="E2180" s="10" t="s">
        <v>4974</v>
      </c>
      <c r="F2180" s="10" t="s">
        <v>794</v>
      </c>
      <c r="G2180" s="10" t="s">
        <v>2494</v>
      </c>
      <c r="H2180" s="10" t="s">
        <v>1479</v>
      </c>
      <c r="I2180" s="10" t="s">
        <v>793</v>
      </c>
      <c r="J2180" s="10" t="s">
        <v>1004</v>
      </c>
    </row>
    <row r="2181" spans="1:10" ht="15" hidden="1" customHeight="1">
      <c r="A2181" s="9">
        <v>2177</v>
      </c>
      <c r="B2181" s="10" t="s">
        <v>5282</v>
      </c>
      <c r="C2181" s="10" t="s">
        <v>5283</v>
      </c>
      <c r="D2181" s="10" t="s">
        <v>1004</v>
      </c>
      <c r="E2181" s="10" t="s">
        <v>4974</v>
      </c>
      <c r="F2181" s="10" t="s">
        <v>794</v>
      </c>
      <c r="G2181" s="10" t="s">
        <v>2494</v>
      </c>
      <c r="H2181" s="10" t="s">
        <v>1479</v>
      </c>
      <c r="I2181" s="10" t="s">
        <v>793</v>
      </c>
      <c r="J2181" s="10" t="s">
        <v>1004</v>
      </c>
    </row>
    <row r="2182" spans="1:10" ht="15" hidden="1" customHeight="1">
      <c r="A2182" s="9">
        <v>2178</v>
      </c>
      <c r="B2182" s="10" t="s">
        <v>5284</v>
      </c>
      <c r="C2182" s="10" t="s">
        <v>5285</v>
      </c>
      <c r="D2182" s="10" t="s">
        <v>1004</v>
      </c>
      <c r="E2182" s="10" t="s">
        <v>4974</v>
      </c>
      <c r="F2182" s="10" t="s">
        <v>794</v>
      </c>
      <c r="G2182" s="10" t="s">
        <v>2494</v>
      </c>
      <c r="H2182" s="10" t="s">
        <v>1479</v>
      </c>
      <c r="I2182" s="10" t="s">
        <v>793</v>
      </c>
      <c r="J2182" s="10" t="s">
        <v>1004</v>
      </c>
    </row>
    <row r="2183" spans="1:10" ht="15" hidden="1" customHeight="1">
      <c r="A2183" s="9">
        <v>2179</v>
      </c>
      <c r="B2183" s="10" t="s">
        <v>5286</v>
      </c>
      <c r="C2183" s="10" t="s">
        <v>5287</v>
      </c>
      <c r="D2183" s="10" t="s">
        <v>1460</v>
      </c>
      <c r="E2183" s="10" t="s">
        <v>4978</v>
      </c>
      <c r="F2183" s="10" t="s">
        <v>794</v>
      </c>
      <c r="G2183" s="10" t="s">
        <v>2514</v>
      </c>
      <c r="H2183" s="10" t="s">
        <v>1479</v>
      </c>
      <c r="I2183" s="10" t="s">
        <v>793</v>
      </c>
      <c r="J2183" s="10" t="s">
        <v>1460</v>
      </c>
    </row>
    <row r="2184" spans="1:10" ht="15" hidden="1" customHeight="1">
      <c r="A2184" s="9">
        <v>2180</v>
      </c>
      <c r="B2184" s="10" t="s">
        <v>5288</v>
      </c>
      <c r="C2184" s="10" t="s">
        <v>5289</v>
      </c>
      <c r="D2184" s="10" t="s">
        <v>1460</v>
      </c>
      <c r="E2184" s="10" t="s">
        <v>4978</v>
      </c>
      <c r="F2184" s="10" t="s">
        <v>794</v>
      </c>
      <c r="G2184" s="10" t="s">
        <v>2514</v>
      </c>
      <c r="H2184" s="10" t="s">
        <v>1479</v>
      </c>
      <c r="I2184" s="10" t="s">
        <v>793</v>
      </c>
      <c r="J2184" s="10" t="s">
        <v>1460</v>
      </c>
    </row>
    <row r="2185" spans="1:10" ht="15" hidden="1" customHeight="1">
      <c r="A2185" s="9">
        <v>2181</v>
      </c>
      <c r="B2185" s="10" t="s">
        <v>5290</v>
      </c>
      <c r="C2185" s="10" t="s">
        <v>5291</v>
      </c>
      <c r="D2185" s="10" t="s">
        <v>1460</v>
      </c>
      <c r="E2185" s="10" t="s">
        <v>4978</v>
      </c>
      <c r="F2185" s="10" t="s">
        <v>794</v>
      </c>
      <c r="G2185" s="10" t="s">
        <v>2514</v>
      </c>
      <c r="H2185" s="10" t="s">
        <v>1479</v>
      </c>
      <c r="I2185" s="10" t="s">
        <v>793</v>
      </c>
      <c r="J2185" s="10" t="s">
        <v>1460</v>
      </c>
    </row>
    <row r="2186" spans="1:10" ht="15" hidden="1" customHeight="1">
      <c r="A2186" s="9">
        <v>2182</v>
      </c>
      <c r="B2186" s="10" t="s">
        <v>5292</v>
      </c>
      <c r="C2186" s="10" t="s">
        <v>5293</v>
      </c>
      <c r="D2186" s="10" t="s">
        <v>1460</v>
      </c>
      <c r="E2186" s="10" t="s">
        <v>4980</v>
      </c>
      <c r="F2186" s="10" t="s">
        <v>794</v>
      </c>
      <c r="G2186" s="10" t="s">
        <v>2517</v>
      </c>
      <c r="H2186" s="10" t="s">
        <v>1479</v>
      </c>
      <c r="I2186" s="10" t="s">
        <v>793</v>
      </c>
      <c r="J2186" s="10" t="s">
        <v>1460</v>
      </c>
    </row>
    <row r="2187" spans="1:10" ht="15" hidden="1" customHeight="1">
      <c r="A2187" s="9">
        <v>2183</v>
      </c>
      <c r="B2187" s="10" t="s">
        <v>5294</v>
      </c>
      <c r="C2187" s="10" t="s">
        <v>5295</v>
      </c>
      <c r="D2187" s="10" t="s">
        <v>1460</v>
      </c>
      <c r="E2187" s="10" t="s">
        <v>4980</v>
      </c>
      <c r="F2187" s="10" t="s">
        <v>794</v>
      </c>
      <c r="G2187" s="10" t="s">
        <v>2517</v>
      </c>
      <c r="H2187" s="10" t="s">
        <v>1479</v>
      </c>
      <c r="I2187" s="10" t="s">
        <v>793</v>
      </c>
      <c r="J2187" s="10" t="s">
        <v>1460</v>
      </c>
    </row>
    <row r="2188" spans="1:10" ht="15" hidden="1" customHeight="1">
      <c r="A2188" s="9">
        <v>2184</v>
      </c>
      <c r="B2188" s="10" t="s">
        <v>5296</v>
      </c>
      <c r="C2188" s="10" t="s">
        <v>5297</v>
      </c>
      <c r="D2188" s="10" t="s">
        <v>1460</v>
      </c>
      <c r="E2188" s="10" t="s">
        <v>4980</v>
      </c>
      <c r="F2188" s="10" t="s">
        <v>794</v>
      </c>
      <c r="G2188" s="10" t="s">
        <v>2517</v>
      </c>
      <c r="H2188" s="10" t="s">
        <v>1479</v>
      </c>
      <c r="I2188" s="10" t="s">
        <v>793</v>
      </c>
      <c r="J2188" s="10" t="s">
        <v>1460</v>
      </c>
    </row>
    <row r="2189" spans="1:10" ht="15" hidden="1" customHeight="1">
      <c r="A2189" s="9">
        <v>2185</v>
      </c>
      <c r="B2189" s="10" t="s">
        <v>5298</v>
      </c>
      <c r="C2189" s="10" t="s">
        <v>5299</v>
      </c>
      <c r="D2189" s="10" t="s">
        <v>1460</v>
      </c>
      <c r="E2189" s="10" t="s">
        <v>4980</v>
      </c>
      <c r="F2189" s="10" t="s">
        <v>794</v>
      </c>
      <c r="G2189" s="10" t="s">
        <v>2517</v>
      </c>
      <c r="H2189" s="10" t="s">
        <v>1479</v>
      </c>
      <c r="I2189" s="10" t="s">
        <v>793</v>
      </c>
      <c r="J2189" s="10" t="s">
        <v>1460</v>
      </c>
    </row>
    <row r="2190" spans="1:10" ht="15" hidden="1" customHeight="1">
      <c r="A2190" s="9">
        <v>2186</v>
      </c>
      <c r="B2190" s="10" t="s">
        <v>5300</v>
      </c>
      <c r="C2190" s="10" t="s">
        <v>5301</v>
      </c>
      <c r="D2190" s="10" t="s">
        <v>1460</v>
      </c>
      <c r="E2190" s="10" t="s">
        <v>4980</v>
      </c>
      <c r="F2190" s="10" t="s">
        <v>794</v>
      </c>
      <c r="G2190" s="10" t="s">
        <v>2517</v>
      </c>
      <c r="H2190" s="10" t="s">
        <v>1479</v>
      </c>
      <c r="I2190" s="10" t="s">
        <v>793</v>
      </c>
      <c r="J2190" s="10" t="s">
        <v>1460</v>
      </c>
    </row>
    <row r="2191" spans="1:10" ht="15" hidden="1" customHeight="1">
      <c r="A2191" s="9">
        <v>2187</v>
      </c>
      <c r="B2191" s="10" t="s">
        <v>5302</v>
      </c>
      <c r="C2191" s="10" t="s">
        <v>5303</v>
      </c>
      <c r="D2191" s="10" t="s">
        <v>1460</v>
      </c>
      <c r="E2191" s="10" t="s">
        <v>4980</v>
      </c>
      <c r="F2191" s="10" t="s">
        <v>794</v>
      </c>
      <c r="G2191" s="10" t="s">
        <v>2517</v>
      </c>
      <c r="H2191" s="10" t="s">
        <v>1479</v>
      </c>
      <c r="I2191" s="10" t="s">
        <v>793</v>
      </c>
      <c r="J2191" s="10" t="s">
        <v>1460</v>
      </c>
    </row>
    <row r="2192" spans="1:10" ht="15" hidden="1" customHeight="1">
      <c r="A2192" s="9">
        <v>2188</v>
      </c>
      <c r="B2192" s="10" t="s">
        <v>5304</v>
      </c>
      <c r="C2192" s="10" t="s">
        <v>5305</v>
      </c>
      <c r="D2192" s="10" t="s">
        <v>1460</v>
      </c>
      <c r="E2192" s="10" t="s">
        <v>4980</v>
      </c>
      <c r="F2192" s="10" t="s">
        <v>794</v>
      </c>
      <c r="G2192" s="10" t="s">
        <v>2517</v>
      </c>
      <c r="H2192" s="10" t="s">
        <v>1479</v>
      </c>
      <c r="I2192" s="10" t="s">
        <v>793</v>
      </c>
      <c r="J2192" s="10" t="s">
        <v>1460</v>
      </c>
    </row>
    <row r="2193" spans="1:10" ht="15" hidden="1" customHeight="1">
      <c r="A2193" s="9">
        <v>2189</v>
      </c>
      <c r="B2193" s="10" t="s">
        <v>5306</v>
      </c>
      <c r="C2193" s="10" t="s">
        <v>5307</v>
      </c>
      <c r="D2193" s="10" t="s">
        <v>1460</v>
      </c>
      <c r="E2193" s="10" t="s">
        <v>4980</v>
      </c>
      <c r="F2193" s="10" t="s">
        <v>794</v>
      </c>
      <c r="G2193" s="10" t="s">
        <v>2517</v>
      </c>
      <c r="H2193" s="10" t="s">
        <v>1479</v>
      </c>
      <c r="I2193" s="10" t="s">
        <v>793</v>
      </c>
      <c r="J2193" s="10" t="s">
        <v>1460</v>
      </c>
    </row>
    <row r="2194" spans="1:10" ht="15" hidden="1" customHeight="1">
      <c r="A2194" s="9">
        <v>2190</v>
      </c>
      <c r="B2194" s="10" t="s">
        <v>5308</v>
      </c>
      <c r="C2194" s="10" t="s">
        <v>5309</v>
      </c>
      <c r="D2194" s="10" t="s">
        <v>1004</v>
      </c>
      <c r="E2194" s="10" t="s">
        <v>4982</v>
      </c>
      <c r="F2194" s="10" t="s">
        <v>794</v>
      </c>
      <c r="G2194" s="10" t="s">
        <v>2998</v>
      </c>
      <c r="H2194" s="10" t="s">
        <v>1479</v>
      </c>
      <c r="I2194" s="10" t="s">
        <v>794</v>
      </c>
      <c r="J2194" s="10" t="s">
        <v>1004</v>
      </c>
    </row>
    <row r="2195" spans="1:10" ht="15" hidden="1" customHeight="1">
      <c r="A2195" s="9">
        <v>2191</v>
      </c>
      <c r="B2195" s="10" t="s">
        <v>5310</v>
      </c>
      <c r="C2195" s="10" t="s">
        <v>5311</v>
      </c>
      <c r="D2195" s="10" t="s">
        <v>1004</v>
      </c>
      <c r="E2195" s="10" t="s">
        <v>4982</v>
      </c>
      <c r="F2195" s="10" t="s">
        <v>794</v>
      </c>
      <c r="G2195" s="10" t="s">
        <v>2998</v>
      </c>
      <c r="H2195" s="10" t="s">
        <v>1479</v>
      </c>
      <c r="I2195" s="10" t="s">
        <v>794</v>
      </c>
      <c r="J2195" s="10" t="s">
        <v>1004</v>
      </c>
    </row>
    <row r="2196" spans="1:10" ht="15" hidden="1" customHeight="1">
      <c r="A2196" s="9">
        <v>2192</v>
      </c>
      <c r="B2196" s="10" t="s">
        <v>5312</v>
      </c>
      <c r="C2196" s="10" t="s">
        <v>5313</v>
      </c>
      <c r="D2196" s="10" t="s">
        <v>1004</v>
      </c>
      <c r="E2196" s="10" t="s">
        <v>4982</v>
      </c>
      <c r="F2196" s="10" t="s">
        <v>794</v>
      </c>
      <c r="G2196" s="10" t="s">
        <v>2998</v>
      </c>
      <c r="H2196" s="10" t="s">
        <v>1479</v>
      </c>
      <c r="I2196" s="10" t="s">
        <v>794</v>
      </c>
      <c r="J2196" s="10" t="s">
        <v>1004</v>
      </c>
    </row>
    <row r="2197" spans="1:10" ht="15" hidden="1" customHeight="1">
      <c r="A2197" s="9">
        <v>2193</v>
      </c>
      <c r="B2197" s="10" t="s">
        <v>5314</v>
      </c>
      <c r="C2197" s="10" t="s">
        <v>5315</v>
      </c>
      <c r="D2197" s="10" t="s">
        <v>1004</v>
      </c>
      <c r="E2197" s="10" t="s">
        <v>4982</v>
      </c>
      <c r="F2197" s="10" t="s">
        <v>794</v>
      </c>
      <c r="G2197" s="10" t="s">
        <v>2998</v>
      </c>
      <c r="H2197" s="10" t="s">
        <v>1479</v>
      </c>
      <c r="I2197" s="10" t="s">
        <v>794</v>
      </c>
      <c r="J2197" s="10" t="s">
        <v>1004</v>
      </c>
    </row>
    <row r="2198" spans="1:10" ht="15" hidden="1" customHeight="1">
      <c r="A2198" s="9">
        <v>2194</v>
      </c>
      <c r="B2198" s="10" t="s">
        <v>5316</v>
      </c>
      <c r="C2198" s="10" t="s">
        <v>5317</v>
      </c>
      <c r="D2198" s="10" t="s">
        <v>1004</v>
      </c>
      <c r="E2198" s="10" t="s">
        <v>4982</v>
      </c>
      <c r="F2198" s="10" t="s">
        <v>794</v>
      </c>
      <c r="G2198" s="10" t="s">
        <v>2998</v>
      </c>
      <c r="H2198" s="10" t="s">
        <v>1479</v>
      </c>
      <c r="I2198" s="10" t="s">
        <v>794</v>
      </c>
      <c r="J2198" s="10" t="s">
        <v>1004</v>
      </c>
    </row>
    <row r="2199" spans="1:10" ht="15" hidden="1" customHeight="1">
      <c r="A2199" s="9">
        <v>2195</v>
      </c>
      <c r="B2199" s="10" t="s">
        <v>5318</v>
      </c>
      <c r="C2199" s="10" t="s">
        <v>5319</v>
      </c>
      <c r="D2199" s="10" t="s">
        <v>1004</v>
      </c>
      <c r="E2199" s="10" t="s">
        <v>4982</v>
      </c>
      <c r="F2199" s="10" t="s">
        <v>794</v>
      </c>
      <c r="G2199" s="10" t="s">
        <v>2998</v>
      </c>
      <c r="H2199" s="10" t="s">
        <v>1479</v>
      </c>
      <c r="I2199" s="10" t="s">
        <v>794</v>
      </c>
      <c r="J2199" s="10" t="s">
        <v>1004</v>
      </c>
    </row>
    <row r="2200" spans="1:10" ht="15" hidden="1" customHeight="1">
      <c r="A2200" s="9">
        <v>2196</v>
      </c>
      <c r="B2200" s="10" t="s">
        <v>5320</v>
      </c>
      <c r="C2200" s="10" t="s">
        <v>5321</v>
      </c>
      <c r="D2200" s="10" t="s">
        <v>1004</v>
      </c>
      <c r="E2200" s="10" t="s">
        <v>4982</v>
      </c>
      <c r="F2200" s="10" t="s">
        <v>794</v>
      </c>
      <c r="G2200" s="10" t="s">
        <v>2998</v>
      </c>
      <c r="H2200" s="10" t="s">
        <v>1479</v>
      </c>
      <c r="I2200" s="10" t="s">
        <v>794</v>
      </c>
      <c r="J2200" s="10" t="s">
        <v>1004</v>
      </c>
    </row>
    <row r="2201" spans="1:10" ht="15" hidden="1" customHeight="1">
      <c r="A2201" s="9">
        <v>2197</v>
      </c>
      <c r="B2201" s="10" t="s">
        <v>5322</v>
      </c>
      <c r="C2201" s="10" t="s">
        <v>5323</v>
      </c>
      <c r="D2201" s="10" t="s">
        <v>1004</v>
      </c>
      <c r="E2201" s="10" t="s">
        <v>4982</v>
      </c>
      <c r="F2201" s="10" t="s">
        <v>794</v>
      </c>
      <c r="G2201" s="10" t="s">
        <v>2998</v>
      </c>
      <c r="H2201" s="10" t="s">
        <v>1479</v>
      </c>
      <c r="I2201" s="10" t="s">
        <v>794</v>
      </c>
      <c r="J2201" s="10" t="s">
        <v>1004</v>
      </c>
    </row>
    <row r="2202" spans="1:10" ht="15" hidden="1" customHeight="1">
      <c r="A2202" s="9">
        <v>2198</v>
      </c>
      <c r="B2202" s="10" t="s">
        <v>5324</v>
      </c>
      <c r="C2202" s="10" t="s">
        <v>5325</v>
      </c>
      <c r="D2202" s="10" t="s">
        <v>1004</v>
      </c>
      <c r="E2202" s="10" t="s">
        <v>4982</v>
      </c>
      <c r="F2202" s="10" t="s">
        <v>794</v>
      </c>
      <c r="G2202" s="10" t="s">
        <v>2998</v>
      </c>
      <c r="H2202" s="10" t="s">
        <v>1479</v>
      </c>
      <c r="I2202" s="10" t="s">
        <v>793</v>
      </c>
      <c r="J2202" s="10" t="s">
        <v>1004</v>
      </c>
    </row>
    <row r="2203" spans="1:10" ht="15" hidden="1" customHeight="1">
      <c r="A2203" s="9">
        <v>2199</v>
      </c>
      <c r="B2203" s="10" t="s">
        <v>5326</v>
      </c>
      <c r="C2203" s="10" t="s">
        <v>5327</v>
      </c>
      <c r="D2203" s="10" t="s">
        <v>1004</v>
      </c>
      <c r="E2203" s="10" t="s">
        <v>4982</v>
      </c>
      <c r="F2203" s="10" t="s">
        <v>794</v>
      </c>
      <c r="G2203" s="10" t="s">
        <v>2998</v>
      </c>
      <c r="H2203" s="10" t="s">
        <v>1479</v>
      </c>
      <c r="I2203" s="10" t="s">
        <v>794</v>
      </c>
      <c r="J2203" s="10" t="s">
        <v>1004</v>
      </c>
    </row>
    <row r="2204" spans="1:10" ht="15" hidden="1" customHeight="1">
      <c r="A2204" s="9">
        <v>2200</v>
      </c>
      <c r="B2204" s="10" t="s">
        <v>5328</v>
      </c>
      <c r="C2204" s="10" t="s">
        <v>5329</v>
      </c>
      <c r="D2204" s="10" t="s">
        <v>1004</v>
      </c>
      <c r="E2204" s="10" t="s">
        <v>4985</v>
      </c>
      <c r="F2204" s="10" t="s">
        <v>794</v>
      </c>
      <c r="G2204" s="10" t="s">
        <v>3039</v>
      </c>
      <c r="H2204" s="10" t="s">
        <v>1479</v>
      </c>
      <c r="I2204" s="10" t="s">
        <v>793</v>
      </c>
      <c r="J2204" s="10" t="s">
        <v>1004</v>
      </c>
    </row>
    <row r="2205" spans="1:10" ht="15" hidden="1" customHeight="1">
      <c r="A2205" s="9">
        <v>2201</v>
      </c>
      <c r="B2205" s="10" t="s">
        <v>5330</v>
      </c>
      <c r="C2205" s="10" t="s">
        <v>5331</v>
      </c>
      <c r="D2205" s="10" t="s">
        <v>1004</v>
      </c>
      <c r="E2205" s="10" t="s">
        <v>4985</v>
      </c>
      <c r="F2205" s="10" t="s">
        <v>794</v>
      </c>
      <c r="G2205" s="10" t="s">
        <v>2538</v>
      </c>
      <c r="H2205" s="10" t="s">
        <v>1479</v>
      </c>
      <c r="I2205" s="10" t="s">
        <v>793</v>
      </c>
      <c r="J2205" s="10" t="s">
        <v>1004</v>
      </c>
    </row>
    <row r="2206" spans="1:10" ht="15" hidden="1" customHeight="1">
      <c r="A2206" s="9">
        <v>2202</v>
      </c>
      <c r="B2206" s="10" t="s">
        <v>5332</v>
      </c>
      <c r="C2206" s="10" t="s">
        <v>5333</v>
      </c>
      <c r="D2206" s="10" t="s">
        <v>1004</v>
      </c>
      <c r="E2206" s="10" t="s">
        <v>4985</v>
      </c>
      <c r="F2206" s="10" t="s">
        <v>794</v>
      </c>
      <c r="G2206" s="10" t="s">
        <v>2538</v>
      </c>
      <c r="H2206" s="10" t="s">
        <v>1479</v>
      </c>
      <c r="I2206" s="10" t="s">
        <v>793</v>
      </c>
      <c r="J2206" s="10" t="s">
        <v>1004</v>
      </c>
    </row>
    <row r="2207" spans="1:10" ht="15" hidden="1" customHeight="1">
      <c r="A2207" s="9">
        <v>2203</v>
      </c>
      <c r="B2207" s="10" t="s">
        <v>5334</v>
      </c>
      <c r="C2207" s="10" t="s">
        <v>5335</v>
      </c>
      <c r="D2207" s="10" t="s">
        <v>1004</v>
      </c>
      <c r="E2207" s="10" t="s">
        <v>4985</v>
      </c>
      <c r="F2207" s="10" t="s">
        <v>794</v>
      </c>
      <c r="G2207" s="10" t="s">
        <v>3033</v>
      </c>
      <c r="H2207" s="10" t="s">
        <v>1479</v>
      </c>
      <c r="I2207" s="10" t="s">
        <v>793</v>
      </c>
      <c r="J2207" s="10" t="s">
        <v>1004</v>
      </c>
    </row>
    <row r="2208" spans="1:10" ht="15" hidden="1" customHeight="1">
      <c r="A2208" s="9">
        <v>2204</v>
      </c>
      <c r="B2208" s="10" t="s">
        <v>5336</v>
      </c>
      <c r="C2208" s="10" t="s">
        <v>5337</v>
      </c>
      <c r="D2208" s="10" t="s">
        <v>1004</v>
      </c>
      <c r="E2208" s="10" t="s">
        <v>4985</v>
      </c>
      <c r="F2208" s="10" t="s">
        <v>794</v>
      </c>
      <c r="G2208" s="10" t="s">
        <v>3036</v>
      </c>
      <c r="H2208" s="10" t="s">
        <v>1479</v>
      </c>
      <c r="I2208" s="10" t="s">
        <v>793</v>
      </c>
      <c r="J2208" s="10" t="s">
        <v>1004</v>
      </c>
    </row>
    <row r="2209" spans="1:10" ht="15" hidden="1" customHeight="1">
      <c r="A2209" s="9">
        <v>2205</v>
      </c>
      <c r="B2209" s="10" t="s">
        <v>5338</v>
      </c>
      <c r="C2209" s="10" t="s">
        <v>5339</v>
      </c>
      <c r="D2209" s="10" t="s">
        <v>1004</v>
      </c>
      <c r="E2209" s="10" t="s">
        <v>4985</v>
      </c>
      <c r="F2209" s="10" t="s">
        <v>794</v>
      </c>
      <c r="G2209" s="10" t="s">
        <v>3039</v>
      </c>
      <c r="H2209" s="10" t="s">
        <v>1479</v>
      </c>
      <c r="I2209" s="10" t="s">
        <v>793</v>
      </c>
      <c r="J2209" s="10" t="s">
        <v>1004</v>
      </c>
    </row>
    <row r="2210" spans="1:10" ht="15" hidden="1" customHeight="1">
      <c r="A2210" s="9">
        <v>2206</v>
      </c>
      <c r="B2210" s="10" t="s">
        <v>5340</v>
      </c>
      <c r="C2210" s="10" t="s">
        <v>5341</v>
      </c>
      <c r="D2210" s="10" t="s">
        <v>1004</v>
      </c>
      <c r="E2210" s="10" t="s">
        <v>4987</v>
      </c>
      <c r="F2210" s="10" t="s">
        <v>794</v>
      </c>
      <c r="G2210" s="10" t="s">
        <v>2549</v>
      </c>
      <c r="H2210" s="10" t="s">
        <v>1479</v>
      </c>
      <c r="I2210" s="10" t="s">
        <v>793</v>
      </c>
      <c r="J2210" s="10" t="s">
        <v>1004</v>
      </c>
    </row>
    <row r="2211" spans="1:10" ht="15" hidden="1" customHeight="1">
      <c r="A2211" s="9">
        <v>2207</v>
      </c>
      <c r="B2211" s="10" t="s">
        <v>5342</v>
      </c>
      <c r="C2211" s="10" t="s">
        <v>5343</v>
      </c>
      <c r="D2211" s="10" t="s">
        <v>1004</v>
      </c>
      <c r="E2211" s="10" t="s">
        <v>4983</v>
      </c>
      <c r="F2211" s="10" t="s">
        <v>794</v>
      </c>
      <c r="G2211" s="10" t="s">
        <v>2577</v>
      </c>
      <c r="H2211" s="10" t="s">
        <v>1479</v>
      </c>
      <c r="I2211" s="10" t="s">
        <v>793</v>
      </c>
      <c r="J2211" s="10" t="s">
        <v>1004</v>
      </c>
    </row>
  </sheetData>
  <autoFilter ref="A4:J2211" xr:uid="{00000000-0001-0000-1100-000000000000}">
    <filterColumn colId="1">
      <filters>
        <filter val="NBR-7000/121"/>
        <filter val="NBR-7000/122"/>
        <filter val="NBR-7000/123"/>
        <filter val="NBR-7000/124"/>
        <filter val="NBR-7000/125"/>
        <filter val="NBR-7000/130"/>
        <filter val="NBR-7000/131"/>
        <filter val="NBR-7000/132"/>
        <filter val="NBR-7000/133"/>
        <filter val="NBR-7000/134"/>
        <filter val="NBR-7000/211"/>
        <filter val="NBR-7000/212"/>
        <filter val="NBR-7000/213"/>
        <filter val="NBR-7000/214"/>
        <filter val="NBR-7000/215"/>
        <filter val="NBR-7000/221"/>
        <filter val="NBR-7000/222"/>
        <filter val="NBR-7000/223"/>
        <filter val="NBR-7000/224"/>
        <filter val="NBR-7000/225"/>
        <filter val="NBR-7000/231"/>
        <filter val="NBR-7000/232"/>
        <filter val="NBR-7000/233"/>
        <filter val="NBR-7000/234"/>
        <filter val="NBR-7000/241"/>
        <filter val="NBR-7000/242"/>
        <filter val="NBR-7000/243"/>
        <filter val="NBR-7000/244"/>
        <filter val="NBR-7000/245"/>
        <filter val="NBR-7000/246"/>
        <filter val="NBR-7000/247"/>
        <filter val="NBR-7000/251"/>
        <filter val="NBR-7000/252"/>
        <filter val="NBR-7000/253"/>
        <filter val="NBR-7000/254"/>
        <filter val="NBR-7000/255"/>
        <filter val="NBR-7000/261"/>
        <filter val="NBR-7000/262"/>
        <filter val="NBR-7000/263"/>
        <filter val="NBR-7000/264"/>
        <filter val="NBR-7000/265"/>
        <filter val="NBR-7000/271"/>
        <filter val="NBR-7000/272"/>
        <filter val="NBR-7000/273"/>
        <filter val="NBR-7000/274"/>
        <filter val="NBR-7000/275"/>
        <filter val="NBR-7000/281"/>
        <filter val="NBR-7000/282"/>
        <filter val="NBR-7000/283"/>
        <filter val="NBR-7000/284"/>
        <filter val="NBR-7000/285"/>
        <filter val="NBR-7000/331"/>
        <filter val="NBR-7000/332"/>
        <filter val="NBR-7000/332-1"/>
        <filter val="NBR-7000/333"/>
        <filter val="NBR-7000/341"/>
        <filter val="NBR-7000/342"/>
        <filter val="NBR-7000/342-1"/>
        <filter val="NBR-7000/343"/>
        <filter val="NBR-7000/345"/>
        <filter val="NBR-7000/346"/>
        <filter val="NBR-7000/346-1"/>
        <filter val="NBR-7000/347"/>
        <filter val="NBR-7000/354"/>
        <filter val="NBR-7000/355"/>
        <filter val="NBR-7000/356"/>
        <filter val="NBR-7000/357"/>
        <filter val="NBR-7000/358"/>
        <filter val="NBR-7000/359"/>
        <filter val="NBR-7000/360"/>
        <filter val="NBR-7000/361"/>
        <filter val="NBR-7000/362"/>
        <filter val="NBR-7000/362-1"/>
        <filter val="NBR-7000/362-2"/>
        <filter val="NBR-7000/362-3"/>
        <filter val="NBR-7000/363"/>
        <filter val="NBR-7000/381"/>
        <filter val="NBR-7000/382"/>
        <filter val="NBR-7000/383"/>
        <filter val="NBR-7000/384"/>
        <filter val="NBR-7000/385"/>
        <filter val="NBR-7000/386"/>
        <filter val="NBR-7000/387"/>
        <filter val="NBR-7000/388"/>
        <filter val="NBR-7000/389"/>
        <filter val="NBR-7000/390"/>
        <filter val="NBR-7000/391"/>
        <filter val="NBR-7000/392"/>
        <filter val="NBR-7000/393"/>
        <filter val="NBR-7000/394"/>
        <filter val="NBR-7000/395"/>
        <filter val="NBR-7000/396"/>
        <filter val="NBR-7000/397"/>
        <filter val="NBR-7000/398"/>
        <filter val="NBR-7000/399"/>
        <filter val="NBR-7000/400"/>
        <filter val="NBR-7000/401"/>
        <filter val="NBR-7000/402"/>
        <filter val="NBR-7000/403"/>
        <filter val="NBR-7000/404"/>
        <filter val="NBR-7000/490"/>
        <filter val="NBR-7000/491"/>
        <filter val="NBR-7000/492"/>
        <filter val="NBR-7000/495"/>
        <filter val="NBR-7000/496"/>
        <filter val="NBR-7000/496-1"/>
        <filter val="NBR-7000/497"/>
        <filter val="NBR-7000/501"/>
        <filter val="NBR-7000/502"/>
        <filter val="NBR-7000/503"/>
        <filter val="NBR-7000/505"/>
        <filter val="NBR-7000/510"/>
        <filter val="NBR-7000/511"/>
        <filter val="NBR-7000/512"/>
        <filter val="NBR-7000/513"/>
        <filter val="NBR-7000/514"/>
        <filter val="NBR-7000/515"/>
        <filter val="NBR-7000/516"/>
        <filter val="NBR-7000/517"/>
        <filter val="NBR-7000/518"/>
        <filter val="NBR-7000/519"/>
        <filter val="NBR-7000/520"/>
        <filter val="NBR-7000/521"/>
        <filter val="NBR-7000/522"/>
        <filter val="NBR-7000/523"/>
        <filter val="NBR-7000/524"/>
        <filter val="NBR-7000/525"/>
        <filter val="NBR-7000/526"/>
        <filter val="NBR-7000/537"/>
        <filter val="NBR-7000/538"/>
        <filter val="NBR-7000/538-1"/>
        <filter val="NBR-7000/539"/>
        <filter val="NBR-7000/540"/>
        <filter val="NBR-7000/541"/>
        <filter val="NBR-7000/542"/>
        <filter val="NBR-7000/543"/>
        <filter val="NBR-7000/544"/>
        <filter val="NBR-7000/545"/>
        <filter val="NBR-7000/546"/>
        <filter val="NBR-7000/550"/>
        <filter val="NBR-7000/551"/>
        <filter val="NBR-7000/552"/>
        <filter val="NBR-7000/553"/>
        <filter val="NBR-7000/554"/>
        <filter val="NBR-7000/555"/>
        <filter val="NBR-7000/556"/>
        <filter val="NBR-7000/563"/>
        <filter val="NBR-7000/564"/>
        <filter val="NBR-7000/565"/>
        <filter val="NBR-7000/566"/>
        <filter val="NBR-7000/567"/>
        <filter val="NBR-7000/568"/>
        <filter val="NBR-7000/569"/>
        <filter val="NBR-7000/570"/>
        <filter val="NBR-7000/571"/>
        <filter val="NBR-7000/572"/>
        <filter val="NBR-7000/573"/>
        <filter val="NBR-7000/574"/>
        <filter val="NBR-7000/575"/>
        <filter val="NBR-7000/579-1"/>
        <filter val="NBR-7000/579-2"/>
        <filter val="NBR-7000/579-3"/>
        <filter val="NBR-7000/579-4"/>
        <filter val="NBR-7000/579-5"/>
        <filter val="NBR-7000/581"/>
        <filter val="NBR-7000/582"/>
        <filter val="NBR-7000/583"/>
        <filter val="NBR-7000/584"/>
        <filter val="NBR-7000/585"/>
        <filter val="NBR-7000/586"/>
        <filter val="NBR-7000/587"/>
        <filter val="NBR-7000/588"/>
        <filter val="NBR-7000/589"/>
        <filter val="NBR-7000/590"/>
        <filter val="NBR-7000/591"/>
        <filter val="NBR-7000/592"/>
        <filter val="NBR-7000/593"/>
        <filter val="NBR-7000/600"/>
        <filter val="NBR-7000/601"/>
        <filter val="NBR-7000/602"/>
        <filter val="NBR-7000/603"/>
        <filter val="NBR-7000/604"/>
        <filter val="NBR-7000/605"/>
        <filter val="NBR-7000/606"/>
        <filter val="NBR-7000/700"/>
        <filter val="NBR-7000/701"/>
        <filter val="NBR-7000/800"/>
        <filter val="NBR-7000/901"/>
        <filter val="NBR-7000/9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1008-403</vt:lpstr>
      <vt:lpstr>7000-131</vt:lpstr>
      <vt:lpstr>1008-402</vt:lpstr>
      <vt:lpstr>7000-122</vt:lpstr>
      <vt:lpstr>CHE-last month</vt:lpstr>
      <vt:lpstr>NBR Latex-Store</vt:lpstr>
      <vt:lpstr>NBR Latex-Comp</vt:lpstr>
      <vt:lpstr>Che-Store</vt:lpstr>
      <vt:lpstr>Che-Comp</vt:lpstr>
      <vt:lpstr>Che.-Prod</vt:lpstr>
      <vt:lpstr>BalCom</vt:lpstr>
      <vt:lpstr>BalDis</vt:lpstr>
      <vt:lpstr>BalDip</vt:lpstr>
      <vt:lpstr>Used_before_Trf</vt:lpstr>
      <vt:lpstr>Sum</vt:lpstr>
      <vt:lpstr>Transactions1</vt:lpstr>
      <vt:lpstr>Transactions3</vt:lpstr>
      <vt:lpstr>Transactions</vt:lpstr>
      <vt:lpstr>Info</vt:lpstr>
      <vt:lpstr>Code</vt:lpstr>
      <vt:lpstr>'Che.-Prod'!Print_Area</vt:lpstr>
      <vt:lpstr>Used_before_Trf!Print_Area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2026-06-08T09:32:27Z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