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eenuG\Downloads\"/>
    </mc:Choice>
  </mc:AlternateContent>
  <xr:revisionPtr revIDLastSave="0" documentId="13_ncr:1_{9F94DE79-3F76-4A44-A725-DE091CC83BA4}" xr6:coauthVersionLast="47" xr6:coauthVersionMax="47" xr10:uidLastSave="{00000000-0000-0000-0000-000000000000}"/>
  <bookViews>
    <workbookView xWindow="-120" yWindow="-120" windowWidth="29040" windowHeight="15840" tabRatio="856" xr2:uid="{00000000-000D-0000-FFFF-FFFF00000000}"/>
  </bookViews>
  <sheets>
    <sheet name="Transactions" sheetId="1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" l="1"/>
  <c r="H24" i="1"/>
  <c r="F24" i="1"/>
  <c r="C24" i="1"/>
  <c r="A24" i="1"/>
  <c r="G23" i="1"/>
  <c r="F23" i="1"/>
  <c r="C23" i="1"/>
  <c r="A23" i="1"/>
  <c r="H22" i="1"/>
  <c r="F22" i="1"/>
  <c r="C22" i="1"/>
  <c r="A22" i="1"/>
  <c r="N21" i="1"/>
  <c r="G21" i="1"/>
  <c r="F21" i="1"/>
  <c r="C21" i="1"/>
  <c r="A21" i="1"/>
  <c r="N20" i="1"/>
  <c r="H20" i="1"/>
  <c r="F20" i="1"/>
  <c r="C20" i="1"/>
  <c r="A20" i="1"/>
  <c r="G19" i="1"/>
  <c r="F19" i="1"/>
  <c r="C19" i="1"/>
  <c r="A19" i="1"/>
  <c r="H18" i="1"/>
  <c r="F18" i="1"/>
  <c r="C18" i="1"/>
  <c r="A18" i="1"/>
  <c r="N17" i="1"/>
  <c r="G17" i="1"/>
  <c r="F17" i="1"/>
  <c r="C17" i="1"/>
  <c r="A17" i="1"/>
  <c r="N16" i="1"/>
  <c r="H16" i="1"/>
  <c r="F16" i="1"/>
  <c r="C16" i="1"/>
  <c r="A16" i="1"/>
  <c r="G15" i="1"/>
  <c r="F15" i="1"/>
  <c r="C15" i="1"/>
  <c r="A15" i="1"/>
  <c r="N14" i="1"/>
  <c r="H14" i="1"/>
  <c r="F14" i="1"/>
  <c r="C14" i="1"/>
  <c r="A14" i="1"/>
  <c r="N13" i="1"/>
  <c r="H13" i="1"/>
  <c r="F13" i="1"/>
  <c r="C13" i="1"/>
  <c r="A13" i="1"/>
  <c r="G12" i="1"/>
  <c r="F12" i="1"/>
  <c r="C12" i="1"/>
  <c r="A12" i="1"/>
  <c r="N11" i="1"/>
  <c r="H11" i="1"/>
  <c r="F11" i="1"/>
  <c r="C11" i="1"/>
  <c r="A11" i="1"/>
  <c r="N10" i="1"/>
  <c r="H10" i="1"/>
  <c r="F10" i="1"/>
  <c r="C10" i="1"/>
  <c r="A10" i="1"/>
  <c r="G9" i="1"/>
  <c r="F9" i="1"/>
  <c r="C9" i="1"/>
  <c r="A9" i="1"/>
  <c r="G8" i="1"/>
  <c r="F8" i="1"/>
  <c r="C8" i="1"/>
  <c r="A8" i="1"/>
  <c r="N7" i="1"/>
  <c r="H7" i="1"/>
  <c r="F7" i="1"/>
  <c r="C7" i="1"/>
  <c r="A7" i="1"/>
  <c r="G6" i="1"/>
  <c r="F6" i="1"/>
  <c r="C6" i="1"/>
  <c r="A6" i="1"/>
  <c r="N5" i="1"/>
  <c r="H5" i="1"/>
  <c r="F5" i="1"/>
  <c r="C5" i="1"/>
  <c r="A5" i="1"/>
  <c r="N4" i="1"/>
  <c r="H4" i="1"/>
  <c r="F4" i="1"/>
  <c r="C4" i="1"/>
  <c r="A4" i="1"/>
  <c r="G3" i="1"/>
  <c r="F3" i="1"/>
  <c r="C3" i="1"/>
  <c r="A3" i="1"/>
  <c r="G2" i="1"/>
  <c r="F2" i="1"/>
  <c r="C2" i="1"/>
</calcChain>
</file>

<file path=xl/sharedStrings.xml><?xml version="1.0" encoding="utf-8"?>
<sst xmlns="http://schemas.openxmlformats.org/spreadsheetml/2006/main" count="49" uniqueCount="20">
  <si>
    <t>Date</t>
  </si>
  <si>
    <t>Cost Center</t>
  </si>
  <si>
    <t>7000/131</t>
  </si>
  <si>
    <t>Compounding P1</t>
  </si>
  <si>
    <t>1008/403</t>
  </si>
  <si>
    <t>7000/122</t>
  </si>
  <si>
    <t>1008/402</t>
  </si>
  <si>
    <t>Sl No</t>
  </si>
  <si>
    <t>Account Code</t>
  </si>
  <si>
    <t>Account</t>
  </si>
  <si>
    <t>SubTypeAccount</t>
  </si>
  <si>
    <t>Mode</t>
  </si>
  <si>
    <t>Narration</t>
  </si>
  <si>
    <t>Dr Amount</t>
  </si>
  <si>
    <t>Cr Amount</t>
  </si>
  <si>
    <t>Instr No</t>
  </si>
  <si>
    <t>Favour of</t>
  </si>
  <si>
    <t>PDC</t>
  </si>
  <si>
    <t>CC Amount</t>
  </si>
  <si>
    <t>Production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</si>
</sst>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&quot;฿&quot;* #,##0.00_-;\-&quot;฿&quot;* #,##0.00_-;_-&quot;฿&quot;* &quot;-&quot;??_-;_-@_-"/>
    <numFmt numFmtId="166" formatCode="#,##0.0_);\(#,##0.0\)"/>
  </numFmts>
  <fonts count="31">
    <font>
      <sz val="11"/>
      <color theme="1"/>
      <name val="Arial"/>
      <charset val="134"/>
    </font>
    <font>
      <sz val="9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MS Sans Serif"/>
      <charset val="222"/>
    </font>
    <font>
      <sz val="10"/>
      <color indexed="8"/>
      <name val="MS Sans Serif"/>
      <charset val="222"/>
    </font>
    <font>
      <sz val="10"/>
      <name val="Arial"/>
      <family val="2"/>
    </font>
    <font>
      <sz val="10"/>
      <name val="Tahoma"/>
      <family val="2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1"/>
      <color theme="1"/>
      <name val="Arial"/>
      <family val="2"/>
    </font>
    <font>
      <sz val="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05">
    <xf numFmtId="0" fontId="0" fillId="0" borderId="0"/>
    <xf numFmtId="43" fontId="29" fillId="0" borderId="0" applyFont="0" applyFill="0" applyBorder="0" applyAlignment="0" applyProtection="0"/>
    <xf numFmtId="0" fontId="5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4" borderId="0" applyNumberFormat="0" applyBorder="0" applyAlignment="0" applyProtection="0"/>
    <xf numFmtId="0" fontId="5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3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5" fillId="0" borderId="0"/>
    <xf numFmtId="0" fontId="12" fillId="0" borderId="0"/>
    <xf numFmtId="0" fontId="12" fillId="0" borderId="0"/>
    <xf numFmtId="0" fontId="8" fillId="0" borderId="0"/>
    <xf numFmtId="0" fontId="9" fillId="0" borderId="0"/>
    <xf numFmtId="0" fontId="10" fillId="0" borderId="0"/>
    <xf numFmtId="0" fontId="5" fillId="0" borderId="0"/>
    <xf numFmtId="0" fontId="5" fillId="0" borderId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4" fillId="21" borderId="1" applyNumberFormat="0" applyAlignment="0" applyProtection="0"/>
    <xf numFmtId="0" fontId="15" fillId="0" borderId="2" applyNumberFormat="0" applyFill="0" applyAlignment="0" applyProtection="0"/>
    <xf numFmtId="0" fontId="16" fillId="11" borderId="0" applyNumberFormat="0" applyBorder="0" applyAlignment="0" applyProtection="0"/>
    <xf numFmtId="0" fontId="17" fillId="3" borderId="3" applyNumberFormat="0" applyAlignment="0" applyProtection="0"/>
    <xf numFmtId="0" fontId="18" fillId="3" borderId="4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12" borderId="0" applyNumberFormat="0" applyBorder="0" applyAlignment="0" applyProtection="0"/>
    <xf numFmtId="0" fontId="13" fillId="0" borderId="0"/>
    <xf numFmtId="0" fontId="13" fillId="0" borderId="0"/>
    <xf numFmtId="0" fontId="23" fillId="4" borderId="4" applyNumberFormat="0" applyAlignment="0" applyProtection="0"/>
    <xf numFmtId="0" fontId="24" fillId="8" borderId="0" applyNumberFormat="0" applyBorder="0" applyAlignment="0" applyProtection="0"/>
    <xf numFmtId="0" fontId="25" fillId="0" borderId="5" applyNumberFormat="0" applyFill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5" borderId="0" applyNumberFormat="0" applyBorder="0" applyAlignment="0" applyProtection="0"/>
    <xf numFmtId="0" fontId="11" fillId="26" borderId="6" applyNumberFormat="0" applyFont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8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43" fontId="3" fillId="0" borderId="0" xfId="0" applyNumberFormat="1" applyFont="1"/>
    <xf numFmtId="0" fontId="4" fillId="0" borderId="0" xfId="0" applyFont="1"/>
    <xf numFmtId="40" fontId="2" fillId="0" borderId="0" xfId="1" applyNumberFormat="1" applyFont="1" applyFill="1" applyBorder="1" applyAlignment="1">
      <alignment vertical="center"/>
    </xf>
    <xf numFmtId="39" fontId="3" fillId="0" borderId="0" xfId="1" applyNumberFormat="1" applyFont="1" applyFill="1" applyBorder="1"/>
    <xf numFmtId="43" fontId="3" fillId="0" borderId="0" xfId="1" applyFont="1" applyFill="1" applyBorder="1"/>
    <xf numFmtId="0" fontId="3" fillId="27" borderId="0" xfId="0" applyFont="1" applyFill="1"/>
    <xf numFmtId="43" fontId="3" fillId="27" borderId="0" xfId="0" applyNumberFormat="1" applyFont="1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 wrapText="1" readingOrder="1"/>
      <protection locked="0"/>
    </xf>
    <xf numFmtId="4" fontId="3" fillId="0" borderId="0" xfId="0" applyNumberFormat="1" applyFont="1"/>
    <xf numFmtId="16" fontId="3" fillId="2" borderId="0" xfId="0" applyNumberFormat="1" applyFont="1" applyFill="1"/>
    <xf numFmtId="0" fontId="1" fillId="27" borderId="0" xfId="0" applyFont="1" applyFill="1" applyAlignment="1">
      <alignment horizontal="center"/>
    </xf>
    <xf numFmtId="0" fontId="3" fillId="27" borderId="0" xfId="0" applyFont="1" applyFill="1" applyAlignment="1">
      <alignment horizontal="center"/>
    </xf>
    <xf numFmtId="0" fontId="3" fillId="27" borderId="0" xfId="0" applyFont="1" applyFill="1" applyAlignment="1">
      <alignment horizontal="left"/>
    </xf>
    <xf numFmtId="0" fontId="4" fillId="27" borderId="0" xfId="0" applyFont="1" applyFill="1"/>
    <xf numFmtId="0" fontId="1" fillId="27" borderId="0" xfId="0" applyFont="1" applyFill="1" applyAlignment="1" applyProtection="1">
      <alignment horizontal="center" wrapText="1" readingOrder="1"/>
      <protection locked="0"/>
    </xf>
    <xf numFmtId="39" fontId="3" fillId="27" borderId="0" xfId="1" applyNumberFormat="1" applyFont="1" applyFill="1" applyBorder="1"/>
    <xf numFmtId="4" fontId="3" fillId="27" borderId="0" xfId="0" applyNumberFormat="1" applyFont="1" applyFill="1"/>
    <xf numFmtId="43" fontId="3" fillId="27" borderId="0" xfId="1" applyFont="1" applyFill="1" applyBorder="1"/>
    <xf numFmtId="39" fontId="3" fillId="0" borderId="0" xfId="0" applyNumberFormat="1" applyFont="1"/>
    <xf numFmtId="166" fontId="3" fillId="0" borderId="0" xfId="0" applyNumberFormat="1" applyFont="1"/>
  </cellXfs>
  <cellStyles count="105">
    <cellStyle name="20% - Accent5 2" xfId="2" xr:uid="{00000000-0005-0000-0000-000031000000}"/>
    <cellStyle name="20% - ส่วนที่ถูกเน้น1" xfId="3" xr:uid="{00000000-0005-0000-0000-000032000000}"/>
    <cellStyle name="20% - ส่วนที่ถูกเน้น2" xfId="4" xr:uid="{00000000-0005-0000-0000-000033000000}"/>
    <cellStyle name="20% - ส่วนที่ถูกเน้น3" xfId="5" xr:uid="{00000000-0005-0000-0000-000034000000}"/>
    <cellStyle name="20% - ส่วนที่ถูกเน้น4" xfId="6" xr:uid="{00000000-0005-0000-0000-000035000000}"/>
    <cellStyle name="20% - ส่วนที่ถูกเน้น5" xfId="7" xr:uid="{00000000-0005-0000-0000-000036000000}"/>
    <cellStyle name="20% - ส่วนที่ถูกเน้น6" xfId="8" xr:uid="{00000000-0005-0000-0000-000037000000}"/>
    <cellStyle name="40% - Accent5 2" xfId="9" xr:uid="{00000000-0005-0000-0000-000038000000}"/>
    <cellStyle name="40% - ส่วนที่ถูกเน้น1" xfId="10" xr:uid="{00000000-0005-0000-0000-000039000000}"/>
    <cellStyle name="40% - ส่วนที่ถูกเน้น2" xfId="11" xr:uid="{00000000-0005-0000-0000-00003A000000}"/>
    <cellStyle name="40% - ส่วนที่ถูกเน้น3" xfId="12" xr:uid="{00000000-0005-0000-0000-00003B000000}"/>
    <cellStyle name="40% - ส่วนที่ถูกเน้น4" xfId="13" xr:uid="{00000000-0005-0000-0000-00003C000000}"/>
    <cellStyle name="40% - ส่วนที่ถูกเน้น5" xfId="14" xr:uid="{00000000-0005-0000-0000-00003D000000}"/>
    <cellStyle name="40% - ส่วนที่ถูกเน้น6" xfId="15" xr:uid="{00000000-0005-0000-0000-00003E000000}"/>
    <cellStyle name="60% - ส่วนที่ถูกเน้น1" xfId="16" xr:uid="{00000000-0005-0000-0000-00003F000000}"/>
    <cellStyle name="60% - ส่วนที่ถูกเน้น2" xfId="17" xr:uid="{00000000-0005-0000-0000-000040000000}"/>
    <cellStyle name="60% - ส่วนที่ถูกเน้น3" xfId="18" xr:uid="{00000000-0005-0000-0000-000041000000}"/>
    <cellStyle name="60% - ส่วนที่ถูกเน้น4" xfId="19" xr:uid="{00000000-0005-0000-0000-000042000000}"/>
    <cellStyle name="60% - ส่วนที่ถูกเน้น5" xfId="20" xr:uid="{00000000-0005-0000-0000-000043000000}"/>
    <cellStyle name="60% - ส่วนที่ถูกเน้น6" xfId="21" xr:uid="{00000000-0005-0000-0000-000044000000}"/>
    <cellStyle name="Comma" xfId="1" builtinId="3"/>
    <cellStyle name="Comma 10" xfId="22" xr:uid="{00000000-0005-0000-0000-000045000000}"/>
    <cellStyle name="Comma 11" xfId="23" xr:uid="{00000000-0005-0000-0000-000046000000}"/>
    <cellStyle name="Comma 12" xfId="24" xr:uid="{00000000-0005-0000-0000-000047000000}"/>
    <cellStyle name="Comma 13" xfId="25" xr:uid="{00000000-0005-0000-0000-000048000000}"/>
    <cellStyle name="Comma 13 2" xfId="26" xr:uid="{00000000-0005-0000-0000-000049000000}"/>
    <cellStyle name="Comma 14" xfId="27" xr:uid="{00000000-0005-0000-0000-00004A000000}"/>
    <cellStyle name="Comma 2" xfId="28" xr:uid="{00000000-0005-0000-0000-00004B000000}"/>
    <cellStyle name="Comma 2 2" xfId="29" xr:uid="{00000000-0005-0000-0000-00004C000000}"/>
    <cellStyle name="Comma 2 2 2" xfId="30" xr:uid="{00000000-0005-0000-0000-00004D000000}"/>
    <cellStyle name="Comma 2 2 2 2" xfId="31" xr:uid="{00000000-0005-0000-0000-00004E000000}"/>
    <cellStyle name="Comma 2 2 2 3" xfId="32" xr:uid="{00000000-0005-0000-0000-00004F000000}"/>
    <cellStyle name="Comma 2 2 3" xfId="33" xr:uid="{00000000-0005-0000-0000-000050000000}"/>
    <cellStyle name="Comma 2 2 4" xfId="34" xr:uid="{00000000-0005-0000-0000-000051000000}"/>
    <cellStyle name="Comma 2 3" xfId="35" xr:uid="{00000000-0005-0000-0000-000052000000}"/>
    <cellStyle name="Comma 2 3 2" xfId="36" xr:uid="{00000000-0005-0000-0000-000053000000}"/>
    <cellStyle name="Comma 2 3 3" xfId="37" xr:uid="{00000000-0005-0000-0000-000054000000}"/>
    <cellStyle name="Comma 2 4" xfId="38" xr:uid="{00000000-0005-0000-0000-000055000000}"/>
    <cellStyle name="Comma 2 5" xfId="39" xr:uid="{00000000-0005-0000-0000-000056000000}"/>
    <cellStyle name="Comma 3" xfId="40" xr:uid="{00000000-0005-0000-0000-000057000000}"/>
    <cellStyle name="Comma 3 2" xfId="41" xr:uid="{00000000-0005-0000-0000-000058000000}"/>
    <cellStyle name="Comma 3 3" xfId="42" xr:uid="{00000000-0005-0000-0000-000059000000}"/>
    <cellStyle name="Comma 4" xfId="43" xr:uid="{00000000-0005-0000-0000-00005A000000}"/>
    <cellStyle name="Comma 4 2" xfId="44" xr:uid="{00000000-0005-0000-0000-00005B000000}"/>
    <cellStyle name="Comma 4 3" xfId="45" xr:uid="{00000000-0005-0000-0000-00005C000000}"/>
    <cellStyle name="Comma 5" xfId="46" xr:uid="{00000000-0005-0000-0000-00005D000000}"/>
    <cellStyle name="Comma 5 2" xfId="47" xr:uid="{00000000-0005-0000-0000-00005E000000}"/>
    <cellStyle name="Comma 5 3" xfId="48" xr:uid="{00000000-0005-0000-0000-00005F000000}"/>
    <cellStyle name="Comma 6" xfId="49" xr:uid="{00000000-0005-0000-0000-000060000000}"/>
    <cellStyle name="Comma 7" xfId="50" xr:uid="{00000000-0005-0000-0000-000061000000}"/>
    <cellStyle name="Comma 8" xfId="51" xr:uid="{00000000-0005-0000-0000-000062000000}"/>
    <cellStyle name="Comma 9" xfId="52" xr:uid="{00000000-0005-0000-0000-000063000000}"/>
    <cellStyle name="Currency 2" xfId="53" xr:uid="{00000000-0005-0000-0000-000064000000}"/>
    <cellStyle name="Currency 2 2" xfId="54" xr:uid="{00000000-0005-0000-0000-000065000000}"/>
    <cellStyle name="Currency 2 2 2" xfId="55" xr:uid="{00000000-0005-0000-0000-000066000000}"/>
    <cellStyle name="Currency 2 2 2 2" xfId="56" xr:uid="{00000000-0005-0000-0000-000067000000}"/>
    <cellStyle name="Currency 2 2 2 3" xfId="57" xr:uid="{00000000-0005-0000-0000-000068000000}"/>
    <cellStyle name="Currency 2 2 3" xfId="58" xr:uid="{00000000-0005-0000-0000-000069000000}"/>
    <cellStyle name="Currency 2 2 4" xfId="59" xr:uid="{00000000-0005-0000-0000-00006A000000}"/>
    <cellStyle name="Currency 2 3" xfId="60" xr:uid="{00000000-0005-0000-0000-00006B000000}"/>
    <cellStyle name="Currency 2 3 2" xfId="61" xr:uid="{00000000-0005-0000-0000-00006C000000}"/>
    <cellStyle name="Currency 2 3 3" xfId="62" xr:uid="{00000000-0005-0000-0000-00006D000000}"/>
    <cellStyle name="Currency 2 4" xfId="63" xr:uid="{00000000-0005-0000-0000-00006E000000}"/>
    <cellStyle name="Currency 2 5" xfId="64" xr:uid="{00000000-0005-0000-0000-00006F000000}"/>
    <cellStyle name="Normal" xfId="0" builtinId="0"/>
    <cellStyle name="Normal 2" xfId="65" xr:uid="{00000000-0005-0000-0000-000070000000}"/>
    <cellStyle name="Normal 2 2" xfId="66" xr:uid="{00000000-0005-0000-0000-000071000000}"/>
    <cellStyle name="Normal 3" xfId="67" xr:uid="{00000000-0005-0000-0000-000072000000}"/>
    <cellStyle name="Normal 3 2" xfId="68" xr:uid="{00000000-0005-0000-0000-000073000000}"/>
    <cellStyle name="Normal 4" xfId="69" xr:uid="{00000000-0005-0000-0000-000074000000}"/>
    <cellStyle name="Normal 4 2" xfId="70" xr:uid="{00000000-0005-0000-0000-000075000000}"/>
    <cellStyle name="Normal 5" xfId="71" xr:uid="{00000000-0005-0000-0000-000076000000}"/>
    <cellStyle name="Normal 6" xfId="72" xr:uid="{00000000-0005-0000-0000-000077000000}"/>
    <cellStyle name="Normal 7" xfId="73" xr:uid="{00000000-0005-0000-0000-000078000000}"/>
    <cellStyle name="Normal 8" xfId="74" xr:uid="{00000000-0005-0000-0000-000079000000}"/>
    <cellStyle name="Normal 8 2" xfId="75" xr:uid="{00000000-0005-0000-0000-00007A000000}"/>
    <cellStyle name="Percent 2" xfId="76" xr:uid="{00000000-0005-0000-0000-00007B000000}"/>
    <cellStyle name="Percent 3" xfId="77" xr:uid="{00000000-0005-0000-0000-00007C000000}"/>
    <cellStyle name="เครื่องหมายจุลภาค 2" xfId="78" xr:uid="{00000000-0005-0000-0000-00007D000000}"/>
    <cellStyle name="เครื่องหมายจุลภาค 4" xfId="79" xr:uid="{00000000-0005-0000-0000-00007E000000}"/>
    <cellStyle name="เซลล์ตรวจสอบ" xfId="80" xr:uid="{00000000-0005-0000-0000-00007F000000}"/>
    <cellStyle name="เซลล์ที่มีการเชื่อมโยง" xfId="81" xr:uid="{00000000-0005-0000-0000-000080000000}"/>
    <cellStyle name="แย่" xfId="82" xr:uid="{00000000-0005-0000-0000-000081000000}"/>
    <cellStyle name="แสดงผล" xfId="83" xr:uid="{00000000-0005-0000-0000-000082000000}"/>
    <cellStyle name="การคำนวณ" xfId="84" xr:uid="{00000000-0005-0000-0000-000083000000}"/>
    <cellStyle name="ข้อความเตือน" xfId="85" xr:uid="{00000000-0005-0000-0000-000084000000}"/>
    <cellStyle name="ข้อความอธิบาย" xfId="86" xr:uid="{00000000-0005-0000-0000-000085000000}"/>
    <cellStyle name="ชื่อเรื่อง" xfId="87" xr:uid="{00000000-0005-0000-0000-000086000000}"/>
    <cellStyle name="ดี" xfId="88" xr:uid="{00000000-0005-0000-0000-000087000000}"/>
    <cellStyle name="ปกติ 2" xfId="89" xr:uid="{00000000-0005-0000-0000-000088000000}"/>
    <cellStyle name="ปกติ 4" xfId="90" xr:uid="{00000000-0005-0000-0000-000089000000}"/>
    <cellStyle name="ป้อนค่า" xfId="91" xr:uid="{00000000-0005-0000-0000-00008A000000}"/>
    <cellStyle name="ปานกลาง" xfId="92" xr:uid="{00000000-0005-0000-0000-00008B000000}"/>
    <cellStyle name="ผลรวม" xfId="93" xr:uid="{00000000-0005-0000-0000-00008C000000}"/>
    <cellStyle name="ส่วนที่ถูกเน้น1" xfId="94" xr:uid="{00000000-0005-0000-0000-00008D000000}"/>
    <cellStyle name="ส่วนที่ถูกเน้น2" xfId="95" xr:uid="{00000000-0005-0000-0000-00008E000000}"/>
    <cellStyle name="ส่วนที่ถูกเน้น3" xfId="96" xr:uid="{00000000-0005-0000-0000-00008F000000}"/>
    <cellStyle name="ส่วนที่ถูกเน้น4" xfId="97" xr:uid="{00000000-0005-0000-0000-000090000000}"/>
    <cellStyle name="ส่วนที่ถูกเน้น5" xfId="98" xr:uid="{00000000-0005-0000-0000-000091000000}"/>
    <cellStyle name="ส่วนที่ถูกเน้น6" xfId="99" xr:uid="{00000000-0005-0000-0000-000092000000}"/>
    <cellStyle name="หมายเหตุ" xfId="100" xr:uid="{00000000-0005-0000-0000-000093000000}"/>
    <cellStyle name="หัวเรื่อง 1" xfId="101" xr:uid="{00000000-0005-0000-0000-000094000000}"/>
    <cellStyle name="หัวเรื่อง 2" xfId="102" xr:uid="{00000000-0005-0000-0000-000095000000}"/>
    <cellStyle name="หัวเรื่อง 3" xfId="103" xr:uid="{00000000-0005-0000-0000-000096000000}"/>
    <cellStyle name="หัวเรื่อง 4" xfId="104" xr:uid="{00000000-0005-0000-0000-000097000000}"/>
  </cellStyles>
  <dxfs count="0"/>
  <tableStyles count="0" defaultTableStyle="TableStyleMedium2" defaultPivotStyle="PivotStyleLight16"/>
  <colors>
    <mruColors>
      <color rgb="FFFFFF99"/>
      <color rgb="FFCCFF99"/>
      <color rgb="FFFF33CC"/>
      <color rgb="FFFFCCFF"/>
      <color rgb="FFCCCCFF"/>
      <color rgb="FFFF99FF"/>
      <color rgb="FFCCFFFF"/>
      <color rgb="FF00FFFF"/>
      <color rgb="FF66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d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tabSelected="1" topLeftCell="F10" workbookViewId="0">
      <selection activeCell="N14" sqref="N14"/>
    </sheetView>
  </sheetViews>
  <sheetFormatPr defaultColWidth="9" defaultRowHeight="15" customHeight="1"/>
  <cols>
    <col min="1" max="1" width="6.25" style="2" customWidth="1"/>
    <col min="2" max="2" width="12.5" style="2" customWidth="1"/>
    <col min="3" max="3" width="29.875" style="2" customWidth="1"/>
    <col min="4" max="4" width="7.625" style="2" customWidth="1"/>
    <col min="5" max="5" width="5.5" style="2" customWidth="1"/>
    <col min="6" max="6" width="47.75" style="2" customWidth="1"/>
    <col min="7" max="8" width="11.375" style="2" customWidth="1"/>
    <col min="9" max="9" width="9" style="2"/>
    <col min="10" max="11" width="9" style="2" customWidth="1"/>
    <col min="12" max="12" width="9" style="2"/>
    <col min="13" max="13" width="17" style="2" customWidth="1"/>
    <col min="14" max="14" width="11.875" style="2" customWidth="1"/>
    <col min="15" max="256" width="9" style="2"/>
    <col min="257" max="257" width="6.25" style="2" customWidth="1"/>
    <col min="258" max="258" width="12.5" style="2" customWidth="1"/>
    <col min="259" max="259" width="43.75" style="2" customWidth="1"/>
    <col min="260" max="260" width="23.875" style="2" customWidth="1"/>
    <col min="261" max="261" width="9" style="2"/>
    <col min="262" max="262" width="30.875" style="2" customWidth="1"/>
    <col min="263" max="264" width="11.375" style="2" customWidth="1"/>
    <col min="265" max="268" width="9" style="2"/>
    <col min="269" max="269" width="9.375" style="2" customWidth="1"/>
    <col min="270" max="270" width="10.75" style="2" customWidth="1"/>
    <col min="271" max="512" width="9" style="2"/>
    <col min="513" max="513" width="6.25" style="2" customWidth="1"/>
    <col min="514" max="514" width="12.5" style="2" customWidth="1"/>
    <col min="515" max="515" width="43.75" style="2" customWidth="1"/>
    <col min="516" max="516" width="23.875" style="2" customWidth="1"/>
    <col min="517" max="517" width="9" style="2"/>
    <col min="518" max="518" width="30.875" style="2" customWidth="1"/>
    <col min="519" max="520" width="11.375" style="2" customWidth="1"/>
    <col min="521" max="524" width="9" style="2"/>
    <col min="525" max="525" width="9.375" style="2" customWidth="1"/>
    <col min="526" max="526" width="10.75" style="2" customWidth="1"/>
    <col min="527" max="768" width="9" style="2"/>
    <col min="769" max="769" width="6.25" style="2" customWidth="1"/>
    <col min="770" max="770" width="12.5" style="2" customWidth="1"/>
    <col min="771" max="771" width="43.75" style="2" customWidth="1"/>
    <col min="772" max="772" width="23.875" style="2" customWidth="1"/>
    <col min="773" max="773" width="9" style="2"/>
    <col min="774" max="774" width="30.875" style="2" customWidth="1"/>
    <col min="775" max="776" width="11.375" style="2" customWidth="1"/>
    <col min="777" max="780" width="9" style="2"/>
    <col min="781" max="781" width="9.375" style="2" customWidth="1"/>
    <col min="782" max="782" width="10.75" style="2" customWidth="1"/>
    <col min="783" max="1024" width="9" style="2"/>
    <col min="1025" max="1025" width="6.25" style="2" customWidth="1"/>
    <col min="1026" max="1026" width="12.5" style="2" customWidth="1"/>
    <col min="1027" max="1027" width="43.75" style="2" customWidth="1"/>
    <col min="1028" max="1028" width="23.875" style="2" customWidth="1"/>
    <col min="1029" max="1029" width="9" style="2"/>
    <col min="1030" max="1030" width="30.875" style="2" customWidth="1"/>
    <col min="1031" max="1032" width="11.375" style="2" customWidth="1"/>
    <col min="1033" max="1036" width="9" style="2"/>
    <col min="1037" max="1037" width="9.375" style="2" customWidth="1"/>
    <col min="1038" max="1038" width="10.75" style="2" customWidth="1"/>
    <col min="1039" max="1280" width="9" style="2"/>
    <col min="1281" max="1281" width="6.25" style="2" customWidth="1"/>
    <col min="1282" max="1282" width="12.5" style="2" customWidth="1"/>
    <col min="1283" max="1283" width="43.75" style="2" customWidth="1"/>
    <col min="1284" max="1284" width="23.875" style="2" customWidth="1"/>
    <col min="1285" max="1285" width="9" style="2"/>
    <col min="1286" max="1286" width="30.875" style="2" customWidth="1"/>
    <col min="1287" max="1288" width="11.375" style="2" customWidth="1"/>
    <col min="1289" max="1292" width="9" style="2"/>
    <col min="1293" max="1293" width="9.375" style="2" customWidth="1"/>
    <col min="1294" max="1294" width="10.75" style="2" customWidth="1"/>
    <col min="1295" max="1536" width="9" style="2"/>
    <col min="1537" max="1537" width="6.25" style="2" customWidth="1"/>
    <col min="1538" max="1538" width="12.5" style="2" customWidth="1"/>
    <col min="1539" max="1539" width="43.75" style="2" customWidth="1"/>
    <col min="1540" max="1540" width="23.875" style="2" customWidth="1"/>
    <col min="1541" max="1541" width="9" style="2"/>
    <col min="1542" max="1542" width="30.875" style="2" customWidth="1"/>
    <col min="1543" max="1544" width="11.375" style="2" customWidth="1"/>
    <col min="1545" max="1548" width="9" style="2"/>
    <col min="1549" max="1549" width="9.375" style="2" customWidth="1"/>
    <col min="1550" max="1550" width="10.75" style="2" customWidth="1"/>
    <col min="1551" max="1792" width="9" style="2"/>
    <col min="1793" max="1793" width="6.25" style="2" customWidth="1"/>
    <col min="1794" max="1794" width="12.5" style="2" customWidth="1"/>
    <col min="1795" max="1795" width="43.75" style="2" customWidth="1"/>
    <col min="1796" max="1796" width="23.875" style="2" customWidth="1"/>
    <col min="1797" max="1797" width="9" style="2"/>
    <col min="1798" max="1798" width="30.875" style="2" customWidth="1"/>
    <col min="1799" max="1800" width="11.375" style="2" customWidth="1"/>
    <col min="1801" max="1804" width="9" style="2"/>
    <col min="1805" max="1805" width="9.375" style="2" customWidth="1"/>
    <col min="1806" max="1806" width="10.75" style="2" customWidth="1"/>
    <col min="1807" max="2048" width="9" style="2"/>
    <col min="2049" max="2049" width="6.25" style="2" customWidth="1"/>
    <col min="2050" max="2050" width="12.5" style="2" customWidth="1"/>
    <col min="2051" max="2051" width="43.75" style="2" customWidth="1"/>
    <col min="2052" max="2052" width="23.875" style="2" customWidth="1"/>
    <col min="2053" max="2053" width="9" style="2"/>
    <col min="2054" max="2054" width="30.875" style="2" customWidth="1"/>
    <col min="2055" max="2056" width="11.375" style="2" customWidth="1"/>
    <col min="2057" max="2060" width="9" style="2"/>
    <col min="2061" max="2061" width="9.375" style="2" customWidth="1"/>
    <col min="2062" max="2062" width="10.75" style="2" customWidth="1"/>
    <col min="2063" max="2304" width="9" style="2"/>
    <col min="2305" max="2305" width="6.25" style="2" customWidth="1"/>
    <col min="2306" max="2306" width="12.5" style="2" customWidth="1"/>
    <col min="2307" max="2307" width="43.75" style="2" customWidth="1"/>
    <col min="2308" max="2308" width="23.875" style="2" customWidth="1"/>
    <col min="2309" max="2309" width="9" style="2"/>
    <col min="2310" max="2310" width="30.875" style="2" customWidth="1"/>
    <col min="2311" max="2312" width="11.375" style="2" customWidth="1"/>
    <col min="2313" max="2316" width="9" style="2"/>
    <col min="2317" max="2317" width="9.375" style="2" customWidth="1"/>
    <col min="2318" max="2318" width="10.75" style="2" customWidth="1"/>
    <col min="2319" max="2560" width="9" style="2"/>
    <col min="2561" max="2561" width="6.25" style="2" customWidth="1"/>
    <col min="2562" max="2562" width="12.5" style="2" customWidth="1"/>
    <col min="2563" max="2563" width="43.75" style="2" customWidth="1"/>
    <col min="2564" max="2564" width="23.875" style="2" customWidth="1"/>
    <col min="2565" max="2565" width="9" style="2"/>
    <col min="2566" max="2566" width="30.875" style="2" customWidth="1"/>
    <col min="2567" max="2568" width="11.375" style="2" customWidth="1"/>
    <col min="2569" max="2572" width="9" style="2"/>
    <col min="2573" max="2573" width="9.375" style="2" customWidth="1"/>
    <col min="2574" max="2574" width="10.75" style="2" customWidth="1"/>
    <col min="2575" max="2816" width="9" style="2"/>
    <col min="2817" max="2817" width="6.25" style="2" customWidth="1"/>
    <col min="2818" max="2818" width="12.5" style="2" customWidth="1"/>
    <col min="2819" max="2819" width="43.75" style="2" customWidth="1"/>
    <col min="2820" max="2820" width="23.875" style="2" customWidth="1"/>
    <col min="2821" max="2821" width="9" style="2"/>
    <col min="2822" max="2822" width="30.875" style="2" customWidth="1"/>
    <col min="2823" max="2824" width="11.375" style="2" customWidth="1"/>
    <col min="2825" max="2828" width="9" style="2"/>
    <col min="2829" max="2829" width="9.375" style="2" customWidth="1"/>
    <col min="2830" max="2830" width="10.75" style="2" customWidth="1"/>
    <col min="2831" max="3072" width="9" style="2"/>
    <col min="3073" max="3073" width="6.25" style="2" customWidth="1"/>
    <col min="3074" max="3074" width="12.5" style="2" customWidth="1"/>
    <col min="3075" max="3075" width="43.75" style="2" customWidth="1"/>
    <col min="3076" max="3076" width="23.875" style="2" customWidth="1"/>
    <col min="3077" max="3077" width="9" style="2"/>
    <col min="3078" max="3078" width="30.875" style="2" customWidth="1"/>
    <col min="3079" max="3080" width="11.375" style="2" customWidth="1"/>
    <col min="3081" max="3084" width="9" style="2"/>
    <col min="3085" max="3085" width="9.375" style="2" customWidth="1"/>
    <col min="3086" max="3086" width="10.75" style="2" customWidth="1"/>
    <col min="3087" max="3328" width="9" style="2"/>
    <col min="3329" max="3329" width="6.25" style="2" customWidth="1"/>
    <col min="3330" max="3330" width="12.5" style="2" customWidth="1"/>
    <col min="3331" max="3331" width="43.75" style="2" customWidth="1"/>
    <col min="3332" max="3332" width="23.875" style="2" customWidth="1"/>
    <col min="3333" max="3333" width="9" style="2"/>
    <col min="3334" max="3334" width="30.875" style="2" customWidth="1"/>
    <col min="3335" max="3336" width="11.375" style="2" customWidth="1"/>
    <col min="3337" max="3340" width="9" style="2"/>
    <col min="3341" max="3341" width="9.375" style="2" customWidth="1"/>
    <col min="3342" max="3342" width="10.75" style="2" customWidth="1"/>
    <col min="3343" max="3584" width="9" style="2"/>
    <col min="3585" max="3585" width="6.25" style="2" customWidth="1"/>
    <col min="3586" max="3586" width="12.5" style="2" customWidth="1"/>
    <col min="3587" max="3587" width="43.75" style="2" customWidth="1"/>
    <col min="3588" max="3588" width="23.875" style="2" customWidth="1"/>
    <col min="3589" max="3589" width="9" style="2"/>
    <col min="3590" max="3590" width="30.875" style="2" customWidth="1"/>
    <col min="3591" max="3592" width="11.375" style="2" customWidth="1"/>
    <col min="3593" max="3596" width="9" style="2"/>
    <col min="3597" max="3597" width="9.375" style="2" customWidth="1"/>
    <col min="3598" max="3598" width="10.75" style="2" customWidth="1"/>
    <col min="3599" max="3840" width="9" style="2"/>
    <col min="3841" max="3841" width="6.25" style="2" customWidth="1"/>
    <col min="3842" max="3842" width="12.5" style="2" customWidth="1"/>
    <col min="3843" max="3843" width="43.75" style="2" customWidth="1"/>
    <col min="3844" max="3844" width="23.875" style="2" customWidth="1"/>
    <col min="3845" max="3845" width="9" style="2"/>
    <col min="3846" max="3846" width="30.875" style="2" customWidth="1"/>
    <col min="3847" max="3848" width="11.375" style="2" customWidth="1"/>
    <col min="3849" max="3852" width="9" style="2"/>
    <col min="3853" max="3853" width="9.375" style="2" customWidth="1"/>
    <col min="3854" max="3854" width="10.75" style="2" customWidth="1"/>
    <col min="3855" max="4096" width="9" style="2"/>
    <col min="4097" max="4097" width="6.25" style="2" customWidth="1"/>
    <col min="4098" max="4098" width="12.5" style="2" customWidth="1"/>
    <col min="4099" max="4099" width="43.75" style="2" customWidth="1"/>
    <col min="4100" max="4100" width="23.875" style="2" customWidth="1"/>
    <col min="4101" max="4101" width="9" style="2"/>
    <col min="4102" max="4102" width="30.875" style="2" customWidth="1"/>
    <col min="4103" max="4104" width="11.375" style="2" customWidth="1"/>
    <col min="4105" max="4108" width="9" style="2"/>
    <col min="4109" max="4109" width="9.375" style="2" customWidth="1"/>
    <col min="4110" max="4110" width="10.75" style="2" customWidth="1"/>
    <col min="4111" max="4352" width="9" style="2"/>
    <col min="4353" max="4353" width="6.25" style="2" customWidth="1"/>
    <col min="4354" max="4354" width="12.5" style="2" customWidth="1"/>
    <col min="4355" max="4355" width="43.75" style="2" customWidth="1"/>
    <col min="4356" max="4356" width="23.875" style="2" customWidth="1"/>
    <col min="4357" max="4357" width="9" style="2"/>
    <col min="4358" max="4358" width="30.875" style="2" customWidth="1"/>
    <col min="4359" max="4360" width="11.375" style="2" customWidth="1"/>
    <col min="4361" max="4364" width="9" style="2"/>
    <col min="4365" max="4365" width="9.375" style="2" customWidth="1"/>
    <col min="4366" max="4366" width="10.75" style="2" customWidth="1"/>
    <col min="4367" max="4608" width="9" style="2"/>
    <col min="4609" max="4609" width="6.25" style="2" customWidth="1"/>
    <col min="4610" max="4610" width="12.5" style="2" customWidth="1"/>
    <col min="4611" max="4611" width="43.75" style="2" customWidth="1"/>
    <col min="4612" max="4612" width="23.875" style="2" customWidth="1"/>
    <col min="4613" max="4613" width="9" style="2"/>
    <col min="4614" max="4614" width="30.875" style="2" customWidth="1"/>
    <col min="4615" max="4616" width="11.375" style="2" customWidth="1"/>
    <col min="4617" max="4620" width="9" style="2"/>
    <col min="4621" max="4621" width="9.375" style="2" customWidth="1"/>
    <col min="4622" max="4622" width="10.75" style="2" customWidth="1"/>
    <col min="4623" max="4864" width="9" style="2"/>
    <col min="4865" max="4865" width="6.25" style="2" customWidth="1"/>
    <col min="4866" max="4866" width="12.5" style="2" customWidth="1"/>
    <col min="4867" max="4867" width="43.75" style="2" customWidth="1"/>
    <col min="4868" max="4868" width="23.875" style="2" customWidth="1"/>
    <col min="4869" max="4869" width="9" style="2"/>
    <col min="4870" max="4870" width="30.875" style="2" customWidth="1"/>
    <col min="4871" max="4872" width="11.375" style="2" customWidth="1"/>
    <col min="4873" max="4876" width="9" style="2"/>
    <col min="4877" max="4877" width="9.375" style="2" customWidth="1"/>
    <col min="4878" max="4878" width="10.75" style="2" customWidth="1"/>
    <col min="4879" max="5120" width="9" style="2"/>
    <col min="5121" max="5121" width="6.25" style="2" customWidth="1"/>
    <col min="5122" max="5122" width="12.5" style="2" customWidth="1"/>
    <col min="5123" max="5123" width="43.75" style="2" customWidth="1"/>
    <col min="5124" max="5124" width="23.875" style="2" customWidth="1"/>
    <col min="5125" max="5125" width="9" style="2"/>
    <col min="5126" max="5126" width="30.875" style="2" customWidth="1"/>
    <col min="5127" max="5128" width="11.375" style="2" customWidth="1"/>
    <col min="5129" max="5132" width="9" style="2"/>
    <col min="5133" max="5133" width="9.375" style="2" customWidth="1"/>
    <col min="5134" max="5134" width="10.75" style="2" customWidth="1"/>
    <col min="5135" max="5376" width="9" style="2"/>
    <col min="5377" max="5377" width="6.25" style="2" customWidth="1"/>
    <col min="5378" max="5378" width="12.5" style="2" customWidth="1"/>
    <col min="5379" max="5379" width="43.75" style="2" customWidth="1"/>
    <col min="5380" max="5380" width="23.875" style="2" customWidth="1"/>
    <col min="5381" max="5381" width="9" style="2"/>
    <col min="5382" max="5382" width="30.875" style="2" customWidth="1"/>
    <col min="5383" max="5384" width="11.375" style="2" customWidth="1"/>
    <col min="5385" max="5388" width="9" style="2"/>
    <col min="5389" max="5389" width="9.375" style="2" customWidth="1"/>
    <col min="5390" max="5390" width="10.75" style="2" customWidth="1"/>
    <col min="5391" max="5632" width="9" style="2"/>
    <col min="5633" max="5633" width="6.25" style="2" customWidth="1"/>
    <col min="5634" max="5634" width="12.5" style="2" customWidth="1"/>
    <col min="5635" max="5635" width="43.75" style="2" customWidth="1"/>
    <col min="5636" max="5636" width="23.875" style="2" customWidth="1"/>
    <col min="5637" max="5637" width="9" style="2"/>
    <col min="5638" max="5638" width="30.875" style="2" customWidth="1"/>
    <col min="5639" max="5640" width="11.375" style="2" customWidth="1"/>
    <col min="5641" max="5644" width="9" style="2"/>
    <col min="5645" max="5645" width="9.375" style="2" customWidth="1"/>
    <col min="5646" max="5646" width="10.75" style="2" customWidth="1"/>
    <col min="5647" max="5888" width="9" style="2"/>
    <col min="5889" max="5889" width="6.25" style="2" customWidth="1"/>
    <col min="5890" max="5890" width="12.5" style="2" customWidth="1"/>
    <col min="5891" max="5891" width="43.75" style="2" customWidth="1"/>
    <col min="5892" max="5892" width="23.875" style="2" customWidth="1"/>
    <col min="5893" max="5893" width="9" style="2"/>
    <col min="5894" max="5894" width="30.875" style="2" customWidth="1"/>
    <col min="5895" max="5896" width="11.375" style="2" customWidth="1"/>
    <col min="5897" max="5900" width="9" style="2"/>
    <col min="5901" max="5901" width="9.375" style="2" customWidth="1"/>
    <col min="5902" max="5902" width="10.75" style="2" customWidth="1"/>
    <col min="5903" max="6144" width="9" style="2"/>
    <col min="6145" max="6145" width="6.25" style="2" customWidth="1"/>
    <col min="6146" max="6146" width="12.5" style="2" customWidth="1"/>
    <col min="6147" max="6147" width="43.75" style="2" customWidth="1"/>
    <col min="6148" max="6148" width="23.875" style="2" customWidth="1"/>
    <col min="6149" max="6149" width="9" style="2"/>
    <col min="6150" max="6150" width="30.875" style="2" customWidth="1"/>
    <col min="6151" max="6152" width="11.375" style="2" customWidth="1"/>
    <col min="6153" max="6156" width="9" style="2"/>
    <col min="6157" max="6157" width="9.375" style="2" customWidth="1"/>
    <col min="6158" max="6158" width="10.75" style="2" customWidth="1"/>
    <col min="6159" max="6400" width="9" style="2"/>
    <col min="6401" max="6401" width="6.25" style="2" customWidth="1"/>
    <col min="6402" max="6402" width="12.5" style="2" customWidth="1"/>
    <col min="6403" max="6403" width="43.75" style="2" customWidth="1"/>
    <col min="6404" max="6404" width="23.875" style="2" customWidth="1"/>
    <col min="6405" max="6405" width="9" style="2"/>
    <col min="6406" max="6406" width="30.875" style="2" customWidth="1"/>
    <col min="6407" max="6408" width="11.375" style="2" customWidth="1"/>
    <col min="6409" max="6412" width="9" style="2"/>
    <col min="6413" max="6413" width="9.375" style="2" customWidth="1"/>
    <col min="6414" max="6414" width="10.75" style="2" customWidth="1"/>
    <col min="6415" max="6656" width="9" style="2"/>
    <col min="6657" max="6657" width="6.25" style="2" customWidth="1"/>
    <col min="6658" max="6658" width="12.5" style="2" customWidth="1"/>
    <col min="6659" max="6659" width="43.75" style="2" customWidth="1"/>
    <col min="6660" max="6660" width="23.875" style="2" customWidth="1"/>
    <col min="6661" max="6661" width="9" style="2"/>
    <col min="6662" max="6662" width="30.875" style="2" customWidth="1"/>
    <col min="6663" max="6664" width="11.375" style="2" customWidth="1"/>
    <col min="6665" max="6668" width="9" style="2"/>
    <col min="6669" max="6669" width="9.375" style="2" customWidth="1"/>
    <col min="6670" max="6670" width="10.75" style="2" customWidth="1"/>
    <col min="6671" max="6912" width="9" style="2"/>
    <col min="6913" max="6913" width="6.25" style="2" customWidth="1"/>
    <col min="6914" max="6914" width="12.5" style="2" customWidth="1"/>
    <col min="6915" max="6915" width="43.75" style="2" customWidth="1"/>
    <col min="6916" max="6916" width="23.875" style="2" customWidth="1"/>
    <col min="6917" max="6917" width="9" style="2"/>
    <col min="6918" max="6918" width="30.875" style="2" customWidth="1"/>
    <col min="6919" max="6920" width="11.375" style="2" customWidth="1"/>
    <col min="6921" max="6924" width="9" style="2"/>
    <col min="6925" max="6925" width="9.375" style="2" customWidth="1"/>
    <col min="6926" max="6926" width="10.75" style="2" customWidth="1"/>
    <col min="6927" max="7168" width="9" style="2"/>
    <col min="7169" max="7169" width="6.25" style="2" customWidth="1"/>
    <col min="7170" max="7170" width="12.5" style="2" customWidth="1"/>
    <col min="7171" max="7171" width="43.75" style="2" customWidth="1"/>
    <col min="7172" max="7172" width="23.875" style="2" customWidth="1"/>
    <col min="7173" max="7173" width="9" style="2"/>
    <col min="7174" max="7174" width="30.875" style="2" customWidth="1"/>
    <col min="7175" max="7176" width="11.375" style="2" customWidth="1"/>
    <col min="7177" max="7180" width="9" style="2"/>
    <col min="7181" max="7181" width="9.375" style="2" customWidth="1"/>
    <col min="7182" max="7182" width="10.75" style="2" customWidth="1"/>
    <col min="7183" max="7424" width="9" style="2"/>
    <col min="7425" max="7425" width="6.25" style="2" customWidth="1"/>
    <col min="7426" max="7426" width="12.5" style="2" customWidth="1"/>
    <col min="7427" max="7427" width="43.75" style="2" customWidth="1"/>
    <col min="7428" max="7428" width="23.875" style="2" customWidth="1"/>
    <col min="7429" max="7429" width="9" style="2"/>
    <col min="7430" max="7430" width="30.875" style="2" customWidth="1"/>
    <col min="7431" max="7432" width="11.375" style="2" customWidth="1"/>
    <col min="7433" max="7436" width="9" style="2"/>
    <col min="7437" max="7437" width="9.375" style="2" customWidth="1"/>
    <col min="7438" max="7438" width="10.75" style="2" customWidth="1"/>
    <col min="7439" max="7680" width="9" style="2"/>
    <col min="7681" max="7681" width="6.25" style="2" customWidth="1"/>
    <col min="7682" max="7682" width="12.5" style="2" customWidth="1"/>
    <col min="7683" max="7683" width="43.75" style="2" customWidth="1"/>
    <col min="7684" max="7684" width="23.875" style="2" customWidth="1"/>
    <col min="7685" max="7685" width="9" style="2"/>
    <col min="7686" max="7686" width="30.875" style="2" customWidth="1"/>
    <col min="7687" max="7688" width="11.375" style="2" customWidth="1"/>
    <col min="7689" max="7692" width="9" style="2"/>
    <col min="7693" max="7693" width="9.375" style="2" customWidth="1"/>
    <col min="7694" max="7694" width="10.75" style="2" customWidth="1"/>
    <col min="7695" max="7936" width="9" style="2"/>
    <col min="7937" max="7937" width="6.25" style="2" customWidth="1"/>
    <col min="7938" max="7938" width="12.5" style="2" customWidth="1"/>
    <col min="7939" max="7939" width="43.75" style="2" customWidth="1"/>
    <col min="7940" max="7940" width="23.875" style="2" customWidth="1"/>
    <col min="7941" max="7941" width="9" style="2"/>
    <col min="7942" max="7942" width="30.875" style="2" customWidth="1"/>
    <col min="7943" max="7944" width="11.375" style="2" customWidth="1"/>
    <col min="7945" max="7948" width="9" style="2"/>
    <col min="7949" max="7949" width="9.375" style="2" customWidth="1"/>
    <col min="7950" max="7950" width="10.75" style="2" customWidth="1"/>
    <col min="7951" max="8192" width="9" style="2"/>
    <col min="8193" max="8193" width="6.25" style="2" customWidth="1"/>
    <col min="8194" max="8194" width="12.5" style="2" customWidth="1"/>
    <col min="8195" max="8195" width="43.75" style="2" customWidth="1"/>
    <col min="8196" max="8196" width="23.875" style="2" customWidth="1"/>
    <col min="8197" max="8197" width="9" style="2"/>
    <col min="8198" max="8198" width="30.875" style="2" customWidth="1"/>
    <col min="8199" max="8200" width="11.375" style="2" customWidth="1"/>
    <col min="8201" max="8204" width="9" style="2"/>
    <col min="8205" max="8205" width="9.375" style="2" customWidth="1"/>
    <col min="8206" max="8206" width="10.75" style="2" customWidth="1"/>
    <col min="8207" max="8448" width="9" style="2"/>
    <col min="8449" max="8449" width="6.25" style="2" customWidth="1"/>
    <col min="8450" max="8450" width="12.5" style="2" customWidth="1"/>
    <col min="8451" max="8451" width="43.75" style="2" customWidth="1"/>
    <col min="8452" max="8452" width="23.875" style="2" customWidth="1"/>
    <col min="8453" max="8453" width="9" style="2"/>
    <col min="8454" max="8454" width="30.875" style="2" customWidth="1"/>
    <col min="8455" max="8456" width="11.375" style="2" customWidth="1"/>
    <col min="8457" max="8460" width="9" style="2"/>
    <col min="8461" max="8461" width="9.375" style="2" customWidth="1"/>
    <col min="8462" max="8462" width="10.75" style="2" customWidth="1"/>
    <col min="8463" max="8704" width="9" style="2"/>
    <col min="8705" max="8705" width="6.25" style="2" customWidth="1"/>
    <col min="8706" max="8706" width="12.5" style="2" customWidth="1"/>
    <col min="8707" max="8707" width="43.75" style="2" customWidth="1"/>
    <col min="8708" max="8708" width="23.875" style="2" customWidth="1"/>
    <col min="8709" max="8709" width="9" style="2"/>
    <col min="8710" max="8710" width="30.875" style="2" customWidth="1"/>
    <col min="8711" max="8712" width="11.375" style="2" customWidth="1"/>
    <col min="8713" max="8716" width="9" style="2"/>
    <col min="8717" max="8717" width="9.375" style="2" customWidth="1"/>
    <col min="8718" max="8718" width="10.75" style="2" customWidth="1"/>
    <col min="8719" max="8960" width="9" style="2"/>
    <col min="8961" max="8961" width="6.25" style="2" customWidth="1"/>
    <col min="8962" max="8962" width="12.5" style="2" customWidth="1"/>
    <col min="8963" max="8963" width="43.75" style="2" customWidth="1"/>
    <col min="8964" max="8964" width="23.875" style="2" customWidth="1"/>
    <col min="8965" max="8965" width="9" style="2"/>
    <col min="8966" max="8966" width="30.875" style="2" customWidth="1"/>
    <col min="8967" max="8968" width="11.375" style="2" customWidth="1"/>
    <col min="8969" max="8972" width="9" style="2"/>
    <col min="8973" max="8973" width="9.375" style="2" customWidth="1"/>
    <col min="8974" max="8974" width="10.75" style="2" customWidth="1"/>
    <col min="8975" max="9216" width="9" style="2"/>
    <col min="9217" max="9217" width="6.25" style="2" customWidth="1"/>
    <col min="9218" max="9218" width="12.5" style="2" customWidth="1"/>
    <col min="9219" max="9219" width="43.75" style="2" customWidth="1"/>
    <col min="9220" max="9220" width="23.875" style="2" customWidth="1"/>
    <col min="9221" max="9221" width="9" style="2"/>
    <col min="9222" max="9222" width="30.875" style="2" customWidth="1"/>
    <col min="9223" max="9224" width="11.375" style="2" customWidth="1"/>
    <col min="9225" max="9228" width="9" style="2"/>
    <col min="9229" max="9229" width="9.375" style="2" customWidth="1"/>
    <col min="9230" max="9230" width="10.75" style="2" customWidth="1"/>
    <col min="9231" max="9472" width="9" style="2"/>
    <col min="9473" max="9473" width="6.25" style="2" customWidth="1"/>
    <col min="9474" max="9474" width="12.5" style="2" customWidth="1"/>
    <col min="9475" max="9475" width="43.75" style="2" customWidth="1"/>
    <col min="9476" max="9476" width="23.875" style="2" customWidth="1"/>
    <col min="9477" max="9477" width="9" style="2"/>
    <col min="9478" max="9478" width="30.875" style="2" customWidth="1"/>
    <col min="9479" max="9480" width="11.375" style="2" customWidth="1"/>
    <col min="9481" max="9484" width="9" style="2"/>
    <col min="9485" max="9485" width="9.375" style="2" customWidth="1"/>
    <col min="9486" max="9486" width="10.75" style="2" customWidth="1"/>
    <col min="9487" max="9728" width="9" style="2"/>
    <col min="9729" max="9729" width="6.25" style="2" customWidth="1"/>
    <col min="9730" max="9730" width="12.5" style="2" customWidth="1"/>
    <col min="9731" max="9731" width="43.75" style="2" customWidth="1"/>
    <col min="9732" max="9732" width="23.875" style="2" customWidth="1"/>
    <col min="9733" max="9733" width="9" style="2"/>
    <col min="9734" max="9734" width="30.875" style="2" customWidth="1"/>
    <col min="9735" max="9736" width="11.375" style="2" customWidth="1"/>
    <col min="9737" max="9740" width="9" style="2"/>
    <col min="9741" max="9741" width="9.375" style="2" customWidth="1"/>
    <col min="9742" max="9742" width="10.75" style="2" customWidth="1"/>
    <col min="9743" max="9984" width="9" style="2"/>
    <col min="9985" max="9985" width="6.25" style="2" customWidth="1"/>
    <col min="9986" max="9986" width="12.5" style="2" customWidth="1"/>
    <col min="9987" max="9987" width="43.75" style="2" customWidth="1"/>
    <col min="9988" max="9988" width="23.875" style="2" customWidth="1"/>
    <col min="9989" max="9989" width="9" style="2"/>
    <col min="9990" max="9990" width="30.875" style="2" customWidth="1"/>
    <col min="9991" max="9992" width="11.375" style="2" customWidth="1"/>
    <col min="9993" max="9996" width="9" style="2"/>
    <col min="9997" max="9997" width="9.375" style="2" customWidth="1"/>
    <col min="9998" max="9998" width="10.75" style="2" customWidth="1"/>
    <col min="9999" max="10240" width="9" style="2"/>
    <col min="10241" max="10241" width="6.25" style="2" customWidth="1"/>
    <col min="10242" max="10242" width="12.5" style="2" customWidth="1"/>
    <col min="10243" max="10243" width="43.75" style="2" customWidth="1"/>
    <col min="10244" max="10244" width="23.875" style="2" customWidth="1"/>
    <col min="10245" max="10245" width="9" style="2"/>
    <col min="10246" max="10246" width="30.875" style="2" customWidth="1"/>
    <col min="10247" max="10248" width="11.375" style="2" customWidth="1"/>
    <col min="10249" max="10252" width="9" style="2"/>
    <col min="10253" max="10253" width="9.375" style="2" customWidth="1"/>
    <col min="10254" max="10254" width="10.75" style="2" customWidth="1"/>
    <col min="10255" max="10496" width="9" style="2"/>
    <col min="10497" max="10497" width="6.25" style="2" customWidth="1"/>
    <col min="10498" max="10498" width="12.5" style="2" customWidth="1"/>
    <col min="10499" max="10499" width="43.75" style="2" customWidth="1"/>
    <col min="10500" max="10500" width="23.875" style="2" customWidth="1"/>
    <col min="10501" max="10501" width="9" style="2"/>
    <col min="10502" max="10502" width="30.875" style="2" customWidth="1"/>
    <col min="10503" max="10504" width="11.375" style="2" customWidth="1"/>
    <col min="10505" max="10508" width="9" style="2"/>
    <col min="10509" max="10509" width="9.375" style="2" customWidth="1"/>
    <col min="10510" max="10510" width="10.75" style="2" customWidth="1"/>
    <col min="10511" max="10752" width="9" style="2"/>
    <col min="10753" max="10753" width="6.25" style="2" customWidth="1"/>
    <col min="10754" max="10754" width="12.5" style="2" customWidth="1"/>
    <col min="10755" max="10755" width="43.75" style="2" customWidth="1"/>
    <col min="10756" max="10756" width="23.875" style="2" customWidth="1"/>
    <col min="10757" max="10757" width="9" style="2"/>
    <col min="10758" max="10758" width="30.875" style="2" customWidth="1"/>
    <col min="10759" max="10760" width="11.375" style="2" customWidth="1"/>
    <col min="10761" max="10764" width="9" style="2"/>
    <col min="10765" max="10765" width="9.375" style="2" customWidth="1"/>
    <col min="10766" max="10766" width="10.75" style="2" customWidth="1"/>
    <col min="10767" max="11008" width="9" style="2"/>
    <col min="11009" max="11009" width="6.25" style="2" customWidth="1"/>
    <col min="11010" max="11010" width="12.5" style="2" customWidth="1"/>
    <col min="11011" max="11011" width="43.75" style="2" customWidth="1"/>
    <col min="11012" max="11012" width="23.875" style="2" customWidth="1"/>
    <col min="11013" max="11013" width="9" style="2"/>
    <col min="11014" max="11014" width="30.875" style="2" customWidth="1"/>
    <col min="11015" max="11016" width="11.375" style="2" customWidth="1"/>
    <col min="11017" max="11020" width="9" style="2"/>
    <col min="11021" max="11021" width="9.375" style="2" customWidth="1"/>
    <col min="11022" max="11022" width="10.75" style="2" customWidth="1"/>
    <col min="11023" max="11264" width="9" style="2"/>
    <col min="11265" max="11265" width="6.25" style="2" customWidth="1"/>
    <col min="11266" max="11266" width="12.5" style="2" customWidth="1"/>
    <col min="11267" max="11267" width="43.75" style="2" customWidth="1"/>
    <col min="11268" max="11268" width="23.875" style="2" customWidth="1"/>
    <col min="11269" max="11269" width="9" style="2"/>
    <col min="11270" max="11270" width="30.875" style="2" customWidth="1"/>
    <col min="11271" max="11272" width="11.375" style="2" customWidth="1"/>
    <col min="11273" max="11276" width="9" style="2"/>
    <col min="11277" max="11277" width="9.375" style="2" customWidth="1"/>
    <col min="11278" max="11278" width="10.75" style="2" customWidth="1"/>
    <col min="11279" max="11520" width="9" style="2"/>
    <col min="11521" max="11521" width="6.25" style="2" customWidth="1"/>
    <col min="11522" max="11522" width="12.5" style="2" customWidth="1"/>
    <col min="11523" max="11523" width="43.75" style="2" customWidth="1"/>
    <col min="11524" max="11524" width="23.875" style="2" customWidth="1"/>
    <col min="11525" max="11525" width="9" style="2"/>
    <col min="11526" max="11526" width="30.875" style="2" customWidth="1"/>
    <col min="11527" max="11528" width="11.375" style="2" customWidth="1"/>
    <col min="11529" max="11532" width="9" style="2"/>
    <col min="11533" max="11533" width="9.375" style="2" customWidth="1"/>
    <col min="11534" max="11534" width="10.75" style="2" customWidth="1"/>
    <col min="11535" max="11776" width="9" style="2"/>
    <col min="11777" max="11777" width="6.25" style="2" customWidth="1"/>
    <col min="11778" max="11778" width="12.5" style="2" customWidth="1"/>
    <col min="11779" max="11779" width="43.75" style="2" customWidth="1"/>
    <col min="11780" max="11780" width="23.875" style="2" customWidth="1"/>
    <col min="11781" max="11781" width="9" style="2"/>
    <col min="11782" max="11782" width="30.875" style="2" customWidth="1"/>
    <col min="11783" max="11784" width="11.375" style="2" customWidth="1"/>
    <col min="11785" max="11788" width="9" style="2"/>
    <col min="11789" max="11789" width="9.375" style="2" customWidth="1"/>
    <col min="11790" max="11790" width="10.75" style="2" customWidth="1"/>
    <col min="11791" max="12032" width="9" style="2"/>
    <col min="12033" max="12033" width="6.25" style="2" customWidth="1"/>
    <col min="12034" max="12034" width="12.5" style="2" customWidth="1"/>
    <col min="12035" max="12035" width="43.75" style="2" customWidth="1"/>
    <col min="12036" max="12036" width="23.875" style="2" customWidth="1"/>
    <col min="12037" max="12037" width="9" style="2"/>
    <col min="12038" max="12038" width="30.875" style="2" customWidth="1"/>
    <col min="12039" max="12040" width="11.375" style="2" customWidth="1"/>
    <col min="12041" max="12044" width="9" style="2"/>
    <col min="12045" max="12045" width="9.375" style="2" customWidth="1"/>
    <col min="12046" max="12046" width="10.75" style="2" customWidth="1"/>
    <col min="12047" max="12288" width="9" style="2"/>
    <col min="12289" max="12289" width="6.25" style="2" customWidth="1"/>
    <col min="12290" max="12290" width="12.5" style="2" customWidth="1"/>
    <col min="12291" max="12291" width="43.75" style="2" customWidth="1"/>
    <col min="12292" max="12292" width="23.875" style="2" customWidth="1"/>
    <col min="12293" max="12293" width="9" style="2"/>
    <col min="12294" max="12294" width="30.875" style="2" customWidth="1"/>
    <col min="12295" max="12296" width="11.375" style="2" customWidth="1"/>
    <col min="12297" max="12300" width="9" style="2"/>
    <col min="12301" max="12301" width="9.375" style="2" customWidth="1"/>
    <col min="12302" max="12302" width="10.75" style="2" customWidth="1"/>
    <col min="12303" max="12544" width="9" style="2"/>
    <col min="12545" max="12545" width="6.25" style="2" customWidth="1"/>
    <col min="12546" max="12546" width="12.5" style="2" customWidth="1"/>
    <col min="12547" max="12547" width="43.75" style="2" customWidth="1"/>
    <col min="12548" max="12548" width="23.875" style="2" customWidth="1"/>
    <col min="12549" max="12549" width="9" style="2"/>
    <col min="12550" max="12550" width="30.875" style="2" customWidth="1"/>
    <col min="12551" max="12552" width="11.375" style="2" customWidth="1"/>
    <col min="12553" max="12556" width="9" style="2"/>
    <col min="12557" max="12557" width="9.375" style="2" customWidth="1"/>
    <col min="12558" max="12558" width="10.75" style="2" customWidth="1"/>
    <col min="12559" max="12800" width="9" style="2"/>
    <col min="12801" max="12801" width="6.25" style="2" customWidth="1"/>
    <col min="12802" max="12802" width="12.5" style="2" customWidth="1"/>
    <col min="12803" max="12803" width="43.75" style="2" customWidth="1"/>
    <col min="12804" max="12804" width="23.875" style="2" customWidth="1"/>
    <col min="12805" max="12805" width="9" style="2"/>
    <col min="12806" max="12806" width="30.875" style="2" customWidth="1"/>
    <col min="12807" max="12808" width="11.375" style="2" customWidth="1"/>
    <col min="12809" max="12812" width="9" style="2"/>
    <col min="12813" max="12813" width="9.375" style="2" customWidth="1"/>
    <col min="12814" max="12814" width="10.75" style="2" customWidth="1"/>
    <col min="12815" max="13056" width="9" style="2"/>
    <col min="13057" max="13057" width="6.25" style="2" customWidth="1"/>
    <col min="13058" max="13058" width="12.5" style="2" customWidth="1"/>
    <col min="13059" max="13059" width="43.75" style="2" customWidth="1"/>
    <col min="13060" max="13060" width="23.875" style="2" customWidth="1"/>
    <col min="13061" max="13061" width="9" style="2"/>
    <col min="13062" max="13062" width="30.875" style="2" customWidth="1"/>
    <col min="13063" max="13064" width="11.375" style="2" customWidth="1"/>
    <col min="13065" max="13068" width="9" style="2"/>
    <col min="13069" max="13069" width="9.375" style="2" customWidth="1"/>
    <col min="13070" max="13070" width="10.75" style="2" customWidth="1"/>
    <col min="13071" max="13312" width="9" style="2"/>
    <col min="13313" max="13313" width="6.25" style="2" customWidth="1"/>
    <col min="13314" max="13314" width="12.5" style="2" customWidth="1"/>
    <col min="13315" max="13315" width="43.75" style="2" customWidth="1"/>
    <col min="13316" max="13316" width="23.875" style="2" customWidth="1"/>
    <col min="13317" max="13317" width="9" style="2"/>
    <col min="13318" max="13318" width="30.875" style="2" customWidth="1"/>
    <col min="13319" max="13320" width="11.375" style="2" customWidth="1"/>
    <col min="13321" max="13324" width="9" style="2"/>
    <col min="13325" max="13325" width="9.375" style="2" customWidth="1"/>
    <col min="13326" max="13326" width="10.75" style="2" customWidth="1"/>
    <col min="13327" max="13568" width="9" style="2"/>
    <col min="13569" max="13569" width="6.25" style="2" customWidth="1"/>
    <col min="13570" max="13570" width="12.5" style="2" customWidth="1"/>
    <col min="13571" max="13571" width="43.75" style="2" customWidth="1"/>
    <col min="13572" max="13572" width="23.875" style="2" customWidth="1"/>
    <col min="13573" max="13573" width="9" style="2"/>
    <col min="13574" max="13574" width="30.875" style="2" customWidth="1"/>
    <col min="13575" max="13576" width="11.375" style="2" customWidth="1"/>
    <col min="13577" max="13580" width="9" style="2"/>
    <col min="13581" max="13581" width="9.375" style="2" customWidth="1"/>
    <col min="13582" max="13582" width="10.75" style="2" customWidth="1"/>
    <col min="13583" max="13824" width="9" style="2"/>
    <col min="13825" max="13825" width="6.25" style="2" customWidth="1"/>
    <col min="13826" max="13826" width="12.5" style="2" customWidth="1"/>
    <col min="13827" max="13827" width="43.75" style="2" customWidth="1"/>
    <col min="13828" max="13828" width="23.875" style="2" customWidth="1"/>
    <col min="13829" max="13829" width="9" style="2"/>
    <col min="13830" max="13830" width="30.875" style="2" customWidth="1"/>
    <col min="13831" max="13832" width="11.375" style="2" customWidth="1"/>
    <col min="13833" max="13836" width="9" style="2"/>
    <col min="13837" max="13837" width="9.375" style="2" customWidth="1"/>
    <col min="13838" max="13838" width="10.75" style="2" customWidth="1"/>
    <col min="13839" max="14080" width="9" style="2"/>
    <col min="14081" max="14081" width="6.25" style="2" customWidth="1"/>
    <col min="14082" max="14082" width="12.5" style="2" customWidth="1"/>
    <col min="14083" max="14083" width="43.75" style="2" customWidth="1"/>
    <col min="14084" max="14084" width="23.875" style="2" customWidth="1"/>
    <col min="14085" max="14085" width="9" style="2"/>
    <col min="14086" max="14086" width="30.875" style="2" customWidth="1"/>
    <col min="14087" max="14088" width="11.375" style="2" customWidth="1"/>
    <col min="14089" max="14092" width="9" style="2"/>
    <col min="14093" max="14093" width="9.375" style="2" customWidth="1"/>
    <col min="14094" max="14094" width="10.75" style="2" customWidth="1"/>
    <col min="14095" max="14336" width="9" style="2"/>
    <col min="14337" max="14337" width="6.25" style="2" customWidth="1"/>
    <col min="14338" max="14338" width="12.5" style="2" customWidth="1"/>
    <col min="14339" max="14339" width="43.75" style="2" customWidth="1"/>
    <col min="14340" max="14340" width="23.875" style="2" customWidth="1"/>
    <col min="14341" max="14341" width="9" style="2"/>
    <col min="14342" max="14342" width="30.875" style="2" customWidth="1"/>
    <col min="14343" max="14344" width="11.375" style="2" customWidth="1"/>
    <col min="14345" max="14348" width="9" style="2"/>
    <col min="14349" max="14349" width="9.375" style="2" customWidth="1"/>
    <col min="14350" max="14350" width="10.75" style="2" customWidth="1"/>
    <col min="14351" max="14592" width="9" style="2"/>
    <col min="14593" max="14593" width="6.25" style="2" customWidth="1"/>
    <col min="14594" max="14594" width="12.5" style="2" customWidth="1"/>
    <col min="14595" max="14595" width="43.75" style="2" customWidth="1"/>
    <col min="14596" max="14596" width="23.875" style="2" customWidth="1"/>
    <col min="14597" max="14597" width="9" style="2"/>
    <col min="14598" max="14598" width="30.875" style="2" customWidth="1"/>
    <col min="14599" max="14600" width="11.375" style="2" customWidth="1"/>
    <col min="14601" max="14604" width="9" style="2"/>
    <col min="14605" max="14605" width="9.375" style="2" customWidth="1"/>
    <col min="14606" max="14606" width="10.75" style="2" customWidth="1"/>
    <col min="14607" max="14848" width="9" style="2"/>
    <col min="14849" max="14849" width="6.25" style="2" customWidth="1"/>
    <col min="14850" max="14850" width="12.5" style="2" customWidth="1"/>
    <col min="14851" max="14851" width="43.75" style="2" customWidth="1"/>
    <col min="14852" max="14852" width="23.875" style="2" customWidth="1"/>
    <col min="14853" max="14853" width="9" style="2"/>
    <col min="14854" max="14854" width="30.875" style="2" customWidth="1"/>
    <col min="14855" max="14856" width="11.375" style="2" customWidth="1"/>
    <col min="14857" max="14860" width="9" style="2"/>
    <col min="14861" max="14861" width="9.375" style="2" customWidth="1"/>
    <col min="14862" max="14862" width="10.75" style="2" customWidth="1"/>
    <col min="14863" max="15104" width="9" style="2"/>
    <col min="15105" max="15105" width="6.25" style="2" customWidth="1"/>
    <col min="15106" max="15106" width="12.5" style="2" customWidth="1"/>
    <col min="15107" max="15107" width="43.75" style="2" customWidth="1"/>
    <col min="15108" max="15108" width="23.875" style="2" customWidth="1"/>
    <col min="15109" max="15109" width="9" style="2"/>
    <col min="15110" max="15110" width="30.875" style="2" customWidth="1"/>
    <col min="15111" max="15112" width="11.375" style="2" customWidth="1"/>
    <col min="15113" max="15116" width="9" style="2"/>
    <col min="15117" max="15117" width="9.375" style="2" customWidth="1"/>
    <col min="15118" max="15118" width="10.75" style="2" customWidth="1"/>
    <col min="15119" max="15360" width="9" style="2"/>
    <col min="15361" max="15361" width="6.25" style="2" customWidth="1"/>
    <col min="15362" max="15362" width="12.5" style="2" customWidth="1"/>
    <col min="15363" max="15363" width="43.75" style="2" customWidth="1"/>
    <col min="15364" max="15364" width="23.875" style="2" customWidth="1"/>
    <col min="15365" max="15365" width="9" style="2"/>
    <col min="15366" max="15366" width="30.875" style="2" customWidth="1"/>
    <col min="15367" max="15368" width="11.375" style="2" customWidth="1"/>
    <col min="15369" max="15372" width="9" style="2"/>
    <col min="15373" max="15373" width="9.375" style="2" customWidth="1"/>
    <col min="15374" max="15374" width="10.75" style="2" customWidth="1"/>
    <col min="15375" max="15616" width="9" style="2"/>
    <col min="15617" max="15617" width="6.25" style="2" customWidth="1"/>
    <col min="15618" max="15618" width="12.5" style="2" customWidth="1"/>
    <col min="15619" max="15619" width="43.75" style="2" customWidth="1"/>
    <col min="15620" max="15620" width="23.875" style="2" customWidth="1"/>
    <col min="15621" max="15621" width="9" style="2"/>
    <col min="15622" max="15622" width="30.875" style="2" customWidth="1"/>
    <col min="15623" max="15624" width="11.375" style="2" customWidth="1"/>
    <col min="15625" max="15628" width="9" style="2"/>
    <col min="15629" max="15629" width="9.375" style="2" customWidth="1"/>
    <col min="15630" max="15630" width="10.75" style="2" customWidth="1"/>
    <col min="15631" max="15872" width="9" style="2"/>
    <col min="15873" max="15873" width="6.25" style="2" customWidth="1"/>
    <col min="15874" max="15874" width="12.5" style="2" customWidth="1"/>
    <col min="15875" max="15875" width="43.75" style="2" customWidth="1"/>
    <col min="15876" max="15876" width="23.875" style="2" customWidth="1"/>
    <col min="15877" max="15877" width="9" style="2"/>
    <col min="15878" max="15878" width="30.875" style="2" customWidth="1"/>
    <col min="15879" max="15880" width="11.375" style="2" customWidth="1"/>
    <col min="15881" max="15884" width="9" style="2"/>
    <col min="15885" max="15885" width="9.375" style="2" customWidth="1"/>
    <col min="15886" max="15886" width="10.75" style="2" customWidth="1"/>
    <col min="15887" max="16128" width="9" style="2"/>
    <col min="16129" max="16129" width="6.25" style="2" customWidth="1"/>
    <col min="16130" max="16130" width="12.5" style="2" customWidth="1"/>
    <col min="16131" max="16131" width="43.75" style="2" customWidth="1"/>
    <col min="16132" max="16132" width="23.875" style="2" customWidth="1"/>
    <col min="16133" max="16133" width="9" style="2"/>
    <col min="16134" max="16134" width="30.875" style="2" customWidth="1"/>
    <col min="16135" max="16136" width="11.375" style="2" customWidth="1"/>
    <col min="16137" max="16140" width="9" style="2"/>
    <col min="16141" max="16141" width="9.375" style="2" customWidth="1"/>
    <col min="16142" max="16142" width="10.75" style="2" customWidth="1"/>
    <col min="16143" max="16384" width="9" style="2"/>
  </cols>
  <sheetData>
    <row r="1" spans="1:14" s="11" customFormat="1" ht="15" customHeight="1">
      <c r="A1" s="11" t="s">
        <v>7</v>
      </c>
      <c r="B1" s="11" t="s">
        <v>8</v>
      </c>
      <c r="C1" s="11" t="s">
        <v>9</v>
      </c>
      <c r="D1" s="11" t="s">
        <v>10</v>
      </c>
      <c r="E1" s="11" t="s">
        <v>11</v>
      </c>
      <c r="F1" s="11" t="s">
        <v>12</v>
      </c>
      <c r="G1" s="6" t="s">
        <v>13</v>
      </c>
      <c r="H1" s="6" t="s">
        <v>14</v>
      </c>
      <c r="I1" s="11" t="s">
        <v>15</v>
      </c>
      <c r="J1" s="11" t="s">
        <v>0</v>
      </c>
      <c r="K1" s="11" t="s">
        <v>16</v>
      </c>
      <c r="L1" s="11" t="s">
        <v>17</v>
      </c>
      <c r="M1" s="11" t="s">
        <v>1</v>
      </c>
      <c r="N1" s="11" t="s">
        <v>18</v>
      </c>
    </row>
    <row r="2" spans="1:14" ht="15" customHeight="1">
      <c r="A2" s="12">
        <v>1</v>
      </c>
      <c r="B2" s="13" t="s">
        <v>4</v>
      </c>
      <c r="C2" s="1" t="str">
        <f>_xlfn.XLOOKUP(B2,[1]Code!B:B,[1]Code!C:C,0)</f>
        <v>SYNTHETICS  LATEX</v>
      </c>
      <c r="F2" s="5" t="str">
        <f>"Balance Compound latex in Compound dept of "&amp;TEXT(J2,"[$-en-US]mmm'yy")</f>
        <v>Balance Compound latex in Compound dept of May'26</v>
      </c>
      <c r="G2" s="7">
        <f>ROUND(SUM([2]Sum!E5),2)</f>
        <v>1920167.2</v>
      </c>
      <c r="H2" s="7"/>
      <c r="J2" s="15">
        <v>46173</v>
      </c>
      <c r="M2" s="14"/>
      <c r="N2" s="4"/>
    </row>
    <row r="3" spans="1:14" ht="15" customHeight="1">
      <c r="A3" s="12">
        <f>A2+1</f>
        <v>2</v>
      </c>
      <c r="B3" s="13" t="s">
        <v>6</v>
      </c>
      <c r="C3" s="1" t="str">
        <f>_xlfn.XLOOKUP(B3,[1]Code!B:B,[1]Code!C:C,0)</f>
        <v>CHEMICAL FOR NR GLOVES</v>
      </c>
      <c r="F3" s="2" t="str">
        <f>+$F$2</f>
        <v>Balance Compound latex in Compound dept of May'26</v>
      </c>
      <c r="G3" s="7">
        <f>ROUND(SUM([2]Sum!E6),2)</f>
        <v>179860.14</v>
      </c>
      <c r="H3" s="7"/>
      <c r="M3" s="14"/>
      <c r="N3" s="4"/>
    </row>
    <row r="4" spans="1:14" ht="15" customHeight="1">
      <c r="A4" s="12">
        <f t="shared" ref="A4:A24" si="0">A3+1</f>
        <v>3</v>
      </c>
      <c r="B4" s="13" t="s">
        <v>2</v>
      </c>
      <c r="C4" s="1" t="str">
        <f>_xlfn.XLOOKUP(B4,[1]Code!B:B,[1]Code!C:C,0)</f>
        <v>PURCHASE SYNTHETICS LATEX</v>
      </c>
      <c r="F4" s="2" t="str">
        <f t="shared" ref="F4:F5" si="1">+$F$2</f>
        <v>Balance Compound latex in Compound dept of May'26</v>
      </c>
      <c r="G4" s="7"/>
      <c r="H4" s="7">
        <f>G2</f>
        <v>1920167.2</v>
      </c>
      <c r="M4" s="14" t="s">
        <v>3</v>
      </c>
      <c r="N4" s="4">
        <f t="shared" ref="N4:N7" si="2">G4+H4</f>
        <v>1920167.2</v>
      </c>
    </row>
    <row r="5" spans="1:14" ht="15" customHeight="1">
      <c r="A5" s="12">
        <f t="shared" si="0"/>
        <v>4</v>
      </c>
      <c r="B5" s="13" t="s">
        <v>5</v>
      </c>
      <c r="C5" s="1" t="str">
        <f>_xlfn.XLOOKUP(B5,[1]Code!B:B,[1]Code!C:C,0)</f>
        <v>PURCHASES - CHEMICAL</v>
      </c>
      <c r="F5" s="2" t="str">
        <f t="shared" si="1"/>
        <v>Balance Compound latex in Compound dept of May'26</v>
      </c>
      <c r="G5" s="7"/>
      <c r="H5" s="7">
        <f>G3</f>
        <v>179860.14</v>
      </c>
      <c r="M5" s="14" t="s">
        <v>3</v>
      </c>
      <c r="N5" s="4">
        <f t="shared" si="2"/>
        <v>179860.14</v>
      </c>
    </row>
    <row r="6" spans="1:14" s="9" customFormat="1" ht="15" customHeight="1">
      <c r="A6" s="16">
        <f t="shared" si="0"/>
        <v>5</v>
      </c>
      <c r="B6" s="20" t="s">
        <v>6</v>
      </c>
      <c r="C6" s="18" t="str">
        <f>_xlfn.XLOOKUP(B6,[1]Code!B:B,[1]Code!C:C,0)</f>
        <v>CHEMICAL FOR NR GLOVES</v>
      </c>
      <c r="F6" s="19" t="str">
        <f>"Balance Dispersion in Compound dept of "&amp;TEXT(J2,"[$-en-US]mmm'yy")</f>
        <v>Balance Dispersion in Compound dept of May'26</v>
      </c>
      <c r="G6" s="21">
        <f>ROUND(SUM([2]Sum!E13),2)</f>
        <v>335676.26</v>
      </c>
      <c r="H6" s="21"/>
      <c r="M6" s="22"/>
      <c r="N6" s="10"/>
    </row>
    <row r="7" spans="1:14" s="9" customFormat="1" ht="15" customHeight="1">
      <c r="A7" s="16">
        <f t="shared" si="0"/>
        <v>6</v>
      </c>
      <c r="B7" s="20" t="s">
        <v>5</v>
      </c>
      <c r="C7" s="18" t="str">
        <f>_xlfn.XLOOKUP(B7,[1]Code!B:B,[1]Code!C:C,0)</f>
        <v>PURCHASES - CHEMICAL</v>
      </c>
      <c r="F7" s="9" t="str">
        <f>$F$6</f>
        <v>Balance Dispersion in Compound dept of May'26</v>
      </c>
      <c r="G7" s="21"/>
      <c r="H7" s="21">
        <f>+G6</f>
        <v>335676.26</v>
      </c>
      <c r="M7" s="22" t="s">
        <v>3</v>
      </c>
      <c r="N7" s="10">
        <f t="shared" si="2"/>
        <v>335676.26</v>
      </c>
    </row>
    <row r="8" spans="1:14" ht="15" customHeight="1">
      <c r="A8" s="12">
        <f t="shared" si="0"/>
        <v>7</v>
      </c>
      <c r="B8" s="13" t="s">
        <v>4</v>
      </c>
      <c r="C8" s="1" t="str">
        <f>_xlfn.XLOOKUP(B8,[1]Code!B:B,[1]Code!C:C,0)</f>
        <v>SYNTHETICS  LATEX</v>
      </c>
      <c r="F8" s="5" t="str">
        <f>"Balance Compound latex in Dipping lines of "&amp;TEXT(J2,"[$-en-US]mmm'yy")</f>
        <v>Balance Compound latex in Dipping lines of May'26</v>
      </c>
      <c r="G8" s="7">
        <f>ROUND(SUM([2]Sum!E20),2)</f>
        <v>328050.82</v>
      </c>
      <c r="H8" s="7"/>
      <c r="M8" s="14"/>
      <c r="N8" s="4"/>
    </row>
    <row r="9" spans="1:14" ht="15" customHeight="1">
      <c r="A9" s="12">
        <f t="shared" si="0"/>
        <v>8</v>
      </c>
      <c r="B9" s="13" t="s">
        <v>6</v>
      </c>
      <c r="C9" s="1" t="str">
        <f>_xlfn.XLOOKUP(B9,[1]Code!B:B,[1]Code!C:C,0)</f>
        <v>CHEMICAL FOR NR GLOVES</v>
      </c>
      <c r="F9" s="2" t="str">
        <f>+$F$8</f>
        <v>Balance Compound latex in Dipping lines of May'26</v>
      </c>
      <c r="G9" s="7">
        <f>ROUND(SUM([2]Sum!E21),2)</f>
        <v>32866.019999999997</v>
      </c>
      <c r="H9" s="7"/>
      <c r="M9" s="14"/>
      <c r="N9" s="4"/>
    </row>
    <row r="10" spans="1:14" ht="15" customHeight="1">
      <c r="A10" s="12">
        <f t="shared" si="0"/>
        <v>9</v>
      </c>
      <c r="B10" s="13" t="s">
        <v>2</v>
      </c>
      <c r="C10" s="1" t="str">
        <f>_xlfn.XLOOKUP(B10,[1]Code!B:B,[1]Code!C:C,0)</f>
        <v>PURCHASE SYNTHETICS LATEX</v>
      </c>
      <c r="F10" s="2" t="str">
        <f t="shared" ref="F10:F11" si="3">+$F$8</f>
        <v>Balance Compound latex in Dipping lines of May'26</v>
      </c>
      <c r="G10" s="7"/>
      <c r="H10" s="7">
        <f>G8</f>
        <v>328050.82</v>
      </c>
      <c r="M10" s="14" t="s">
        <v>3</v>
      </c>
      <c r="N10" s="4">
        <f t="shared" ref="N10:N11" si="4">G10+H10</f>
        <v>328050.82</v>
      </c>
    </row>
    <row r="11" spans="1:14" ht="15" customHeight="1">
      <c r="A11" s="12">
        <f t="shared" si="0"/>
        <v>10</v>
      </c>
      <c r="B11" s="13" t="s">
        <v>5</v>
      </c>
      <c r="C11" s="1" t="str">
        <f>_xlfn.XLOOKUP(B11,[1]Code!B:B,[1]Code!C:C,0)</f>
        <v>PURCHASES - CHEMICAL</v>
      </c>
      <c r="F11" s="2" t="str">
        <f t="shared" si="3"/>
        <v>Balance Compound latex in Dipping lines of May'26</v>
      </c>
      <c r="G11" s="7"/>
      <c r="H11" s="7">
        <f>G9</f>
        <v>32866.019999999997</v>
      </c>
      <c r="M11" s="14" t="s">
        <v>3</v>
      </c>
      <c r="N11" s="4">
        <f t="shared" si="4"/>
        <v>32866.019999999997</v>
      </c>
    </row>
    <row r="12" spans="1:14" ht="15" customHeight="1">
      <c r="A12" s="12">
        <f t="shared" si="0"/>
        <v>11</v>
      </c>
      <c r="B12" s="13" t="s">
        <v>6</v>
      </c>
      <c r="C12" s="1" t="str">
        <f>_xlfn.XLOOKUP(B12,[1]Code!B:B,[1]Code!C:C,0)</f>
        <v>CHEMICAL FOR NR GLOVES</v>
      </c>
      <c r="F12" s="5" t="str">
        <f>"Balance Dispersion in Dipping lines of "&amp;TEXT(J2,"[$-en-US]mmm'yy")</f>
        <v>Balance Dispersion in Dipping lines of May'26</v>
      </c>
      <c r="G12" s="7">
        <f>ROUND(SUM([2]Sum!E23+[2]Sum!E24),2)</f>
        <v>60233.78</v>
      </c>
      <c r="H12" s="7"/>
      <c r="M12" s="14"/>
      <c r="N12" s="4"/>
    </row>
    <row r="13" spans="1:14" ht="15" customHeight="1">
      <c r="A13" s="12">
        <f t="shared" si="0"/>
        <v>12</v>
      </c>
      <c r="B13" s="13" t="s">
        <v>5</v>
      </c>
      <c r="C13" s="1" t="str">
        <f>_xlfn.XLOOKUP(B13,[1]Code!B:B,[1]Code!C:C,0)</f>
        <v>PURCHASES - CHEMICAL</v>
      </c>
      <c r="F13" s="2" t="str">
        <f>+$F$12</f>
        <v>Balance Dispersion in Dipping lines of May'26</v>
      </c>
      <c r="G13" s="7"/>
      <c r="H13" s="7">
        <f>ROUND(SUM([2]Sum!E23),2)</f>
        <v>57304.08</v>
      </c>
      <c r="M13" s="14" t="s">
        <v>3</v>
      </c>
      <c r="N13" s="4">
        <f>G13+H13</f>
        <v>57304.08</v>
      </c>
    </row>
    <row r="14" spans="1:14" ht="15" customHeight="1">
      <c r="A14" s="12">
        <f t="shared" si="0"/>
        <v>13</v>
      </c>
      <c r="B14" s="12" t="s">
        <v>5</v>
      </c>
      <c r="C14" s="1" t="str">
        <f>_xlfn.XLOOKUP(B14,[1]Code!B:B,[1]Code!C:C,0)</f>
        <v>PURCHASES - CHEMICAL</v>
      </c>
      <c r="F14" s="2" t="str">
        <f>+$F$12</f>
        <v>Balance Dispersion in Dipping lines of May'26</v>
      </c>
      <c r="G14" s="8"/>
      <c r="H14" s="8">
        <f>ROUND(SUM([2]Sum!E24),2)</f>
        <v>2929.7</v>
      </c>
      <c r="M14" s="2" t="s">
        <v>19</v>
      </c>
      <c r="N14" s="4">
        <f>G14+H14</f>
        <v>2929.7</v>
      </c>
    </row>
    <row r="15" spans="1:14" s="9" customFormat="1" ht="15" customHeight="1">
      <c r="A15" s="16">
        <f>A11+1</f>
        <v>11</v>
      </c>
      <c r="B15" s="16" t="s">
        <v>6</v>
      </c>
      <c r="C15" s="18" t="str">
        <f>_xlfn.XLOOKUP(B15,[1]Code!B:B,[1]Code!C:C,0)</f>
        <v>CHEMICAL FOR NR GLOVES</v>
      </c>
      <c r="F15" s="19" t="str">
        <f>"Balance Chemical in Production "&amp;TEXT(J2,"[$-en-US]mmm'yy")</f>
        <v>Balance Chemical in Production May'26</v>
      </c>
      <c r="G15" s="23">
        <f>ROUND(SUM([2]Sum!E31),2)</f>
        <v>41966</v>
      </c>
      <c r="H15" s="23"/>
      <c r="N15" s="23"/>
    </row>
    <row r="16" spans="1:14" s="9" customFormat="1" ht="15" customHeight="1">
      <c r="A16" s="16">
        <f t="shared" si="0"/>
        <v>12</v>
      </c>
      <c r="B16" s="16" t="s">
        <v>5</v>
      </c>
      <c r="C16" s="18" t="str">
        <f>_xlfn.XLOOKUP(B16,[1]Code!B:B,[1]Code!C:C,0)</f>
        <v>PURCHASES - CHEMICAL</v>
      </c>
      <c r="F16" s="9" t="str">
        <f>$F$15</f>
        <v>Balance Chemical in Production May'26</v>
      </c>
      <c r="G16" s="23"/>
      <c r="H16" s="23">
        <f>G15</f>
        <v>41966</v>
      </c>
      <c r="M16" s="9" t="s">
        <v>19</v>
      </c>
      <c r="N16" s="10">
        <f>H16</f>
        <v>41966</v>
      </c>
    </row>
    <row r="17" spans="1:14" ht="15" customHeight="1">
      <c r="A17" s="12">
        <f t="shared" si="0"/>
        <v>13</v>
      </c>
      <c r="B17" s="3" t="s">
        <v>2</v>
      </c>
      <c r="C17" s="1" t="str">
        <f>_xlfn.XLOOKUP(B17,[1]Code!B:B,[1]Code!C:C,0)</f>
        <v>PURCHASE SYNTHETICS LATEX</v>
      </c>
      <c r="F17" s="5" t="str">
        <f>"Record Issue NBR latex-Comp from stock card Com P1 of "&amp;TEXT(J2,"[$-en-US]mmm'yy")</f>
        <v>Record Issue NBR latex-Comp from stock card Com P1 of May'26</v>
      </c>
      <c r="G17" s="4">
        <f>ROUND(SUM([2]Sum!C36),2)</f>
        <v>13082080.24</v>
      </c>
      <c r="H17" s="4"/>
      <c r="M17" s="2" t="s">
        <v>3</v>
      </c>
      <c r="N17" s="4">
        <f>G17</f>
        <v>13082080.24</v>
      </c>
    </row>
    <row r="18" spans="1:14" ht="15" customHeight="1">
      <c r="A18" s="12">
        <f t="shared" si="0"/>
        <v>14</v>
      </c>
      <c r="B18" s="3" t="s">
        <v>4</v>
      </c>
      <c r="C18" s="1" t="str">
        <f>_xlfn.XLOOKUP(B18,[1]Code!B:B,[1]Code!C:C,0)</f>
        <v>SYNTHETICS  LATEX</v>
      </c>
      <c r="F18" s="2" t="str">
        <f>$F$17</f>
        <v>Record Issue NBR latex-Comp from stock card Com P1 of May'26</v>
      </c>
      <c r="H18" s="4">
        <f>ROUND(SUM(G17),2)</f>
        <v>13082080.24</v>
      </c>
    </row>
    <row r="19" spans="1:14" ht="15" customHeight="1">
      <c r="A19" s="12">
        <f t="shared" si="0"/>
        <v>15</v>
      </c>
      <c r="B19" s="3" t="s">
        <v>4</v>
      </c>
      <c r="C19" s="1" t="str">
        <f>_xlfn.XLOOKUP(B19,[1]Code!B:B,[1]Code!C:C,0)</f>
        <v>SYNTHETICS  LATEX</v>
      </c>
      <c r="F19" s="2" t="str">
        <f t="shared" ref="F19:F20" si="5">$F$17</f>
        <v>Record Issue NBR latex-Comp from stock card Com P1 of May'26</v>
      </c>
      <c r="G19" s="4">
        <f>ROUND(SUM([2]Sum!C38),2)</f>
        <v>0</v>
      </c>
      <c r="H19" s="4"/>
    </row>
    <row r="20" spans="1:14" ht="15" customHeight="1">
      <c r="A20" s="12">
        <f t="shared" si="0"/>
        <v>16</v>
      </c>
      <c r="B20" s="3" t="s">
        <v>2</v>
      </c>
      <c r="C20" s="1" t="str">
        <f>_xlfn.XLOOKUP(B20,[1]Code!B:B,[1]Code!C:C,0)</f>
        <v>PURCHASE SYNTHETICS LATEX</v>
      </c>
      <c r="F20" s="2" t="str">
        <f t="shared" si="5"/>
        <v>Record Issue NBR latex-Comp from stock card Com P1 of May'26</v>
      </c>
      <c r="H20" s="4">
        <f>G19</f>
        <v>0</v>
      </c>
      <c r="M20" s="2" t="s">
        <v>3</v>
      </c>
      <c r="N20" s="4">
        <f>H20</f>
        <v>0</v>
      </c>
    </row>
    <row r="21" spans="1:14" s="9" customFormat="1" ht="15" customHeight="1">
      <c r="A21" s="16">
        <f>A20+1</f>
        <v>17</v>
      </c>
      <c r="B21" s="17" t="s">
        <v>5</v>
      </c>
      <c r="C21" s="18" t="str">
        <f>_xlfn.XLOOKUP(B21,[1]Code!B:B,[1]Code!C:C,0)</f>
        <v>PURCHASES - CHEMICAL</v>
      </c>
      <c r="F21" s="19" t="str">
        <f>"Record Issue Che-Comp from stock card Com P1 of "&amp;TEXT(J2,"[$-en-US]mmm'yy")</f>
        <v>Record Issue Che-Comp from stock card Com P1 of May'26</v>
      </c>
      <c r="G21" s="10">
        <f>ROUND(SUM([2]Sum!C43),2)</f>
        <v>3200898.37</v>
      </c>
      <c r="M21" s="9" t="s">
        <v>3</v>
      </c>
      <c r="N21" s="10">
        <f>G21</f>
        <v>3200898.37</v>
      </c>
    </row>
    <row r="22" spans="1:14" s="9" customFormat="1" ht="15" customHeight="1">
      <c r="A22" s="16">
        <f t="shared" si="0"/>
        <v>18</v>
      </c>
      <c r="B22" s="17" t="s">
        <v>6</v>
      </c>
      <c r="C22" s="18" t="str">
        <f>_xlfn.XLOOKUP(B22,[1]Code!B:B,[1]Code!C:C,0)</f>
        <v>CHEMICAL FOR NR GLOVES</v>
      </c>
      <c r="F22" s="9" t="str">
        <f>$F$21</f>
        <v>Record Issue Che-Comp from stock card Com P1 of May'26</v>
      </c>
      <c r="H22" s="10">
        <f>ROUND(SUM(G21),2)</f>
        <v>3200898.37</v>
      </c>
    </row>
    <row r="23" spans="1:14" s="9" customFormat="1" ht="15" customHeight="1">
      <c r="A23" s="16">
        <f>A22+1</f>
        <v>19</v>
      </c>
      <c r="B23" s="17" t="s">
        <v>6</v>
      </c>
      <c r="C23" s="18" t="str">
        <f>_xlfn.XLOOKUP(B23,[1]Code!B:B,[1]Code!C:C,0)</f>
        <v>CHEMICAL FOR NR GLOVES</v>
      </c>
      <c r="F23" s="19" t="str">
        <f>"Record Issue Che-Comp from stock card Com P1 of "&amp;TEXT(J4,"[$-en-US]mmm'yy")</f>
        <v>Record Issue Che-Comp from stock card Com P1 of Jan'00</v>
      </c>
      <c r="G23" s="10">
        <f>ROUND(SUM([2]Sum!C45),2)</f>
        <v>781.78</v>
      </c>
    </row>
    <row r="24" spans="1:14" s="9" customFormat="1" ht="15" customHeight="1">
      <c r="A24" s="16">
        <f t="shared" si="0"/>
        <v>20</v>
      </c>
      <c r="B24" s="17" t="s">
        <v>5</v>
      </c>
      <c r="C24" s="18" t="str">
        <f>_xlfn.XLOOKUP(B24,[1]Code!B:B,[1]Code!C:C,0)</f>
        <v>PURCHASES - CHEMICAL</v>
      </c>
      <c r="F24" s="9" t="str">
        <f>$F$21</f>
        <v>Record Issue Che-Comp from stock card Com P1 of May'26</v>
      </c>
      <c r="H24" s="10">
        <f>ROUND(SUM(G23),2)</f>
        <v>781.78</v>
      </c>
      <c r="M24" s="9" t="s">
        <v>3</v>
      </c>
      <c r="N24" s="10">
        <f>G23</f>
        <v>781.78</v>
      </c>
    </row>
    <row r="25" spans="1:14" ht="15" customHeight="1">
      <c r="A25" s="12"/>
      <c r="G25" s="24"/>
      <c r="H25" s="4"/>
    </row>
    <row r="26" spans="1:14" ht="15" customHeight="1">
      <c r="A26" s="12"/>
      <c r="H26" s="25"/>
    </row>
    <row r="27" spans="1:14" ht="15" customHeight="1">
      <c r="A27" s="12"/>
    </row>
  </sheetData>
  <phoneticPr fontId="30" type="noConversion"/>
  <pageMargins left="0.7" right="0.7" top="0.75" bottom="0.75" header="0.3" footer="0.3"/>
  <pageSetup paperSize="9" scale="75" orientation="landscape" r:id="rId1"/>
  <ignoredErrors>
    <ignoredError sqref="F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Yent</dc:creator>
  <cp:keywords/>
  <dc:description/>
  <cp:lastModifiedBy>Neenu G</cp:lastModifiedBy>
  <cp:revision/>
  <dcterms:created xsi:type="dcterms:W3CDTF">2017-12-07T06:19:00Z</dcterms:created>
  <dcterms:modified xsi:type="dcterms:W3CDTF">2026-06-08T06:45:00Z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292EF9CD353F409FA0645B5549E027CC_13</vt:lpwstr>
  </property>
  <property fmtid="{D5CDD505-2E9C-101B-9397-08002B2CF9AE}" pid="3" name="KSOProductBuildVer">
    <vt:lpwstr>1033-12.2.0.17153</vt:lpwstr>
  </property>
</Properties>
</file>